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KMtoko\Downloads\"/>
    </mc:Choice>
  </mc:AlternateContent>
  <xr:revisionPtr revIDLastSave="220" documentId="13_ncr:1_{D497175C-4251-4B30-ADC7-092733E5797A}" xr6:coauthVersionLast="47" xr6:coauthVersionMax="47" xr10:uidLastSave="{A6400AE1-1130-48CF-9415-B5BC5A8BDD62}"/>
  <bookViews>
    <workbookView xWindow="-120" yWindow="-120" windowWidth="29040" windowHeight="15840" firstSheet="4" activeTab="8" xr2:uid="{73E0AA95-92DA-4C2E-BEB4-6719AB967FB0}"/>
  </bookViews>
  <sheets>
    <sheet name="attributes" sheetId="7" r:id="rId1"/>
    <sheet name="funds_20231231" sheetId="6" r:id="rId2"/>
    <sheet name="benchmark" sheetId="2" r:id="rId3"/>
    <sheet name="prices" sheetId="3" r:id="rId4"/>
    <sheet name="1_marketValue" sheetId="8" r:id="rId5"/>
    <sheet name="2_monthlyReturns" sheetId="9" r:id="rId6"/>
    <sheet name="3_performance" sheetId="10" r:id="rId7"/>
    <sheet name="updatedBenchmark" sheetId="11" r:id="rId8"/>
    <sheet name="4_brinsonAttribution" sheetId="12" r:id="rId9"/>
  </sheets>
  <externalReferences>
    <externalReference r:id="rId10"/>
  </externalReferences>
  <definedNames>
    <definedName name="_xlnm._FilterDatabase" localSheetId="0" hidden="1">attributes!$A$1:$C$77</definedName>
    <definedName name="_xlnm._FilterDatabase" localSheetId="2" hidden="1">benchmark!$A$1:$F$77</definedName>
    <definedName name="_xlnm._FilterDatabase" localSheetId="1" hidden="1">funds_20231231!$A$2:$C$48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2" l="1"/>
  <c r="I4" i="12"/>
  <c r="I5" i="12"/>
  <c r="I2" i="12"/>
  <c r="H3" i="12"/>
  <c r="H4" i="12"/>
  <c r="H5" i="12"/>
  <c r="H2" i="12"/>
  <c r="G3" i="12"/>
  <c r="G4" i="12"/>
  <c r="G5" i="12"/>
  <c r="G2" i="12"/>
  <c r="F3" i="12"/>
  <c r="F4" i="12"/>
  <c r="F5" i="12"/>
  <c r="F2" i="12"/>
  <c r="D3" i="12" a="1"/>
  <c r="D3" i="12"/>
  <c r="D4" i="12" a="1"/>
  <c r="D4" i="12"/>
  <c r="D5" i="12" a="1"/>
  <c r="D5" i="12"/>
  <c r="D2" i="12" a="1"/>
  <c r="D2" i="12"/>
  <c r="B3" i="12"/>
  <c r="B4" i="12"/>
  <c r="B5" i="12"/>
  <c r="B2" i="12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2" i="8"/>
  <c r="C2" i="11" a="1"/>
  <c r="C2" i="11"/>
  <c r="C3" i="11" a="1"/>
  <c r="C3" i="11"/>
  <c r="C4" i="11" a="1"/>
  <c r="C4" i="11"/>
  <c r="C5" i="11" a="1"/>
  <c r="C5" i="11"/>
  <c r="C6" i="11" a="1"/>
  <c r="C6" i="11"/>
  <c r="C7" i="11" a="1"/>
  <c r="C7" i="11"/>
  <c r="C8" i="11" a="1"/>
  <c r="C8" i="11"/>
  <c r="C9" i="11" a="1"/>
  <c r="C9" i="11"/>
  <c r="C10" i="11" a="1"/>
  <c r="C10" i="11"/>
  <c r="C11" i="11" a="1"/>
  <c r="C11" i="11" s="1"/>
  <c r="D11" i="11" s="1"/>
  <c r="C12" i="11" a="1"/>
  <c r="C12" i="11"/>
  <c r="C13" i="11" a="1"/>
  <c r="C13" i="11"/>
  <c r="C14" i="11" a="1"/>
  <c r="C14" i="11" s="1"/>
  <c r="D14" i="11" s="1"/>
  <c r="C15" i="11" a="1"/>
  <c r="C15" i="11"/>
  <c r="C16" i="11" a="1"/>
  <c r="C16" i="11" s="1"/>
  <c r="D16" i="11" s="1"/>
  <c r="C17" i="11" a="1"/>
  <c r="C17" i="11" s="1"/>
  <c r="D17" i="11" s="1"/>
  <c r="C18" i="11" a="1"/>
  <c r="C18" i="11"/>
  <c r="C19" i="11" a="1"/>
  <c r="C19" i="11"/>
  <c r="C20" i="11" a="1"/>
  <c r="C20" i="11" s="1"/>
  <c r="D20" i="11" s="1"/>
  <c r="C21" i="11" a="1"/>
  <c r="C21" i="11"/>
  <c r="C22" i="11" a="1"/>
  <c r="C22" i="11"/>
  <c r="C23" i="11" a="1"/>
  <c r="C23" i="11" s="1"/>
  <c r="D23" i="11" s="1"/>
  <c r="C24" i="11" a="1"/>
  <c r="C24" i="11"/>
  <c r="C25" i="11" a="1"/>
  <c r="C25" i="11"/>
  <c r="C26" i="11" a="1"/>
  <c r="C26" i="11" s="1"/>
  <c r="D26" i="11" s="1"/>
  <c r="C27" i="11" a="1"/>
  <c r="C27" i="11"/>
  <c r="C28" i="11" a="1"/>
  <c r="C28" i="11"/>
  <c r="C29" i="11" a="1"/>
  <c r="C29" i="11" s="1"/>
  <c r="D29" i="11" s="1"/>
  <c r="C30" i="11" a="1"/>
  <c r="C30" i="11"/>
  <c r="C31" i="11" a="1"/>
  <c r="C31" i="11" s="1"/>
  <c r="D31" i="11" s="1"/>
  <c r="C32" i="11" a="1"/>
  <c r="C32" i="11" s="1"/>
  <c r="D32" i="11" s="1"/>
  <c r="C33" i="11" a="1"/>
  <c r="C33" i="11"/>
  <c r="C34" i="11" a="1"/>
  <c r="C34" i="11" s="1"/>
  <c r="D34" i="11" s="1"/>
  <c r="C35" i="11" a="1"/>
  <c r="C35" i="11" s="1"/>
  <c r="D35" i="11" s="1"/>
  <c r="C36" i="11" a="1"/>
  <c r="C36" i="11"/>
  <c r="C37" i="11" a="1"/>
  <c r="C37" i="11" s="1"/>
  <c r="D37" i="11" s="1"/>
  <c r="C38" i="11" a="1"/>
  <c r="C38" i="11" s="1"/>
  <c r="D38" i="11" s="1"/>
  <c r="C39" i="11" a="1"/>
  <c r="C39" i="11"/>
  <c r="C40" i="11" a="1"/>
  <c r="C40" i="11" s="1"/>
  <c r="D40" i="11" s="1"/>
  <c r="C41" i="11" a="1"/>
  <c r="C41" i="11" s="1"/>
  <c r="D41" i="11" s="1"/>
  <c r="C42" i="11" a="1"/>
  <c r="C42" i="11"/>
  <c r="C43" i="11" a="1"/>
  <c r="C43" i="11" s="1"/>
  <c r="D43" i="11" s="1"/>
  <c r="C44" i="11" a="1"/>
  <c r="C44" i="11" s="1"/>
  <c r="D44" i="11" s="1"/>
  <c r="C45" i="11" a="1"/>
  <c r="C45" i="11"/>
  <c r="C46" i="11" a="1"/>
  <c r="C46" i="11" s="1"/>
  <c r="D46" i="11" s="1"/>
  <c r="C47" i="11" a="1"/>
  <c r="C47" i="11" s="1"/>
  <c r="D47" i="11" s="1"/>
  <c r="C48" i="11" a="1"/>
  <c r="C48" i="11" s="1"/>
  <c r="D48" i="11" s="1"/>
  <c r="C49" i="11" a="1"/>
  <c r="C49" i="11" s="1"/>
  <c r="D49" i="11" s="1"/>
  <c r="C50" i="11" a="1"/>
  <c r="C50" i="11" s="1"/>
  <c r="D50" i="11" s="1"/>
  <c r="C51" i="11" a="1"/>
  <c r="C51" i="11" s="1"/>
  <c r="D51" i="11" s="1"/>
  <c r="C52" i="11" a="1"/>
  <c r="C52" i="11" s="1"/>
  <c r="D52" i="11" s="1"/>
  <c r="C53" i="11" a="1"/>
  <c r="C53" i="11" s="1"/>
  <c r="D53" i="11" s="1"/>
  <c r="C54" i="11" a="1"/>
  <c r="C54" i="11" s="1"/>
  <c r="D54" i="11" s="1"/>
  <c r="C55" i="11" a="1"/>
  <c r="C55" i="11" s="1"/>
  <c r="D55" i="11" s="1"/>
  <c r="C56" i="11" a="1"/>
  <c r="C56" i="11" s="1"/>
  <c r="D56" i="11" s="1"/>
  <c r="C57" i="11" a="1"/>
  <c r="C57" i="11" s="1"/>
  <c r="D57" i="11" s="1"/>
  <c r="C58" i="11" a="1"/>
  <c r="C58" i="11" s="1"/>
  <c r="D58" i="11" s="1"/>
  <c r="C59" i="11" a="1"/>
  <c r="C59" i="11" s="1"/>
  <c r="D59" i="11" s="1"/>
  <c r="C60" i="11" a="1"/>
  <c r="C60" i="11" s="1"/>
  <c r="D60" i="11" s="1"/>
  <c r="C61" i="11" a="1"/>
  <c r="C61" i="11" s="1"/>
  <c r="D61" i="11" s="1"/>
  <c r="C62" i="11" a="1"/>
  <c r="C62" i="11"/>
  <c r="C63" i="11" a="1"/>
  <c r="C63" i="11" s="1"/>
  <c r="D63" i="11" s="1"/>
  <c r="C64" i="11" a="1"/>
  <c r="C64" i="11" s="1"/>
  <c r="D64" i="11" s="1"/>
  <c r="C65" i="11" a="1"/>
  <c r="C65" i="11"/>
  <c r="C66" i="11" a="1"/>
  <c r="C66" i="11" s="1"/>
  <c r="D66" i="11" s="1"/>
  <c r="C67" i="11" a="1"/>
  <c r="C67" i="11" s="1"/>
  <c r="D67" i="11" s="1"/>
  <c r="C68" i="11" a="1"/>
  <c r="C68" i="11"/>
  <c r="C69" i="11" a="1"/>
  <c r="C69" i="11" s="1"/>
  <c r="D69" i="11" s="1"/>
  <c r="C70" i="11" a="1"/>
  <c r="C70" i="11" s="1"/>
  <c r="D70" i="11" s="1"/>
  <c r="C71" i="11" a="1"/>
  <c r="C71" i="11"/>
  <c r="C72" i="11" a="1"/>
  <c r="C72" i="11" s="1"/>
  <c r="D72" i="11" s="1"/>
  <c r="C73" i="11" a="1"/>
  <c r="C73" i="11" s="1"/>
  <c r="D73" i="11" s="1"/>
  <c r="C74" i="11" a="1"/>
  <c r="C74" i="11"/>
  <c r="C75" i="11" a="1"/>
  <c r="C75" i="11" s="1"/>
  <c r="D75" i="11" s="1"/>
  <c r="C76" i="11" a="1"/>
  <c r="C76" i="11" s="1"/>
  <c r="D76" i="11" s="1"/>
  <c r="C77" i="11" a="1"/>
  <c r="C77" i="11" s="1"/>
  <c r="D77" i="11" s="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F77" i="11" a="1"/>
  <c r="F77" i="11" s="1"/>
  <c r="F76" i="11" a="1"/>
  <c r="F76" i="11" s="1"/>
  <c r="F75" i="11" a="1"/>
  <c r="F75" i="11" s="1"/>
  <c r="F74" i="11" a="1"/>
  <c r="F74" i="11" s="1"/>
  <c r="F73" i="11" a="1"/>
  <c r="F73" i="11" s="1"/>
  <c r="F72" i="11" a="1"/>
  <c r="F72" i="11" s="1"/>
  <c r="F71" i="11" a="1"/>
  <c r="F71" i="11" s="1"/>
  <c r="F70" i="11" a="1"/>
  <c r="F70" i="11" s="1"/>
  <c r="F69" i="11" a="1"/>
  <c r="F69" i="11" s="1"/>
  <c r="F68" i="11" a="1"/>
  <c r="F68" i="11" s="1"/>
  <c r="F67" i="11" a="1"/>
  <c r="F67" i="11" s="1"/>
  <c r="F66" i="11" a="1"/>
  <c r="F66" i="11" s="1"/>
  <c r="F65" i="11" a="1"/>
  <c r="F65" i="11" s="1"/>
  <c r="F64" i="11"/>
  <c r="F64" i="11" a="1"/>
  <c r="F63" i="11" a="1"/>
  <c r="F63" i="11" s="1"/>
  <c r="F62" i="11" a="1"/>
  <c r="F62" i="11" s="1"/>
  <c r="F61" i="11" a="1"/>
  <c r="F61" i="11" s="1"/>
  <c r="F60" i="11" a="1"/>
  <c r="F60" i="11" s="1"/>
  <c r="F59" i="11" a="1"/>
  <c r="F59" i="11" s="1"/>
  <c r="F58" i="11" a="1"/>
  <c r="F58" i="11" s="1"/>
  <c r="F57" i="11" a="1"/>
  <c r="F57" i="11" s="1"/>
  <c r="F56" i="11" a="1"/>
  <c r="F56" i="11" s="1"/>
  <c r="F55" i="11" a="1"/>
  <c r="F55" i="11" s="1"/>
  <c r="F54" i="11" a="1"/>
  <c r="F54" i="11" s="1"/>
  <c r="F53" i="11" a="1"/>
  <c r="F53" i="11" s="1"/>
  <c r="F52" i="11" a="1"/>
  <c r="F52" i="11" s="1"/>
  <c r="F51" i="11" a="1"/>
  <c r="F51" i="11" s="1"/>
  <c r="F50" i="11" a="1"/>
  <c r="F50" i="11" s="1"/>
  <c r="F49" i="11" a="1"/>
  <c r="F49" i="11" s="1"/>
  <c r="F48" i="11" a="1"/>
  <c r="F48" i="11" s="1"/>
  <c r="F47" i="11" a="1"/>
  <c r="F47" i="11" s="1"/>
  <c r="F46" i="11" a="1"/>
  <c r="F46" i="11" s="1"/>
  <c r="F45" i="11" a="1"/>
  <c r="F45" i="11" s="1"/>
  <c r="F44" i="11" a="1"/>
  <c r="F44" i="11" s="1"/>
  <c r="F43" i="11" a="1"/>
  <c r="F43" i="11" s="1"/>
  <c r="F42" i="11" a="1"/>
  <c r="F42" i="11" s="1"/>
  <c r="F41" i="11" a="1"/>
  <c r="F41" i="11" s="1"/>
  <c r="F40" i="11" a="1"/>
  <c r="F40" i="11" s="1"/>
  <c r="F39" i="11" a="1"/>
  <c r="F39" i="11" s="1"/>
  <c r="F38" i="11" a="1"/>
  <c r="F38" i="11" s="1"/>
  <c r="F37" i="11" a="1"/>
  <c r="F37" i="11" s="1"/>
  <c r="F36" i="11" a="1"/>
  <c r="F36" i="11" s="1"/>
  <c r="F35" i="11" a="1"/>
  <c r="F35" i="11" s="1"/>
  <c r="F34" i="11" a="1"/>
  <c r="F34" i="11" s="1"/>
  <c r="F33" i="11" a="1"/>
  <c r="F33" i="11" s="1"/>
  <c r="F32" i="11" a="1"/>
  <c r="F32" i="11" s="1"/>
  <c r="F31" i="11" a="1"/>
  <c r="F31" i="11" s="1"/>
  <c r="F30" i="11"/>
  <c r="F30" i="11" a="1"/>
  <c r="F29" i="11" a="1"/>
  <c r="F29" i="11" s="1"/>
  <c r="F28" i="11" a="1"/>
  <c r="F28" i="11" s="1"/>
  <c r="F27" i="11"/>
  <c r="F27" i="11" a="1"/>
  <c r="F26" i="11" a="1"/>
  <c r="F26" i="11" s="1"/>
  <c r="F25" i="11" a="1"/>
  <c r="F25" i="11" s="1"/>
  <c r="F24" i="11"/>
  <c r="F24" i="11" a="1"/>
  <c r="F23" i="11" a="1"/>
  <c r="F23" i="11" s="1"/>
  <c r="F22" i="11" a="1"/>
  <c r="F22" i="11" s="1"/>
  <c r="F21" i="11"/>
  <c r="F21" i="11" a="1"/>
  <c r="F20" i="11" a="1"/>
  <c r="F20" i="11" s="1"/>
  <c r="F19" i="11" a="1"/>
  <c r="F19" i="11" s="1"/>
  <c r="F18" i="11"/>
  <c r="F18" i="11" a="1"/>
  <c r="F17" i="11" a="1"/>
  <c r="F17" i="11" s="1"/>
  <c r="F16" i="11" a="1"/>
  <c r="F16" i="11" s="1"/>
  <c r="F15" i="11"/>
  <c r="F15" i="11" a="1"/>
  <c r="F14" i="11" a="1"/>
  <c r="F14" i="11" s="1"/>
  <c r="F13" i="11" a="1"/>
  <c r="F13" i="11" s="1"/>
  <c r="F12" i="11"/>
  <c r="F12" i="11" a="1"/>
  <c r="F11" i="11" a="1"/>
  <c r="F11" i="11" s="1"/>
  <c r="F10" i="11" a="1"/>
  <c r="F10" i="11" s="1"/>
  <c r="F9" i="11"/>
  <c r="F9" i="11" a="1"/>
  <c r="F8" i="11" a="1"/>
  <c r="F8" i="11" s="1"/>
  <c r="F7" i="11" a="1"/>
  <c r="F7" i="11" s="1"/>
  <c r="F6" i="11"/>
  <c r="F6" i="11" a="1"/>
  <c r="F5" i="11" a="1"/>
  <c r="F5" i="11" s="1"/>
  <c r="F4" i="11" a="1"/>
  <c r="F4" i="11" s="1"/>
  <c r="F3" i="11" a="1"/>
  <c r="F3" i="11" s="1"/>
  <c r="F2" i="11" a="1"/>
  <c r="F2" i="11" s="1"/>
  <c r="D74" i="11"/>
  <c r="D71" i="11"/>
  <c r="D68" i="11"/>
  <c r="D65" i="11"/>
  <c r="D62" i="11"/>
  <c r="D45" i="11"/>
  <c r="D42" i="11"/>
  <c r="D39" i="11"/>
  <c r="D36" i="11"/>
  <c r="D33" i="11"/>
  <c r="D30" i="11"/>
  <c r="D28" i="11"/>
  <c r="D27" i="11"/>
  <c r="D25" i="11"/>
  <c r="D24" i="11"/>
  <c r="D22" i="11"/>
  <c r="D21" i="11"/>
  <c r="D19" i="11"/>
  <c r="D18" i="11"/>
  <c r="D15" i="11"/>
  <c r="D13" i="11"/>
  <c r="D12" i="11"/>
  <c r="D10" i="11"/>
  <c r="D9" i="11"/>
  <c r="D8" i="11"/>
  <c r="D7" i="11"/>
  <c r="D6" i="11"/>
  <c r="D5" i="11"/>
  <c r="D4" i="11"/>
  <c r="D3" i="11"/>
  <c r="D2" i="11"/>
  <c r="D78" i="11" s="1"/>
  <c r="E2" i="11" s="1"/>
  <c r="B2" i="10"/>
  <c r="F3" i="8" a="1"/>
  <c r="F3" i="8"/>
  <c r="F4" i="8" a="1"/>
  <c r="F4" i="8"/>
  <c r="F5" i="8" a="1"/>
  <c r="F5" i="8"/>
  <c r="F6" i="8" a="1"/>
  <c r="F6" i="8"/>
  <c r="F7" i="8" a="1"/>
  <c r="F7" i="8"/>
  <c r="F8" i="8" a="1"/>
  <c r="F8" i="8"/>
  <c r="F9" i="8" a="1"/>
  <c r="F9" i="8"/>
  <c r="F10" i="8" a="1"/>
  <c r="F10" i="8"/>
  <c r="F11" i="8" a="1"/>
  <c r="F11" i="8"/>
  <c r="F12" i="8" a="1"/>
  <c r="F12" i="8" s="1"/>
  <c r="F13" i="8" a="1"/>
  <c r="F13" i="8" s="1"/>
  <c r="F14" i="8" a="1"/>
  <c r="F14" i="8" s="1"/>
  <c r="F15" i="8" a="1"/>
  <c r="F15" i="8" s="1"/>
  <c r="F16" i="8" a="1"/>
  <c r="F16" i="8" s="1"/>
  <c r="F17" i="8" a="1"/>
  <c r="F17" i="8"/>
  <c r="F18" i="8" a="1"/>
  <c r="F18" i="8" s="1"/>
  <c r="F19" i="8" a="1"/>
  <c r="F19" i="8" s="1"/>
  <c r="F20" i="8" a="1"/>
  <c r="F20" i="8"/>
  <c r="F21" i="8" a="1"/>
  <c r="F21" i="8" s="1"/>
  <c r="F22" i="8" a="1"/>
  <c r="F22" i="8" s="1"/>
  <c r="F23" i="8" a="1"/>
  <c r="F23" i="8"/>
  <c r="F24" i="8" a="1"/>
  <c r="F24" i="8" s="1"/>
  <c r="F25" i="8" a="1"/>
  <c r="F25" i="8" s="1"/>
  <c r="F26" i="8" a="1"/>
  <c r="F26" i="8"/>
  <c r="F27" i="8" a="1"/>
  <c r="F27" i="8" s="1"/>
  <c r="F28" i="8" a="1"/>
  <c r="F28" i="8" s="1"/>
  <c r="F29" i="8" a="1"/>
  <c r="F29" i="8"/>
  <c r="F30" i="8" a="1"/>
  <c r="F30" i="8" s="1"/>
  <c r="F31" i="8" a="1"/>
  <c r="F31" i="8" s="1"/>
  <c r="F32" i="8" a="1"/>
  <c r="F32" i="8"/>
  <c r="F33" i="8" a="1"/>
  <c r="F33" i="8" s="1"/>
  <c r="F34" i="8" a="1"/>
  <c r="F34" i="8" s="1"/>
  <c r="F35" i="8" a="1"/>
  <c r="F35" i="8"/>
  <c r="F36" i="8" a="1"/>
  <c r="F36" i="8" s="1"/>
  <c r="F37" i="8" a="1"/>
  <c r="F37" i="8" s="1"/>
  <c r="F38" i="8" a="1"/>
  <c r="F38" i="8"/>
  <c r="F39" i="8" a="1"/>
  <c r="F39" i="8" s="1"/>
  <c r="F40" i="8" a="1"/>
  <c r="F40" i="8" s="1"/>
  <c r="F41" i="8" a="1"/>
  <c r="F41" i="8"/>
  <c r="F42" i="8" a="1"/>
  <c r="F42" i="8" s="1"/>
  <c r="F43" i="8" a="1"/>
  <c r="F43" i="8" s="1"/>
  <c r="F44" i="8" a="1"/>
  <c r="F44" i="8"/>
  <c r="F45" i="8" a="1"/>
  <c r="F45" i="8" s="1"/>
  <c r="F46" i="8" a="1"/>
  <c r="F46" i="8" s="1"/>
  <c r="F47" i="8" a="1"/>
  <c r="F47" i="8"/>
  <c r="F2" i="8" a="1"/>
  <c r="F2" i="8" s="1"/>
  <c r="B2" i="8"/>
  <c r="M3" i="9" a="1"/>
  <c r="M3" i="9"/>
  <c r="M4" i="9" a="1"/>
  <c r="M4" i="9"/>
  <c r="M5" i="9" a="1"/>
  <c r="M5" i="9"/>
  <c r="M6" i="9" a="1"/>
  <c r="M6" i="9"/>
  <c r="M7" i="9" a="1"/>
  <c r="M7" i="9"/>
  <c r="M8" i="9" a="1"/>
  <c r="M8" i="9"/>
  <c r="M9" i="9" a="1"/>
  <c r="M9" i="9"/>
  <c r="M10" i="9" a="1"/>
  <c r="M10" i="9"/>
  <c r="M11" i="9" a="1"/>
  <c r="M11" i="9"/>
  <c r="M12" i="9" a="1"/>
  <c r="M12" i="9" s="1"/>
  <c r="M13" i="9" a="1"/>
  <c r="M13" i="9"/>
  <c r="M14" i="9" a="1"/>
  <c r="M14" i="9" s="1"/>
  <c r="M15" i="9" a="1"/>
  <c r="M15" i="9" s="1"/>
  <c r="M16" i="9" a="1"/>
  <c r="M16" i="9" s="1"/>
  <c r="M17" i="9" a="1"/>
  <c r="M17" i="9" s="1"/>
  <c r="M18" i="9" a="1"/>
  <c r="M18" i="9" s="1"/>
  <c r="M19" i="9" a="1"/>
  <c r="M19" i="9" s="1"/>
  <c r="M20" i="9" a="1"/>
  <c r="M20" i="9" s="1"/>
  <c r="M21" i="9" a="1"/>
  <c r="M21" i="9" s="1"/>
  <c r="M22" i="9" a="1"/>
  <c r="M22" i="9" s="1"/>
  <c r="M23" i="9" a="1"/>
  <c r="M23" i="9" s="1"/>
  <c r="M24" i="9" a="1"/>
  <c r="M24" i="9" s="1"/>
  <c r="M25" i="9" a="1"/>
  <c r="M25" i="9" s="1"/>
  <c r="M26" i="9" a="1"/>
  <c r="M26" i="9" s="1"/>
  <c r="M27" i="9" a="1"/>
  <c r="M27" i="9" s="1"/>
  <c r="M28" i="9" a="1"/>
  <c r="M28" i="9" s="1"/>
  <c r="M29" i="9" a="1"/>
  <c r="M29" i="9" s="1"/>
  <c r="M30" i="9" a="1"/>
  <c r="M30" i="9" s="1"/>
  <c r="M31" i="9" a="1"/>
  <c r="M31" i="9"/>
  <c r="M32" i="9" a="1"/>
  <c r="M32" i="9" s="1"/>
  <c r="M33" i="9" a="1"/>
  <c r="M33" i="9" s="1"/>
  <c r="M34" i="9" a="1"/>
  <c r="M34" i="9"/>
  <c r="M35" i="9" a="1"/>
  <c r="M35" i="9" s="1"/>
  <c r="M36" i="9" a="1"/>
  <c r="M36" i="9" s="1"/>
  <c r="M37" i="9" a="1"/>
  <c r="M37" i="9"/>
  <c r="M38" i="9" a="1"/>
  <c r="M38" i="9" s="1"/>
  <c r="M39" i="9" a="1"/>
  <c r="M39" i="9" s="1"/>
  <c r="M40" i="9" a="1"/>
  <c r="M40" i="9"/>
  <c r="M41" i="9" a="1"/>
  <c r="M41" i="9" s="1"/>
  <c r="M42" i="9" a="1"/>
  <c r="M42" i="9" s="1"/>
  <c r="M43" i="9" a="1"/>
  <c r="M43" i="9"/>
  <c r="M44" i="9" a="1"/>
  <c r="M44" i="9" s="1"/>
  <c r="M45" i="9" a="1"/>
  <c r="M45" i="9" s="1"/>
  <c r="M46" i="9" a="1"/>
  <c r="M46" i="9"/>
  <c r="M47" i="9" a="1"/>
  <c r="M47" i="9" s="1"/>
  <c r="M2" i="9" a="1"/>
  <c r="M2" i="9" s="1"/>
  <c r="L3" i="9" a="1"/>
  <c r="L3" i="9"/>
  <c r="L4" i="9" a="1"/>
  <c r="L4" i="9"/>
  <c r="L5" i="9" a="1"/>
  <c r="L5" i="9"/>
  <c r="L6" i="9" a="1"/>
  <c r="L6" i="9"/>
  <c r="L7" i="9" a="1"/>
  <c r="L7" i="9"/>
  <c r="L8" i="9" a="1"/>
  <c r="L8" i="9"/>
  <c r="L9" i="9" a="1"/>
  <c r="L9" i="9"/>
  <c r="L10" i="9" a="1"/>
  <c r="L10" i="9"/>
  <c r="L11" i="9" a="1"/>
  <c r="L11" i="9"/>
  <c r="L12" i="9" a="1"/>
  <c r="L12" i="9" s="1"/>
  <c r="L13" i="9" a="1"/>
  <c r="L13" i="9" s="1"/>
  <c r="L14" i="9" a="1"/>
  <c r="L14" i="9"/>
  <c r="L15" i="9" a="1"/>
  <c r="L15" i="9" s="1"/>
  <c r="L16" i="9" a="1"/>
  <c r="L16" i="9" s="1"/>
  <c r="L17" i="9" a="1"/>
  <c r="L17" i="9" s="1"/>
  <c r="L18" i="9" a="1"/>
  <c r="L18" i="9" s="1"/>
  <c r="L19" i="9" a="1"/>
  <c r="L19" i="9"/>
  <c r="L20" i="9" a="1"/>
  <c r="L20" i="9" s="1"/>
  <c r="L21" i="9" a="1"/>
  <c r="L21" i="9" s="1"/>
  <c r="L22" i="9" a="1"/>
  <c r="L22" i="9"/>
  <c r="L23" i="9" a="1"/>
  <c r="L23" i="9" s="1"/>
  <c r="L24" i="9" a="1"/>
  <c r="L24" i="9" s="1"/>
  <c r="L25" i="9" a="1"/>
  <c r="L25" i="9"/>
  <c r="L26" i="9" a="1"/>
  <c r="L26" i="9" s="1"/>
  <c r="L27" i="9" a="1"/>
  <c r="L27" i="9" s="1"/>
  <c r="L28" i="9" a="1"/>
  <c r="L28" i="9"/>
  <c r="L29" i="9" a="1"/>
  <c r="L29" i="9" s="1"/>
  <c r="L30" i="9" a="1"/>
  <c r="L30" i="9" s="1"/>
  <c r="L31" i="9" a="1"/>
  <c r="L31" i="9"/>
  <c r="L32" i="9" a="1"/>
  <c r="L32" i="9" s="1"/>
  <c r="L33" i="9" a="1"/>
  <c r="L33" i="9" s="1"/>
  <c r="L34" i="9" a="1"/>
  <c r="L34" i="9"/>
  <c r="L35" i="9" a="1"/>
  <c r="L35" i="9"/>
  <c r="L36" i="9" a="1"/>
  <c r="L36" i="9" s="1"/>
  <c r="L37" i="9" a="1"/>
  <c r="L37" i="9"/>
  <c r="L38" i="9" a="1"/>
  <c r="L38" i="9"/>
  <c r="L39" i="9" a="1"/>
  <c r="L39" i="9" s="1"/>
  <c r="L40" i="9" a="1"/>
  <c r="L40" i="9"/>
  <c r="L41" i="9" a="1"/>
  <c r="L41" i="9"/>
  <c r="L42" i="9" a="1"/>
  <c r="L42" i="9" s="1"/>
  <c r="L43" i="9" a="1"/>
  <c r="L43" i="9"/>
  <c r="L44" i="9" a="1"/>
  <c r="L44" i="9"/>
  <c r="L45" i="9" a="1"/>
  <c r="L45" i="9" s="1"/>
  <c r="L46" i="9" a="1"/>
  <c r="L46" i="9" s="1"/>
  <c r="L47" i="9" a="1"/>
  <c r="L47" i="9"/>
  <c r="L2" i="9" a="1"/>
  <c r="L2" i="9" s="1"/>
  <c r="K3" i="9" a="1"/>
  <c r="K3" i="9"/>
  <c r="K4" i="9" a="1"/>
  <c r="K4" i="9"/>
  <c r="K5" i="9" a="1"/>
  <c r="K5" i="9"/>
  <c r="K6" i="9" a="1"/>
  <c r="K6" i="9"/>
  <c r="K7" i="9" a="1"/>
  <c r="K7" i="9"/>
  <c r="K8" i="9" a="1"/>
  <c r="K8" i="9"/>
  <c r="K9" i="9" a="1"/>
  <c r="K9" i="9"/>
  <c r="K10" i="9" a="1"/>
  <c r="K10" i="9"/>
  <c r="K11" i="9" a="1"/>
  <c r="K11" i="9"/>
  <c r="K12" i="9" a="1"/>
  <c r="K12" i="9" s="1"/>
  <c r="K13" i="9" a="1"/>
  <c r="K13" i="9" s="1"/>
  <c r="K14" i="9" a="1"/>
  <c r="K14" i="9"/>
  <c r="K15" i="9" a="1"/>
  <c r="K15" i="9" s="1"/>
  <c r="K16" i="9" a="1"/>
  <c r="K16" i="9"/>
  <c r="K17" i="9" a="1"/>
  <c r="K17" i="9" s="1"/>
  <c r="K18" i="9" a="1"/>
  <c r="K18" i="9" s="1"/>
  <c r="K19" i="9" a="1"/>
  <c r="K19" i="9"/>
  <c r="K20" i="9" a="1"/>
  <c r="K20" i="9" s="1"/>
  <c r="K21" i="9" a="1"/>
  <c r="K21" i="9" s="1"/>
  <c r="K22" i="9" a="1"/>
  <c r="K22" i="9"/>
  <c r="K23" i="9" a="1"/>
  <c r="K23" i="9" s="1"/>
  <c r="K24" i="9" a="1"/>
  <c r="K24" i="9" s="1"/>
  <c r="K25" i="9" a="1"/>
  <c r="K25" i="9"/>
  <c r="K26" i="9" a="1"/>
  <c r="K26" i="9" s="1"/>
  <c r="K27" i="9" a="1"/>
  <c r="K27" i="9" s="1"/>
  <c r="K28" i="9" a="1"/>
  <c r="K28" i="9"/>
  <c r="K29" i="9" a="1"/>
  <c r="K29" i="9" s="1"/>
  <c r="K30" i="9" a="1"/>
  <c r="K30" i="9" s="1"/>
  <c r="K31" i="9" a="1"/>
  <c r="K31" i="9"/>
  <c r="K32" i="9" a="1"/>
  <c r="K32" i="9" s="1"/>
  <c r="K33" i="9" a="1"/>
  <c r="K33" i="9" s="1"/>
  <c r="K34" i="9" a="1"/>
  <c r="K34" i="9"/>
  <c r="K35" i="9" a="1"/>
  <c r="K35" i="9" s="1"/>
  <c r="K36" i="9" a="1"/>
  <c r="K36" i="9" s="1"/>
  <c r="K37" i="9" a="1"/>
  <c r="K37" i="9"/>
  <c r="K38" i="9" a="1"/>
  <c r="K38" i="9" s="1"/>
  <c r="K39" i="9" a="1"/>
  <c r="K39" i="9" s="1"/>
  <c r="K40" i="9" a="1"/>
  <c r="K40" i="9"/>
  <c r="K41" i="9" a="1"/>
  <c r="K41" i="9" s="1"/>
  <c r="K42" i="9" a="1"/>
  <c r="K42" i="9" s="1"/>
  <c r="K43" i="9" a="1"/>
  <c r="K43" i="9"/>
  <c r="K44" i="9" a="1"/>
  <c r="K44" i="9" s="1"/>
  <c r="K45" i="9" a="1"/>
  <c r="K45" i="9" s="1"/>
  <c r="K46" i="9" a="1"/>
  <c r="K46" i="9"/>
  <c r="K47" i="9" a="1"/>
  <c r="K47" i="9" s="1"/>
  <c r="K2" i="9" a="1"/>
  <c r="K2" i="9" s="1"/>
  <c r="J3" i="9" a="1"/>
  <c r="J3" i="9"/>
  <c r="J4" i="9" a="1"/>
  <c r="J4" i="9"/>
  <c r="J5" i="9" a="1"/>
  <c r="J5" i="9"/>
  <c r="J6" i="9" a="1"/>
  <c r="J6" i="9"/>
  <c r="J7" i="9" a="1"/>
  <c r="J7" i="9"/>
  <c r="J8" i="9" a="1"/>
  <c r="J8" i="9"/>
  <c r="J9" i="9" a="1"/>
  <c r="J9" i="9"/>
  <c r="J10" i="9" a="1"/>
  <c r="J10" i="9"/>
  <c r="J11" i="9" a="1"/>
  <c r="J11" i="9"/>
  <c r="J12" i="9" a="1"/>
  <c r="J12" i="9" s="1"/>
  <c r="J13" i="9" a="1"/>
  <c r="J13" i="9"/>
  <c r="J14" i="9" a="1"/>
  <c r="J14" i="9"/>
  <c r="J15" i="9" a="1"/>
  <c r="J15" i="9" s="1"/>
  <c r="J16" i="9" a="1"/>
  <c r="J16" i="9"/>
  <c r="J17" i="9" a="1"/>
  <c r="J17" i="9" s="1"/>
  <c r="J18" i="9" a="1"/>
  <c r="J18" i="9" s="1"/>
  <c r="J19" i="9" a="1"/>
  <c r="J19" i="9"/>
  <c r="J20" i="9" a="1"/>
  <c r="J20" i="9"/>
  <c r="J21" i="9" a="1"/>
  <c r="J21" i="9" s="1"/>
  <c r="J22" i="9" a="1"/>
  <c r="J22" i="9"/>
  <c r="J23" i="9" a="1"/>
  <c r="J23" i="9" s="1"/>
  <c r="J24" i="9" a="1"/>
  <c r="J24" i="9" s="1"/>
  <c r="J25" i="9" a="1"/>
  <c r="J25" i="9"/>
  <c r="J26" i="9" a="1"/>
  <c r="J26" i="9" s="1"/>
  <c r="J27" i="9" a="1"/>
  <c r="J27" i="9" s="1"/>
  <c r="J28" i="9" a="1"/>
  <c r="J28" i="9"/>
  <c r="J29" i="9" a="1"/>
  <c r="J29" i="9" s="1"/>
  <c r="J30" i="9" a="1"/>
  <c r="J30" i="9" s="1"/>
  <c r="J31" i="9" a="1"/>
  <c r="J31" i="9"/>
  <c r="J32" i="9" a="1"/>
  <c r="J32" i="9"/>
  <c r="J33" i="9" a="1"/>
  <c r="J33" i="9" s="1"/>
  <c r="J34" i="9" a="1"/>
  <c r="J34" i="9"/>
  <c r="J35" i="9" a="1"/>
  <c r="J35" i="9"/>
  <c r="J36" i="9" a="1"/>
  <c r="J36" i="9" s="1"/>
  <c r="J37" i="9" a="1"/>
  <c r="J37" i="9"/>
  <c r="J38" i="9" a="1"/>
  <c r="J38" i="9"/>
  <c r="J39" i="9" a="1"/>
  <c r="J39" i="9" s="1"/>
  <c r="J40" i="9" a="1"/>
  <c r="J40" i="9"/>
  <c r="J41" i="9" a="1"/>
  <c r="J41" i="9"/>
  <c r="J42" i="9" a="1"/>
  <c r="J42" i="9" s="1"/>
  <c r="J43" i="9" a="1"/>
  <c r="J43" i="9"/>
  <c r="J44" i="9" a="1"/>
  <c r="J44" i="9"/>
  <c r="J45" i="9" a="1"/>
  <c r="J45" i="9" s="1"/>
  <c r="J46" i="9" a="1"/>
  <c r="J46" i="9" s="1"/>
  <c r="J47" i="9" a="1"/>
  <c r="J47" i="9"/>
  <c r="J2" i="9" a="1"/>
  <c r="J2" i="9" s="1"/>
  <c r="I3" i="9" a="1"/>
  <c r="I3" i="9"/>
  <c r="I4" i="9" a="1"/>
  <c r="I4" i="9"/>
  <c r="I5" i="9" a="1"/>
  <c r="I5" i="9"/>
  <c r="I6" i="9" a="1"/>
  <c r="I6" i="9"/>
  <c r="I7" i="9" a="1"/>
  <c r="I7" i="9"/>
  <c r="I8" i="9" a="1"/>
  <c r="I8" i="9"/>
  <c r="I9" i="9" a="1"/>
  <c r="I9" i="9"/>
  <c r="I10" i="9" a="1"/>
  <c r="I10" i="9"/>
  <c r="I11" i="9" a="1"/>
  <c r="I11" i="9"/>
  <c r="I12" i="9" a="1"/>
  <c r="I12" i="9" s="1"/>
  <c r="I13" i="9" a="1"/>
  <c r="I13" i="9" s="1"/>
  <c r="I14" i="9" a="1"/>
  <c r="I14" i="9"/>
  <c r="I15" i="9" a="1"/>
  <c r="I15" i="9" s="1"/>
  <c r="I16" i="9" a="1"/>
  <c r="I16" i="9" s="1"/>
  <c r="I17" i="9" a="1"/>
  <c r="I17" i="9"/>
  <c r="I18" i="9" a="1"/>
  <c r="I18" i="9" s="1"/>
  <c r="I19" i="9" a="1"/>
  <c r="I19" i="9" s="1"/>
  <c r="I20" i="9" a="1"/>
  <c r="I20" i="9"/>
  <c r="I21" i="9" a="1"/>
  <c r="I21" i="9" s="1"/>
  <c r="I22" i="9" a="1"/>
  <c r="I22" i="9"/>
  <c r="I23" i="9" a="1"/>
  <c r="I23" i="9" s="1"/>
  <c r="I24" i="9" a="1"/>
  <c r="I24" i="9" s="1"/>
  <c r="I25" i="9" a="1"/>
  <c r="I25" i="9"/>
  <c r="I26" i="9" a="1"/>
  <c r="I26" i="9" s="1"/>
  <c r="I27" i="9" a="1"/>
  <c r="I27" i="9" s="1"/>
  <c r="I28" i="9" a="1"/>
  <c r="I28" i="9"/>
  <c r="I29" i="9" a="1"/>
  <c r="I29" i="9"/>
  <c r="I30" i="9" a="1"/>
  <c r="I30" i="9" s="1"/>
  <c r="I31" i="9" a="1"/>
  <c r="I31" i="9"/>
  <c r="I32" i="9" a="1"/>
  <c r="I32" i="9"/>
  <c r="I33" i="9" a="1"/>
  <c r="I33" i="9" s="1"/>
  <c r="I34" i="9" a="1"/>
  <c r="I34" i="9"/>
  <c r="I35" i="9" a="1"/>
  <c r="I35" i="9"/>
  <c r="I36" i="9" a="1"/>
  <c r="I36" i="9" s="1"/>
  <c r="I37" i="9" a="1"/>
  <c r="I37" i="9"/>
  <c r="I38" i="9" a="1"/>
  <c r="I38" i="9"/>
  <c r="I39" i="9" a="1"/>
  <c r="I39" i="9" s="1"/>
  <c r="I40" i="9" a="1"/>
  <c r="I40" i="9"/>
  <c r="I41" i="9" a="1"/>
  <c r="I41" i="9"/>
  <c r="I42" i="9" a="1"/>
  <c r="I42" i="9" s="1"/>
  <c r="I43" i="9" a="1"/>
  <c r="I43" i="9"/>
  <c r="I44" i="9" a="1"/>
  <c r="I44" i="9"/>
  <c r="I45" i="9" a="1"/>
  <c r="I45" i="9" s="1"/>
  <c r="I46" i="9" a="1"/>
  <c r="I46" i="9" s="1"/>
  <c r="I47" i="9" a="1"/>
  <c r="I47" i="9"/>
  <c r="I2" i="9" a="1"/>
  <c r="I2" i="9" s="1"/>
  <c r="H3" i="9" a="1"/>
  <c r="H3" i="9"/>
  <c r="H4" i="9" a="1"/>
  <c r="H4" i="9"/>
  <c r="H5" i="9" a="1"/>
  <c r="H5" i="9"/>
  <c r="H6" i="9" a="1"/>
  <c r="H6" i="9"/>
  <c r="H7" i="9" a="1"/>
  <c r="H7" i="9"/>
  <c r="H8" i="9" a="1"/>
  <c r="H8" i="9"/>
  <c r="H9" i="9" a="1"/>
  <c r="H9" i="9"/>
  <c r="H10" i="9" a="1"/>
  <c r="H10" i="9"/>
  <c r="H11" i="9" a="1"/>
  <c r="H11" i="9"/>
  <c r="H12" i="9" a="1"/>
  <c r="H12" i="9" s="1"/>
  <c r="H13" i="9" a="1"/>
  <c r="H13" i="9" s="1"/>
  <c r="H14" i="9" a="1"/>
  <c r="H14" i="9"/>
  <c r="H15" i="9" a="1"/>
  <c r="H15" i="9" s="1"/>
  <c r="H16" i="9" a="1"/>
  <c r="H16" i="9" s="1"/>
  <c r="H17" i="9" a="1"/>
  <c r="H17" i="9"/>
  <c r="H18" i="9" a="1"/>
  <c r="H18" i="9" s="1"/>
  <c r="H19" i="9" a="1"/>
  <c r="H19" i="9" s="1"/>
  <c r="H20" i="9" a="1"/>
  <c r="H20" i="9"/>
  <c r="H21" i="9" a="1"/>
  <c r="H21" i="9" s="1"/>
  <c r="H22" i="9" a="1"/>
  <c r="H22" i="9" s="1"/>
  <c r="H23" i="9" a="1"/>
  <c r="H23" i="9"/>
  <c r="H24" i="9" a="1"/>
  <c r="H24" i="9" s="1"/>
  <c r="H25" i="9" a="1"/>
  <c r="H25" i="9"/>
  <c r="H26" i="9" a="1"/>
  <c r="H26" i="9" s="1"/>
  <c r="H27" i="9" a="1"/>
  <c r="H27" i="9" s="1"/>
  <c r="H28" i="9" a="1"/>
  <c r="H28" i="9"/>
  <c r="H29" i="9" a="1"/>
  <c r="H29" i="9" s="1"/>
  <c r="H30" i="9" a="1"/>
  <c r="H30" i="9" s="1"/>
  <c r="H31" i="9" a="1"/>
  <c r="H31" i="9"/>
  <c r="H32" i="9" a="1"/>
  <c r="H32" i="9" s="1"/>
  <c r="H33" i="9" a="1"/>
  <c r="H33" i="9" s="1"/>
  <c r="H34" i="9" a="1"/>
  <c r="H34" i="9"/>
  <c r="H35" i="9" a="1"/>
  <c r="H35" i="9" s="1"/>
  <c r="H36" i="9" a="1"/>
  <c r="H36" i="9" s="1"/>
  <c r="H37" i="9" a="1"/>
  <c r="H37" i="9"/>
  <c r="H38" i="9" a="1"/>
  <c r="H38" i="9"/>
  <c r="H39" i="9" a="1"/>
  <c r="H39" i="9" s="1"/>
  <c r="H40" i="9" a="1"/>
  <c r="H40" i="9"/>
  <c r="H41" i="9" a="1"/>
  <c r="H41" i="9"/>
  <c r="H42" i="9" a="1"/>
  <c r="H42" i="9" s="1"/>
  <c r="H43" i="9" a="1"/>
  <c r="H43" i="9"/>
  <c r="H44" i="9" a="1"/>
  <c r="H44" i="9"/>
  <c r="H45" i="9" a="1"/>
  <c r="H45" i="9" s="1"/>
  <c r="H46" i="9" a="1"/>
  <c r="H46" i="9" s="1"/>
  <c r="H47" i="9" a="1"/>
  <c r="H47" i="9"/>
  <c r="H2" i="9" a="1"/>
  <c r="H2" i="9" s="1"/>
  <c r="G3" i="9" a="1"/>
  <c r="G3" i="9"/>
  <c r="G4" i="9" a="1"/>
  <c r="G4" i="9"/>
  <c r="G5" i="9" a="1"/>
  <c r="G5" i="9"/>
  <c r="G6" i="9" a="1"/>
  <c r="G6" i="9"/>
  <c r="G7" i="9" a="1"/>
  <c r="G7" i="9"/>
  <c r="G8" i="9" a="1"/>
  <c r="G8" i="9"/>
  <c r="G9" i="9" a="1"/>
  <c r="G9" i="9"/>
  <c r="G10" i="9" a="1"/>
  <c r="G10" i="9"/>
  <c r="G11" i="9" a="1"/>
  <c r="G11" i="9"/>
  <c r="G12" i="9" a="1"/>
  <c r="G12" i="9" s="1"/>
  <c r="G13" i="9" a="1"/>
  <c r="G13" i="9"/>
  <c r="G14" i="9" a="1"/>
  <c r="G14" i="9" s="1"/>
  <c r="G15" i="9" a="1"/>
  <c r="G15" i="9" s="1"/>
  <c r="G16" i="9" a="1"/>
  <c r="G16" i="9"/>
  <c r="G17" i="9" a="1"/>
  <c r="G17" i="9"/>
  <c r="G18" i="9" a="1"/>
  <c r="G18" i="9" s="1"/>
  <c r="G19" i="9" a="1"/>
  <c r="G19" i="9"/>
  <c r="G20" i="9" a="1"/>
  <c r="G20" i="9" s="1"/>
  <c r="G21" i="9" a="1"/>
  <c r="G21" i="9" s="1"/>
  <c r="G22" i="9" a="1"/>
  <c r="G22" i="9"/>
  <c r="G23" i="9" a="1"/>
  <c r="G23" i="9"/>
  <c r="G24" i="9" a="1"/>
  <c r="G24" i="9" s="1"/>
  <c r="G25" i="9" a="1"/>
  <c r="G25" i="9"/>
  <c r="G26" i="9" a="1"/>
  <c r="G26" i="9"/>
  <c r="G27" i="9" a="1"/>
  <c r="G27" i="9" s="1"/>
  <c r="G28" i="9" a="1"/>
  <c r="G28" i="9"/>
  <c r="G29" i="9" a="1"/>
  <c r="G29" i="9"/>
  <c r="G30" i="9" a="1"/>
  <c r="G30" i="9" s="1"/>
  <c r="G31" i="9" a="1"/>
  <c r="G31" i="9"/>
  <c r="G32" i="9" a="1"/>
  <c r="G32" i="9"/>
  <c r="G33" i="9" a="1"/>
  <c r="G33" i="9" s="1"/>
  <c r="G34" i="9" a="1"/>
  <c r="G34" i="9"/>
  <c r="G35" i="9" a="1"/>
  <c r="G35" i="9"/>
  <c r="G36" i="9" a="1"/>
  <c r="G36" i="9" s="1"/>
  <c r="G37" i="9" a="1"/>
  <c r="G37" i="9"/>
  <c r="G38" i="9" a="1"/>
  <c r="G38" i="9" s="1"/>
  <c r="G39" i="9" a="1"/>
  <c r="G39" i="9" s="1"/>
  <c r="G40" i="9" a="1"/>
  <c r="G40" i="9"/>
  <c r="G41" i="9" a="1"/>
  <c r="G41" i="9" s="1"/>
  <c r="G42" i="9" a="1"/>
  <c r="G42" i="9" s="1"/>
  <c r="G43" i="9" a="1"/>
  <c r="G43" i="9"/>
  <c r="G44" i="9" a="1"/>
  <c r="G44" i="9" s="1"/>
  <c r="G45" i="9" a="1"/>
  <c r="G45" i="9" s="1"/>
  <c r="G46" i="9" a="1"/>
  <c r="G46" i="9" s="1"/>
  <c r="G47" i="9" a="1"/>
  <c r="G47" i="9"/>
  <c r="G2" i="9" a="1"/>
  <c r="G2" i="9" s="1"/>
  <c r="F3" i="9" a="1"/>
  <c r="F3" i="9"/>
  <c r="F4" i="9" a="1"/>
  <c r="F4" i="9"/>
  <c r="F5" i="9" a="1"/>
  <c r="F5" i="9"/>
  <c r="F6" i="9" a="1"/>
  <c r="F6" i="9"/>
  <c r="F7" i="9" a="1"/>
  <c r="F7" i="9"/>
  <c r="F8" i="9" a="1"/>
  <c r="F8" i="9"/>
  <c r="F9" i="9" a="1"/>
  <c r="F9" i="9"/>
  <c r="F10" i="9" a="1"/>
  <c r="F10" i="9"/>
  <c r="F11" i="9" a="1"/>
  <c r="F11" i="9"/>
  <c r="F12" i="9" a="1"/>
  <c r="F12" i="9" s="1"/>
  <c r="F13" i="9" a="1"/>
  <c r="F13" i="9"/>
  <c r="F14" i="9" a="1"/>
  <c r="F14" i="9" s="1"/>
  <c r="F15" i="9" a="1"/>
  <c r="F15" i="9" s="1"/>
  <c r="F16" i="9" a="1"/>
  <c r="F16" i="9"/>
  <c r="F17" i="9" a="1"/>
  <c r="F17" i="9" s="1"/>
  <c r="F18" i="9" a="1"/>
  <c r="F18" i="9" s="1"/>
  <c r="F19" i="9" a="1"/>
  <c r="F19" i="9"/>
  <c r="F20" i="9" a="1"/>
  <c r="F20" i="9" s="1"/>
  <c r="F21" i="9" a="1"/>
  <c r="F21" i="9" s="1"/>
  <c r="F22" i="9" a="1"/>
  <c r="F22" i="9"/>
  <c r="F23" i="9" a="1"/>
  <c r="F23" i="9" s="1"/>
  <c r="F24" i="9" a="1"/>
  <c r="F24" i="9" s="1"/>
  <c r="F25" i="9" a="1"/>
  <c r="F25" i="9"/>
  <c r="F26" i="9" a="1"/>
  <c r="F26" i="9" s="1"/>
  <c r="F27" i="9" a="1"/>
  <c r="F27" i="9" s="1"/>
  <c r="F28" i="9" a="1"/>
  <c r="F28" i="9"/>
  <c r="F29" i="9" a="1"/>
  <c r="F29" i="9" s="1"/>
  <c r="F30" i="9" a="1"/>
  <c r="F30" i="9" s="1"/>
  <c r="F31" i="9" a="1"/>
  <c r="F31" i="9"/>
  <c r="F32" i="9" a="1"/>
  <c r="F32" i="9" s="1"/>
  <c r="F33" i="9" a="1"/>
  <c r="F33" i="9" s="1"/>
  <c r="F34" i="9" a="1"/>
  <c r="F34" i="9"/>
  <c r="F35" i="9" a="1"/>
  <c r="F35" i="9" s="1"/>
  <c r="F36" i="9" a="1"/>
  <c r="F36" i="9" s="1"/>
  <c r="F37" i="9" a="1"/>
  <c r="F37" i="9" s="1"/>
  <c r="F38" i="9" a="1"/>
  <c r="F38" i="9" s="1"/>
  <c r="F39" i="9" a="1"/>
  <c r="F39" i="9" s="1"/>
  <c r="F40" i="9" a="1"/>
  <c r="F40" i="9" s="1"/>
  <c r="F41" i="9" a="1"/>
  <c r="F41" i="9" s="1"/>
  <c r="F42" i="9" a="1"/>
  <c r="F42" i="9" s="1"/>
  <c r="F43" i="9" a="1"/>
  <c r="F43" i="9" s="1"/>
  <c r="F44" i="9" a="1"/>
  <c r="F44" i="9" s="1"/>
  <c r="F45" i="9" a="1"/>
  <c r="F45" i="9" s="1"/>
  <c r="F46" i="9" a="1"/>
  <c r="F46" i="9" s="1"/>
  <c r="F47" i="9" a="1"/>
  <c r="F47" i="9" s="1"/>
  <c r="F2" i="9" a="1"/>
  <c r="F2" i="9" s="1"/>
  <c r="E3" i="9" a="1"/>
  <c r="E3" i="9"/>
  <c r="E4" i="9" a="1"/>
  <c r="E4" i="9"/>
  <c r="E5" i="9" a="1"/>
  <c r="E5" i="9"/>
  <c r="E6" i="9" a="1"/>
  <c r="E6" i="9"/>
  <c r="E7" i="9" a="1"/>
  <c r="E7" i="9"/>
  <c r="E8" i="9" a="1"/>
  <c r="E8" i="9"/>
  <c r="E9" i="9" a="1"/>
  <c r="E9" i="9"/>
  <c r="E10" i="9" a="1"/>
  <c r="E10" i="9"/>
  <c r="E11" i="9" a="1"/>
  <c r="E11" i="9"/>
  <c r="E12" i="9" a="1"/>
  <c r="E12" i="9" s="1"/>
  <c r="E13" i="9" a="1"/>
  <c r="E13" i="9"/>
  <c r="E14" i="9" a="1"/>
  <c r="E14" i="9" s="1"/>
  <c r="E15" i="9" a="1"/>
  <c r="E15" i="9" s="1"/>
  <c r="E16" i="9" a="1"/>
  <c r="E16" i="9" s="1"/>
  <c r="E17" i="9" a="1"/>
  <c r="E17" i="9"/>
  <c r="E18" i="9" a="1"/>
  <c r="E18" i="9" s="1"/>
  <c r="E19" i="9" a="1"/>
  <c r="E19" i="9" s="1"/>
  <c r="E20" i="9" a="1"/>
  <c r="E20" i="9"/>
  <c r="E21" i="9" a="1"/>
  <c r="E21" i="9" s="1"/>
  <c r="E22" i="9" a="1"/>
  <c r="E22" i="9" s="1"/>
  <c r="E23" i="9" a="1"/>
  <c r="E23" i="9"/>
  <c r="E24" i="9" a="1"/>
  <c r="E24" i="9" s="1"/>
  <c r="E25" i="9" a="1"/>
  <c r="E25" i="9" s="1"/>
  <c r="E26" i="9" a="1"/>
  <c r="E26" i="9"/>
  <c r="E27" i="9" a="1"/>
  <c r="E27" i="9" s="1"/>
  <c r="E28" i="9" a="1"/>
  <c r="E28" i="9" s="1"/>
  <c r="E29" i="9" a="1"/>
  <c r="E29" i="9" s="1"/>
  <c r="E30" i="9" a="1"/>
  <c r="E30" i="9" s="1"/>
  <c r="E31" i="9" a="1"/>
  <c r="E31" i="9" s="1"/>
  <c r="E32" i="9" a="1"/>
  <c r="E32" i="9" s="1"/>
  <c r="E33" i="9" a="1"/>
  <c r="E33" i="9" s="1"/>
  <c r="E34" i="9" a="1"/>
  <c r="E34" i="9" s="1"/>
  <c r="E35" i="9" a="1"/>
  <c r="E35" i="9" s="1"/>
  <c r="E36" i="9" a="1"/>
  <c r="E36" i="9" s="1"/>
  <c r="E37" i="9" a="1"/>
  <c r="E37" i="9"/>
  <c r="E38" i="9" a="1"/>
  <c r="E38" i="9" s="1"/>
  <c r="E39" i="9" a="1"/>
  <c r="E39" i="9" s="1"/>
  <c r="E40" i="9" a="1"/>
  <c r="E40" i="9"/>
  <c r="E41" i="9" a="1"/>
  <c r="E41" i="9" s="1"/>
  <c r="E42" i="9" a="1"/>
  <c r="E42" i="9" s="1"/>
  <c r="E43" i="9" a="1"/>
  <c r="E43" i="9"/>
  <c r="E44" i="9" a="1"/>
  <c r="E44" i="9" s="1"/>
  <c r="E45" i="9" a="1"/>
  <c r="E45" i="9" s="1"/>
  <c r="E46" i="9" a="1"/>
  <c r="E46" i="9"/>
  <c r="E47" i="9" a="1"/>
  <c r="E47" i="9" s="1"/>
  <c r="E2" i="9" a="1"/>
  <c r="E2" i="9" s="1"/>
  <c r="D3" i="9" a="1"/>
  <c r="D3" i="9"/>
  <c r="D4" i="9" a="1"/>
  <c r="D4" i="9"/>
  <c r="D5" i="9" a="1"/>
  <c r="D5" i="9"/>
  <c r="D6" i="9" a="1"/>
  <c r="D6" i="9"/>
  <c r="D7" i="9" a="1"/>
  <c r="D7" i="9"/>
  <c r="D8" i="9" a="1"/>
  <c r="D8" i="9"/>
  <c r="D9" i="9" a="1"/>
  <c r="D9" i="9"/>
  <c r="D10" i="9" a="1"/>
  <c r="D10" i="9"/>
  <c r="D11" i="9" a="1"/>
  <c r="D11" i="9"/>
  <c r="D12" i="9" a="1"/>
  <c r="D12" i="9" s="1"/>
  <c r="D13" i="9" a="1"/>
  <c r="D13" i="9" s="1"/>
  <c r="D14" i="9" a="1"/>
  <c r="D14" i="9" s="1"/>
  <c r="D15" i="9" a="1"/>
  <c r="D15" i="9" s="1"/>
  <c r="D16" i="9" a="1"/>
  <c r="D16" i="9" s="1"/>
  <c r="D17" i="9" a="1"/>
  <c r="D17" i="9" s="1"/>
  <c r="D18" i="9" a="1"/>
  <c r="D18" i="9" s="1"/>
  <c r="D19" i="9" a="1"/>
  <c r="D19" i="9" s="1"/>
  <c r="D20" i="9" a="1"/>
  <c r="D20" i="9"/>
  <c r="D21" i="9" a="1"/>
  <c r="D21" i="9" s="1"/>
  <c r="D22" i="9" a="1"/>
  <c r="D22" i="9" s="1"/>
  <c r="D23" i="9" a="1"/>
  <c r="D23" i="9"/>
  <c r="D24" i="9" a="1"/>
  <c r="D24" i="9" s="1"/>
  <c r="D25" i="9" a="1"/>
  <c r="D25" i="9" s="1"/>
  <c r="D26" i="9" a="1"/>
  <c r="D26" i="9"/>
  <c r="D27" i="9" a="1"/>
  <c r="D27" i="9" s="1"/>
  <c r="D28" i="9" a="1"/>
  <c r="D28" i="9" s="1"/>
  <c r="D29" i="9" a="1"/>
  <c r="D29" i="9"/>
  <c r="D30" i="9" a="1"/>
  <c r="D30" i="9" s="1"/>
  <c r="D31" i="9" a="1"/>
  <c r="D31" i="9" s="1"/>
  <c r="D32" i="9" a="1"/>
  <c r="D32" i="9"/>
  <c r="D33" i="9" a="1"/>
  <c r="D33" i="9" s="1"/>
  <c r="D34" i="9" a="1"/>
  <c r="D34" i="9" s="1"/>
  <c r="D35" i="9" a="1"/>
  <c r="D35" i="9"/>
  <c r="D36" i="9" a="1"/>
  <c r="D36" i="9" s="1"/>
  <c r="D37" i="9" a="1"/>
  <c r="D37" i="9" s="1"/>
  <c r="D38" i="9" a="1"/>
  <c r="D38" i="9"/>
  <c r="D39" i="9" a="1"/>
  <c r="D39" i="9" s="1"/>
  <c r="D40" i="9" a="1"/>
  <c r="D40" i="9" s="1"/>
  <c r="D41" i="9" a="1"/>
  <c r="D41" i="9"/>
  <c r="D42" i="9" a="1"/>
  <c r="D42" i="9" s="1"/>
  <c r="D43" i="9" a="1"/>
  <c r="D43" i="9" s="1"/>
  <c r="D44" i="9" a="1"/>
  <c r="D44" i="9"/>
  <c r="D45" i="9" a="1"/>
  <c r="D45" i="9" s="1"/>
  <c r="D46" i="9" a="1"/>
  <c r="D46" i="9" s="1"/>
  <c r="D47" i="9" a="1"/>
  <c r="D47" i="9"/>
  <c r="D2" i="9" a="1"/>
  <c r="D2" i="9" s="1"/>
  <c r="C2" i="9" a="1"/>
  <c r="C2" i="9"/>
  <c r="C3" i="9" a="1"/>
  <c r="C3" i="9"/>
  <c r="C4" i="9" a="1"/>
  <c r="C4" i="9"/>
  <c r="C5" i="9" a="1"/>
  <c r="C5" i="9"/>
  <c r="C6" i="9" a="1"/>
  <c r="C6" i="9"/>
  <c r="C7" i="9" a="1"/>
  <c r="C7" i="9"/>
  <c r="C8" i="9" a="1"/>
  <c r="C8" i="9"/>
  <c r="C9" i="9" a="1"/>
  <c r="C9" i="9"/>
  <c r="C10" i="9" a="1"/>
  <c r="C10" i="9"/>
  <c r="C11" i="9" a="1"/>
  <c r="C11" i="9"/>
  <c r="C12" i="9" a="1"/>
  <c r="C12" i="9" s="1"/>
  <c r="C13" i="9" a="1"/>
  <c r="C13" i="9" s="1"/>
  <c r="C14" i="9" a="1"/>
  <c r="C14" i="9" s="1"/>
  <c r="C15" i="9" a="1"/>
  <c r="C15" i="9" s="1"/>
  <c r="C16" i="9" a="1"/>
  <c r="C16" i="9" s="1"/>
  <c r="C17" i="9" a="1"/>
  <c r="C17" i="9"/>
  <c r="C18" i="9" a="1"/>
  <c r="C18" i="9" s="1"/>
  <c r="C19" i="9" a="1"/>
  <c r="C19" i="9" s="1"/>
  <c r="C20" i="9" a="1"/>
  <c r="C20" i="9"/>
  <c r="C21" i="9" a="1"/>
  <c r="C21" i="9" s="1"/>
  <c r="C22" i="9" a="1"/>
  <c r="C22" i="9"/>
  <c r="C23" i="9" a="1"/>
  <c r="C23" i="9" s="1"/>
  <c r="C24" i="9" a="1"/>
  <c r="C24" i="9" s="1"/>
  <c r="C25" i="9" a="1"/>
  <c r="C25" i="9"/>
  <c r="C26" i="9" a="1"/>
  <c r="C26" i="9" s="1"/>
  <c r="C27" i="9" a="1"/>
  <c r="C27" i="9" s="1"/>
  <c r="C28" i="9" a="1"/>
  <c r="C28" i="9"/>
  <c r="C29" i="9" a="1"/>
  <c r="C29" i="9" s="1"/>
  <c r="C30" i="9" a="1"/>
  <c r="C30" i="9" s="1"/>
  <c r="C31" i="9" a="1"/>
  <c r="C31" i="9"/>
  <c r="C32" i="9" a="1"/>
  <c r="C32" i="9"/>
  <c r="C33" i="9" a="1"/>
  <c r="C33" i="9" s="1"/>
  <c r="C34" i="9" a="1"/>
  <c r="C34" i="9"/>
  <c r="C35" i="9" a="1"/>
  <c r="C35" i="9"/>
  <c r="C36" i="9" a="1"/>
  <c r="C36" i="9" s="1"/>
  <c r="C37" i="9" a="1"/>
  <c r="C37" i="9" s="1"/>
  <c r="C38" i="9" a="1"/>
  <c r="C38" i="9"/>
  <c r="C39" i="9" a="1"/>
  <c r="C39" i="9" s="1"/>
  <c r="C40" i="9" a="1"/>
  <c r="C40" i="9" s="1"/>
  <c r="C41" i="9" a="1"/>
  <c r="C41" i="9"/>
  <c r="C42" i="9" a="1"/>
  <c r="C42" i="9" s="1"/>
  <c r="C43" i="9" a="1"/>
  <c r="C43" i="9"/>
  <c r="C44" i="9" a="1"/>
  <c r="C44" i="9"/>
  <c r="C45" i="9" a="1"/>
  <c r="C45" i="9" s="1"/>
  <c r="C46" i="9" a="1"/>
  <c r="C46" i="9" s="1"/>
  <c r="C47" i="9" a="1"/>
  <c r="C47" i="9"/>
  <c r="B3" i="9" a="1"/>
  <c r="B3" i="9"/>
  <c r="B4" i="9" a="1"/>
  <c r="B4" i="9"/>
  <c r="B5" i="9" a="1"/>
  <c r="B5" i="9"/>
  <c r="B6" i="9" a="1"/>
  <c r="B6" i="9"/>
  <c r="B7" i="9" a="1"/>
  <c r="B7" i="9"/>
  <c r="B8" i="9" a="1"/>
  <c r="B8" i="9"/>
  <c r="B9" i="9" a="1"/>
  <c r="B9" i="9"/>
  <c r="B10" i="9" a="1"/>
  <c r="B10" i="9"/>
  <c r="B11" i="9" a="1"/>
  <c r="B11" i="9"/>
  <c r="B12" i="9" a="1"/>
  <c r="B12" i="9" s="1"/>
  <c r="B13" i="9" a="1"/>
  <c r="B13" i="9" s="1"/>
  <c r="B14" i="9" a="1"/>
  <c r="B14" i="9"/>
  <c r="B15" i="9" a="1"/>
  <c r="B15" i="9" s="1"/>
  <c r="B16" i="9" a="1"/>
  <c r="B16" i="9"/>
  <c r="B17" i="9" a="1"/>
  <c r="B17" i="9"/>
  <c r="B18" i="9" a="1"/>
  <c r="B18" i="9" s="1"/>
  <c r="B19" i="9" a="1"/>
  <c r="B19" i="9" s="1"/>
  <c r="B20" i="9" a="1"/>
  <c r="B20" i="9" s="1"/>
  <c r="B21" i="9" a="1"/>
  <c r="B21" i="9" s="1"/>
  <c r="B22" i="9" a="1"/>
  <c r="B22" i="9" s="1"/>
  <c r="B23" i="9" a="1"/>
  <c r="B23" i="9" s="1"/>
  <c r="B24" i="9" a="1"/>
  <c r="B24" i="9" s="1"/>
  <c r="B25" i="9" a="1"/>
  <c r="B25" i="9" s="1"/>
  <c r="B26" i="9" a="1"/>
  <c r="B26" i="9" s="1"/>
  <c r="B27" i="9" a="1"/>
  <c r="B27" i="9" s="1"/>
  <c r="B28" i="9" a="1"/>
  <c r="B28" i="9" s="1"/>
  <c r="B29" i="9" a="1"/>
  <c r="B29" i="9" s="1"/>
  <c r="B30" i="9" a="1"/>
  <c r="B30" i="9" s="1"/>
  <c r="B31" i="9" a="1"/>
  <c r="B31" i="9" s="1"/>
  <c r="B32" i="9" a="1"/>
  <c r="B32" i="9" s="1"/>
  <c r="B33" i="9" a="1"/>
  <c r="B33" i="9" s="1"/>
  <c r="B34" i="9" a="1"/>
  <c r="B34" i="9" s="1"/>
  <c r="B35" i="9" a="1"/>
  <c r="B35" i="9" s="1"/>
  <c r="B36" i="9" a="1"/>
  <c r="B36" i="9" s="1"/>
  <c r="B37" i="9" a="1"/>
  <c r="B37" i="9" s="1"/>
  <c r="B38" i="9" a="1"/>
  <c r="B38" i="9" s="1"/>
  <c r="B39" i="9" a="1"/>
  <c r="B39" i="9" s="1"/>
  <c r="B40" i="9" a="1"/>
  <c r="B40" i="9" s="1"/>
  <c r="B41" i="9" a="1"/>
  <c r="B41" i="9"/>
  <c r="B42" i="9" a="1"/>
  <c r="B42" i="9" s="1"/>
  <c r="B43" i="9" a="1"/>
  <c r="B43" i="9" s="1"/>
  <c r="B44" i="9" a="1"/>
  <c r="B44" i="9" s="1"/>
  <c r="B45" i="9" a="1"/>
  <c r="B45" i="9" s="1"/>
  <c r="B46" i="9" a="1"/>
  <c r="B46" i="9" s="1"/>
  <c r="B47" i="9" a="1"/>
  <c r="B47" i="9" s="1"/>
  <c r="B2" i="9" a="1"/>
  <c r="B2" i="9" s="1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2" i="9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2" i="8"/>
  <c r="C3" i="8" a="1"/>
  <c r="C3" i="8"/>
  <c r="C4" i="8" a="1"/>
  <c r="C4" i="8"/>
  <c r="C5" i="8" a="1"/>
  <c r="C5" i="8"/>
  <c r="C6" i="8" a="1"/>
  <c r="C6" i="8"/>
  <c r="C7" i="8" a="1"/>
  <c r="C7" i="8"/>
  <c r="C8" i="8" a="1"/>
  <c r="C8" i="8"/>
  <c r="C9" i="8" a="1"/>
  <c r="C9" i="8"/>
  <c r="C10" i="8" a="1"/>
  <c r="C10" i="8"/>
  <c r="C11" i="8" a="1"/>
  <c r="C11" i="8"/>
  <c r="C12" i="8" a="1"/>
  <c r="C12" i="8" s="1"/>
  <c r="C13" i="8" a="1"/>
  <c r="C13" i="8" s="1"/>
  <c r="C14" i="8" a="1"/>
  <c r="C14" i="8" s="1"/>
  <c r="C15" i="8" a="1"/>
  <c r="C15" i="8" s="1"/>
  <c r="C16" i="8" a="1"/>
  <c r="C16" i="8" s="1"/>
  <c r="C17" i="8" a="1"/>
  <c r="C17" i="8"/>
  <c r="C18" i="8" a="1"/>
  <c r="C18" i="8" s="1"/>
  <c r="C19" i="8" a="1"/>
  <c r="C19" i="8" s="1"/>
  <c r="C20" i="8" a="1"/>
  <c r="C20" i="8" s="1"/>
  <c r="C21" i="8" a="1"/>
  <c r="C21" i="8" s="1"/>
  <c r="C22" i="8" a="1"/>
  <c r="C22" i="8" s="1"/>
  <c r="C23" i="8" a="1"/>
  <c r="C23" i="8"/>
  <c r="C24" i="8" a="1"/>
  <c r="C24" i="8" s="1"/>
  <c r="C25" i="8" a="1"/>
  <c r="C25" i="8" s="1"/>
  <c r="C26" i="8" a="1"/>
  <c r="C26" i="8"/>
  <c r="C27" i="8" a="1"/>
  <c r="C27" i="8" s="1"/>
  <c r="C28" i="8" a="1"/>
  <c r="C28" i="8"/>
  <c r="C29" i="8" a="1"/>
  <c r="C29" i="8" s="1"/>
  <c r="C30" i="8" a="1"/>
  <c r="C30" i="8" s="1"/>
  <c r="C31" i="8" a="1"/>
  <c r="C31" i="8"/>
  <c r="C32" i="8" a="1"/>
  <c r="C32" i="8" s="1"/>
  <c r="C33" i="8" a="1"/>
  <c r="C33" i="8" s="1"/>
  <c r="C34" i="8" a="1"/>
  <c r="C34" i="8"/>
  <c r="C35" i="8" a="1"/>
  <c r="C35" i="8" s="1"/>
  <c r="C36" i="8" a="1"/>
  <c r="C36" i="8" s="1"/>
  <c r="C37" i="8" a="1"/>
  <c r="C37" i="8"/>
  <c r="C38" i="8" a="1"/>
  <c r="C38" i="8" s="1"/>
  <c r="C39" i="8" a="1"/>
  <c r="C39" i="8" s="1"/>
  <c r="C40" i="8" a="1"/>
  <c r="C40" i="8"/>
  <c r="C41" i="8" a="1"/>
  <c r="C41" i="8" s="1"/>
  <c r="C42" i="8" a="1"/>
  <c r="C42" i="8" s="1"/>
  <c r="C43" i="8" a="1"/>
  <c r="C43" i="8"/>
  <c r="C44" i="8" a="1"/>
  <c r="C44" i="8" s="1"/>
  <c r="C45" i="8" a="1"/>
  <c r="C45" i="8" s="1"/>
  <c r="C46" i="8" a="1"/>
  <c r="C46" i="8"/>
  <c r="C47" i="8" a="1"/>
  <c r="C47" i="8" s="1"/>
  <c r="C2" i="8" a="1"/>
  <c r="C2" i="8" s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2" i="8"/>
  <c r="E77" i="11" l="1"/>
  <c r="E3" i="11"/>
  <c r="E4" i="11"/>
  <c r="E6" i="11"/>
  <c r="E7" i="11"/>
  <c r="E9" i="11"/>
  <c r="E10" i="11"/>
  <c r="E12" i="11"/>
  <c r="E13" i="11"/>
  <c r="E15" i="11"/>
  <c r="E16" i="11"/>
  <c r="E18" i="11"/>
  <c r="E19" i="11"/>
  <c r="E21" i="11"/>
  <c r="E22" i="11"/>
  <c r="E24" i="11"/>
  <c r="E25" i="11"/>
  <c r="E27" i="11"/>
  <c r="E28" i="11"/>
  <c r="E30" i="11"/>
  <c r="E31" i="11"/>
  <c r="E33" i="11"/>
  <c r="E34" i="11"/>
  <c r="E36" i="11"/>
  <c r="E37" i="11"/>
  <c r="E39" i="11"/>
  <c r="E40" i="11"/>
  <c r="E42" i="11"/>
  <c r="E43" i="11"/>
  <c r="E45" i="11"/>
  <c r="E46" i="11"/>
  <c r="E48" i="11"/>
  <c r="E49" i="11"/>
  <c r="E51" i="11"/>
  <c r="E52" i="11"/>
  <c r="E54" i="11"/>
  <c r="E55" i="11"/>
  <c r="E57" i="11"/>
  <c r="E58" i="11"/>
  <c r="E60" i="11"/>
  <c r="E61" i="11"/>
  <c r="E63" i="11"/>
  <c r="E64" i="11"/>
  <c r="E66" i="11"/>
  <c r="E67" i="11"/>
  <c r="E69" i="11"/>
  <c r="E70" i="11"/>
  <c r="E72" i="11"/>
  <c r="E73" i="11"/>
  <c r="E75" i="11"/>
  <c r="E76" i="11"/>
  <c r="E5" i="11"/>
  <c r="E8" i="11"/>
  <c r="E11" i="11"/>
  <c r="E14" i="11"/>
  <c r="E17" i="11"/>
  <c r="E20" i="11"/>
  <c r="E23" i="11"/>
  <c r="E26" i="11"/>
  <c r="E29" i="11"/>
  <c r="E32" i="11"/>
  <c r="E35" i="11"/>
  <c r="E38" i="11"/>
  <c r="E41" i="11"/>
  <c r="E44" i="11"/>
  <c r="E47" i="11"/>
  <c r="E50" i="11"/>
  <c r="E53" i="11"/>
  <c r="E56" i="11"/>
  <c r="E59" i="11"/>
  <c r="E62" i="11"/>
  <c r="E65" i="11"/>
  <c r="E68" i="11"/>
  <c r="E71" i="11"/>
  <c r="E74" i="11"/>
  <c r="D49" i="8"/>
  <c r="C5" i="12" l="1"/>
  <c r="C4" i="12"/>
  <c r="C2" i="12"/>
  <c r="C3" i="12"/>
  <c r="C2" i="10"/>
  <c r="D2" i="10" s="1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2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<sst xmlns="http://schemas.openxmlformats.org/spreadsheetml/2006/main" count="10618" uniqueCount="199">
  <si>
    <t>Asset ID</t>
  </si>
  <si>
    <t>Asset Name</t>
  </si>
  <si>
    <t>Asset  Attribute 1</t>
  </si>
  <si>
    <t>Asset  Attribute 2</t>
  </si>
  <si>
    <t>ZAPAN</t>
  </si>
  <si>
    <t>PAN AFRICAN RESOURCES PLC</t>
  </si>
  <si>
    <t>Resources</t>
  </si>
  <si>
    <t>Materials</t>
  </si>
  <si>
    <t>ZAMNP</t>
  </si>
  <si>
    <t>MONDI PLC</t>
  </si>
  <si>
    <t>Rand Sensitives</t>
  </si>
  <si>
    <t>ZABTI</t>
  </si>
  <si>
    <t>BRITISH AMERICAN TOBACCO PLC</t>
  </si>
  <si>
    <t>Consumer Staples</t>
  </si>
  <si>
    <t>ZAINP</t>
  </si>
  <si>
    <t>INVESTEC PLC</t>
  </si>
  <si>
    <t>Financials</t>
  </si>
  <si>
    <t>ZACFR</t>
  </si>
  <si>
    <t>COMPAGNIE FINANCIERE RICHEMONT SA</t>
  </si>
  <si>
    <t>Consumer Discretionary</t>
  </si>
  <si>
    <t>ZAATT</t>
  </si>
  <si>
    <t>ATTACQ LTD</t>
  </si>
  <si>
    <t>Property</t>
  </si>
  <si>
    <t>Real Estate</t>
  </si>
  <si>
    <t>ZACOH</t>
  </si>
  <si>
    <t>CURRO HOLDINGS LTD</t>
  </si>
  <si>
    <t>SA Inc</t>
  </si>
  <si>
    <t>ZAAGL</t>
  </si>
  <si>
    <t>ANGLO AMERICAN PLC</t>
  </si>
  <si>
    <t>ZALHC</t>
  </si>
  <si>
    <t>LIFE HEALTHCARE GROUP HOLDINGS LTD</t>
  </si>
  <si>
    <t>Health Care</t>
  </si>
  <si>
    <t>ZAVOD</t>
  </si>
  <si>
    <t>VODACOM GROUP LTD</t>
  </si>
  <si>
    <t>Communication Services</t>
  </si>
  <si>
    <t>ZAAIP</t>
  </si>
  <si>
    <t>ADCOCK INGRAM HOLDINGS LTD</t>
  </si>
  <si>
    <t>ZABLU</t>
  </si>
  <si>
    <t>BLUE LABEL TELECOMS LTD</t>
  </si>
  <si>
    <t>ZARBX</t>
  </si>
  <si>
    <t>RAUBEX GROUP LTD</t>
  </si>
  <si>
    <t>Industrials</t>
  </si>
  <si>
    <t>ZAAFT</t>
  </si>
  <si>
    <t>AFRIMAT LTD</t>
  </si>
  <si>
    <t>ZAEXX</t>
  </si>
  <si>
    <t>EXXARO RESOURCES LTD</t>
  </si>
  <si>
    <t>Energy</t>
  </si>
  <si>
    <t>ZAJSE</t>
  </si>
  <si>
    <t>JSE LTD</t>
  </si>
  <si>
    <t>ZASPP</t>
  </si>
  <si>
    <t>SPAR GROUP LTD</t>
  </si>
  <si>
    <t>ZAVKE</t>
  </si>
  <si>
    <t>VUKILE PROPERTY FUND LTD</t>
  </si>
  <si>
    <t>ZAEMI</t>
  </si>
  <si>
    <t>EMIRA PROPERTY FUND LTD</t>
  </si>
  <si>
    <t>ZACML</t>
  </si>
  <si>
    <t>CORONATION FUND MANAGERS LTD</t>
  </si>
  <si>
    <t>ZATKG</t>
  </si>
  <si>
    <t>TELKOM SA SOC LTD</t>
  </si>
  <si>
    <t>ZARES</t>
  </si>
  <si>
    <t>RESILIENT REIT LTD</t>
  </si>
  <si>
    <t>ZACPI</t>
  </si>
  <si>
    <t>CAPITEC BANK HOLDINGS LTD</t>
  </si>
  <si>
    <t>ZAARL</t>
  </si>
  <si>
    <t>ASTRAL</t>
  </si>
  <si>
    <t>ZARDF</t>
  </si>
  <si>
    <t>REDEFINE PROPERTIES LTD</t>
  </si>
  <si>
    <t>ZADSY</t>
  </si>
  <si>
    <t>DISCOVERY LTD</t>
  </si>
  <si>
    <t>ZATRU</t>
  </si>
  <si>
    <t>TRUWORTHS INTERNATIONAL LTD</t>
  </si>
  <si>
    <t>ZAADH</t>
  </si>
  <si>
    <t>ADVTECH LTD</t>
  </si>
  <si>
    <t>ZANTC</t>
  </si>
  <si>
    <t>NETCARE LTD</t>
  </si>
  <si>
    <t>ZASAC</t>
  </si>
  <si>
    <t>SA CORPORATE REAL ESTATE LTD</t>
  </si>
  <si>
    <t>ZAGRT</t>
  </si>
  <si>
    <t>GROWTHPOINT PROPERTIES LTD</t>
  </si>
  <si>
    <t>ZAFBR</t>
  </si>
  <si>
    <t>FAMOUS BRANDS LTD</t>
  </si>
  <si>
    <t>ZAWBO</t>
  </si>
  <si>
    <t>WILSON BAYLY HOLMES - OVCON LTD</t>
  </si>
  <si>
    <t>ZAKAP</t>
  </si>
  <si>
    <t>KAP LTD</t>
  </si>
  <si>
    <t>ZAHYP</t>
  </si>
  <si>
    <t>HYPROP INVESTMENTS LTD</t>
  </si>
  <si>
    <t>ZAAPN</t>
  </si>
  <si>
    <t>ASPEN PHARMACARE HOLDINGS LTD</t>
  </si>
  <si>
    <t>ZAHCI</t>
  </si>
  <si>
    <t>HOSKEN CONSOLIDATED INVESTMENTS LTD</t>
  </si>
  <si>
    <t>ZASNT</t>
  </si>
  <si>
    <t>SANTAM LTD</t>
  </si>
  <si>
    <t>ZACSB</t>
  </si>
  <si>
    <t>CASHBUILD LTD</t>
  </si>
  <si>
    <t>ZAGND</t>
  </si>
  <si>
    <t>GRINDROD LTD</t>
  </si>
  <si>
    <t>ZAOMN</t>
  </si>
  <si>
    <t>OMNIA HOLDINGS LTD</t>
  </si>
  <si>
    <t>ZAOCE</t>
  </si>
  <si>
    <t>OCEANA GROUP LTD</t>
  </si>
  <si>
    <t>ZAHDC</t>
  </si>
  <si>
    <t>HUDACO INDUSTRIES LTD</t>
  </si>
  <si>
    <t>ZARCL</t>
  </si>
  <si>
    <t>RCL FOODS LIMITED</t>
  </si>
  <si>
    <t>ZAPPC</t>
  </si>
  <si>
    <t>PPC LTD</t>
  </si>
  <si>
    <t>ZASUI</t>
  </si>
  <si>
    <t>SUN INTERNATIONAL LTD</t>
  </si>
  <si>
    <t>ZAHAR</t>
  </si>
  <si>
    <t>HARMONY GOLD MINING COMPANY LTD</t>
  </si>
  <si>
    <t>ZAAFE</t>
  </si>
  <si>
    <t>AECI LTD</t>
  </si>
  <si>
    <t>ZATFG</t>
  </si>
  <si>
    <t>FOSCHINI GROUP LTD</t>
  </si>
  <si>
    <t>ZAWHL</t>
  </si>
  <si>
    <t>WOOLWORTHS HOLDINGS LTD</t>
  </si>
  <si>
    <t>ZAPIK</t>
  </si>
  <si>
    <t>PICK N PAY STORES LTD</t>
  </si>
  <si>
    <t>ZAKIO</t>
  </si>
  <si>
    <t>KUMBA IRON ORE LTD</t>
  </si>
  <si>
    <t>ZAREM</t>
  </si>
  <si>
    <t>REMGRO LTD</t>
  </si>
  <si>
    <t>ZASLM</t>
  </si>
  <si>
    <t>SANLAM LTD</t>
  </si>
  <si>
    <t>ZANPN</t>
  </si>
  <si>
    <t>NASPERS</t>
  </si>
  <si>
    <t>ZAMTN</t>
  </si>
  <si>
    <t>MTN GROUP LTD</t>
  </si>
  <si>
    <t>ZAFSR</t>
  </si>
  <si>
    <t>FIRSTRAND LTD</t>
  </si>
  <si>
    <t>ZADTC</t>
  </si>
  <si>
    <t>DATATEC</t>
  </si>
  <si>
    <t>Information Technology</t>
  </si>
  <si>
    <t>ZASPG</t>
  </si>
  <si>
    <t>SUPER GROUP LTD</t>
  </si>
  <si>
    <t>ZASHP</t>
  </si>
  <si>
    <t>SHOPRITE HOLDINGS LTD</t>
  </si>
  <si>
    <t>ZABVT</t>
  </si>
  <si>
    <t>BIDVEST GROUP LTD</t>
  </si>
  <si>
    <t>ZACLS</t>
  </si>
  <si>
    <t>CLICKS GROUP LTD</t>
  </si>
  <si>
    <t>ZAINL</t>
  </si>
  <si>
    <t>INVESTEC LTD</t>
  </si>
  <si>
    <t>ZARLO</t>
  </si>
  <si>
    <t>REUNERT LTD</t>
  </si>
  <si>
    <t>ZASAP</t>
  </si>
  <si>
    <t>SAPPI LTD</t>
  </si>
  <si>
    <t>ZASBK</t>
  </si>
  <si>
    <t>STANDARD BANK GROUP LTD</t>
  </si>
  <si>
    <t>ZAAVI</t>
  </si>
  <si>
    <t>AVI LTD</t>
  </si>
  <si>
    <t>ZAANG</t>
  </si>
  <si>
    <t>ANGLOGOLD ASHANTI PLC</t>
  </si>
  <si>
    <t>ZATBS</t>
  </si>
  <si>
    <t>TIGER BRANDS LTD</t>
  </si>
  <si>
    <t>ZASOL</t>
  </si>
  <si>
    <t>SASOL LIMITED</t>
  </si>
  <si>
    <t>ZAAMS</t>
  </si>
  <si>
    <t>VALTERRA PLATINUM LTD</t>
  </si>
  <si>
    <t>ZANED</t>
  </si>
  <si>
    <t>NEDBANK GROUP LTD</t>
  </si>
  <si>
    <t>ZAIMP</t>
  </si>
  <si>
    <t>IMPALA PLATINUM HOLDINGS LTD</t>
  </si>
  <si>
    <t>ZAGFI</t>
  </si>
  <si>
    <t>GOLD FIELDS LTD</t>
  </si>
  <si>
    <t>ZABAW</t>
  </si>
  <si>
    <t>BARLOWORLD LTD</t>
  </si>
  <si>
    <t>ZAARI</t>
  </si>
  <si>
    <t>AFRICAN RAINBOW MINERALS LTD</t>
  </si>
  <si>
    <t>Fund A</t>
  </si>
  <si>
    <t>Fund B</t>
  </si>
  <si>
    <t>Holdings</t>
  </si>
  <si>
    <t>Mkt Value</t>
  </si>
  <si>
    <t>Price</t>
  </si>
  <si>
    <t>Date</t>
  </si>
  <si>
    <t>Price_2023_12_31</t>
  </si>
  <si>
    <t>Market Value</t>
  </si>
  <si>
    <t>Weight</t>
  </si>
  <si>
    <t>Annual Return</t>
  </si>
  <si>
    <t>Attribute</t>
  </si>
  <si>
    <t>total market value:</t>
  </si>
  <si>
    <t>Metric</t>
  </si>
  <si>
    <t>Portfolio</t>
  </si>
  <si>
    <t>Benchmark</t>
  </si>
  <si>
    <t>Alpha</t>
  </si>
  <si>
    <t>Annual Returns</t>
  </si>
  <si>
    <t>Asset</t>
  </si>
  <si>
    <t>MV</t>
  </si>
  <si>
    <t>Return</t>
  </si>
  <si>
    <t>Category</t>
  </si>
  <si>
    <t>w_p</t>
  </si>
  <si>
    <t>w_b</t>
  </si>
  <si>
    <t>r_p</t>
  </si>
  <si>
    <t>r_b</t>
  </si>
  <si>
    <t>Allocation</t>
  </si>
  <si>
    <t>Selection</t>
  </si>
  <si>
    <t>Interaction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</si>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</sst>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0" applyFont="1" applyAlignment="1"/>
    <xf numFmtId="0" fontId="0" fillId="0" borderId="0" xfId="0" quotePrefix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NumberForma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1A9D7A4A-6885-4C2C-9A87-6735BB35A268}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M_Cal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M_Calc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6F0003-700B-4618-B75B-C10B6EAE2F4A}" name="Table1" displayName="Table1" ref="A1:G78" totalsRowCount="1">
  <autoFilter ref="A1:G77" xr:uid="{3F6F0003-700B-4618-B75B-C10B6EAE2F4A}"/>
  <tableColumns count="7">
    <tableColumn id="1" xr3:uid="{EAC99170-40E2-4739-A618-8CF88990A83A}" name="Asset"/>
    <tableColumn id="2" xr3:uid="{6638A7EE-9F2F-4E16-BA15-325FBFC4E15E}" name="Holdings"/>
    <tableColumn id="3" xr3:uid="{0D941B5C-75EB-47A8-935E-9B8CB49A518D}" name="Price" dataDxfId="6" totalsRowDxfId="7">
      <calculatedColumnFormula array="1">_xlfn.XLOOKUP(1, (prices!$A:$A=A2)*(prices!$C:$C=DATE(2023,12,31)), prices!$B:$B)</calculatedColumnFormula>
    </tableColumn>
    <tableColumn id="4" xr3:uid="{21BF4909-753A-4F03-8DF3-FD26049B4DA3}" name="MV" totalsRowFunction="custom" dataDxfId="4" totalsRowDxfId="5">
      <calculatedColumnFormula>B2*C2</calculatedColumnFormula>
      <totalsRowFormula>SUM(Table1[MV])</totalsRowFormula>
    </tableColumn>
    <tableColumn id="5" xr3:uid="{41C77A31-690A-4E7C-AB49-4BFD161C5505}" name="Weight" dataDxfId="2" totalsRowDxfId="3">
      <calculatedColumnFormula>D2/$D$78</calculatedColumnFormula>
    </tableColumn>
    <tableColumn id="6" xr3:uid="{0EAA49B5-5CFA-479C-847F-017A0A0DE8F0}" name="Return" dataDxfId="1">
      <calculatedColumnFormula array="1">(_xlfn.XLOOKUP(1, (prices!$A:$A=A2)*(prices!$C:$C=DATE(2024,12,31)), prices!$B:$B)/_xlfn.XLOOKUP(1, (prices!$A:$A=A2)*(prices!$C:$C=DATE(2023,12,31)), prices!$B:$B))-1</calculatedColumnFormula>
    </tableColumn>
    <tableColumn id="7" xr3:uid="{42C11169-DC29-4C01-9AC9-EB533D259660}" name="Category" dataDxfId="0">
      <calculatedColumnFormula>_xlfn.XLOOKUP(A2, attributes!A:A, attributes!C:C)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F3F62-D69C-4831-A793-EFC6AD8D2350}">
  <dimension ref="A1:D77"/>
  <sheetViews>
    <sheetView workbookViewId="0">
      <selection activeCell="G19" sqref="G19"/>
    </sheetView>
  </sheetViews>
  <sheetFormatPr defaultColWidth="9.42578125" defaultRowHeight="15"/>
  <cols>
    <col min="1" max="1" width="7.85546875" bestFit="1" customWidth="1"/>
    <col min="2" max="2" width="39.140625" bestFit="1" customWidth="1"/>
    <col min="3" max="3" width="15.28515625" bestFit="1" customWidth="1"/>
    <col min="4" max="4" width="22.28515625" bestFit="1" customWidth="1"/>
  </cols>
  <sheetData>
    <row r="1" spans="1:4">
      <c r="A1" t="s">
        <v>0</v>
      </c>
      <c r="B1" t="s">
        <v>1</v>
      </c>
      <c r="C1" t="s">
        <v>2</v>
      </c>
      <c r="D1" s="4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10</v>
      </c>
      <c r="D4" t="s">
        <v>13</v>
      </c>
    </row>
    <row r="5" spans="1:4">
      <c r="A5" t="s">
        <v>14</v>
      </c>
      <c r="B5" t="s">
        <v>15</v>
      </c>
      <c r="C5" t="s">
        <v>10</v>
      </c>
      <c r="D5" t="s">
        <v>16</v>
      </c>
    </row>
    <row r="6" spans="1:4">
      <c r="A6" t="s">
        <v>17</v>
      </c>
      <c r="B6" t="s">
        <v>18</v>
      </c>
      <c r="C6" t="s">
        <v>10</v>
      </c>
      <c r="D6" t="s">
        <v>19</v>
      </c>
    </row>
    <row r="7" spans="1:4">
      <c r="A7" t="s">
        <v>20</v>
      </c>
      <c r="B7" t="s">
        <v>21</v>
      </c>
      <c r="C7" t="s">
        <v>22</v>
      </c>
      <c r="D7" t="s">
        <v>23</v>
      </c>
    </row>
    <row r="8" spans="1:4">
      <c r="A8" t="s">
        <v>24</v>
      </c>
      <c r="B8" t="s">
        <v>25</v>
      </c>
      <c r="C8" t="s">
        <v>26</v>
      </c>
      <c r="D8" t="s">
        <v>19</v>
      </c>
    </row>
    <row r="9" spans="1:4">
      <c r="A9" t="s">
        <v>27</v>
      </c>
      <c r="B9" t="s">
        <v>28</v>
      </c>
      <c r="C9" t="s">
        <v>6</v>
      </c>
      <c r="D9" t="s">
        <v>7</v>
      </c>
    </row>
    <row r="10" spans="1:4">
      <c r="A10" t="s">
        <v>29</v>
      </c>
      <c r="B10" t="s">
        <v>30</v>
      </c>
      <c r="C10" t="s">
        <v>26</v>
      </c>
      <c r="D10" t="s">
        <v>31</v>
      </c>
    </row>
    <row r="11" spans="1:4">
      <c r="A11" t="s">
        <v>32</v>
      </c>
      <c r="B11" t="s">
        <v>33</v>
      </c>
      <c r="C11" t="s">
        <v>26</v>
      </c>
      <c r="D11" t="s">
        <v>34</v>
      </c>
    </row>
    <row r="12" spans="1:4">
      <c r="A12" t="s">
        <v>35</v>
      </c>
      <c r="B12" t="s">
        <v>36</v>
      </c>
      <c r="C12" t="s">
        <v>26</v>
      </c>
      <c r="D12" t="s">
        <v>31</v>
      </c>
    </row>
    <row r="13" spans="1:4">
      <c r="A13" t="s">
        <v>37</v>
      </c>
      <c r="B13" t="s">
        <v>38</v>
      </c>
      <c r="C13" t="s">
        <v>26</v>
      </c>
      <c r="D13" t="s">
        <v>34</v>
      </c>
    </row>
    <row r="14" spans="1:4">
      <c r="A14" t="s">
        <v>39</v>
      </c>
      <c r="B14" t="s">
        <v>40</v>
      </c>
      <c r="C14" t="s">
        <v>26</v>
      </c>
      <c r="D14" t="s">
        <v>41</v>
      </c>
    </row>
    <row r="15" spans="1:4">
      <c r="A15" t="s">
        <v>42</v>
      </c>
      <c r="B15" t="s">
        <v>43</v>
      </c>
      <c r="C15" t="s">
        <v>26</v>
      </c>
      <c r="D15" t="s">
        <v>7</v>
      </c>
    </row>
    <row r="16" spans="1:4">
      <c r="A16" t="s">
        <v>44</v>
      </c>
      <c r="B16" t="s">
        <v>45</v>
      </c>
      <c r="C16" t="s">
        <v>6</v>
      </c>
      <c r="D16" t="s">
        <v>46</v>
      </c>
    </row>
    <row r="17" spans="1:4">
      <c r="A17" t="s">
        <v>47</v>
      </c>
      <c r="B17" t="s">
        <v>48</v>
      </c>
      <c r="C17" t="s">
        <v>26</v>
      </c>
      <c r="D17" t="s">
        <v>16</v>
      </c>
    </row>
    <row r="18" spans="1:4">
      <c r="A18" t="s">
        <v>49</v>
      </c>
      <c r="B18" t="s">
        <v>50</v>
      </c>
      <c r="C18" t="s">
        <v>26</v>
      </c>
      <c r="D18" t="s">
        <v>13</v>
      </c>
    </row>
    <row r="19" spans="1:4">
      <c r="A19" t="s">
        <v>51</v>
      </c>
      <c r="B19" t="s">
        <v>52</v>
      </c>
      <c r="C19" t="s">
        <v>22</v>
      </c>
      <c r="D19" t="s">
        <v>23</v>
      </c>
    </row>
    <row r="20" spans="1:4">
      <c r="A20" t="s">
        <v>53</v>
      </c>
      <c r="B20" t="s">
        <v>54</v>
      </c>
      <c r="C20" t="s">
        <v>22</v>
      </c>
      <c r="D20" t="s">
        <v>23</v>
      </c>
    </row>
    <row r="21" spans="1:4">
      <c r="A21" t="s">
        <v>55</v>
      </c>
      <c r="B21" t="s">
        <v>56</v>
      </c>
      <c r="C21" t="s">
        <v>26</v>
      </c>
      <c r="D21" t="s">
        <v>16</v>
      </c>
    </row>
    <row r="22" spans="1:4">
      <c r="A22" t="s">
        <v>57</v>
      </c>
      <c r="B22" t="s">
        <v>58</v>
      </c>
      <c r="C22" t="s">
        <v>26</v>
      </c>
      <c r="D22" t="s">
        <v>34</v>
      </c>
    </row>
    <row r="23" spans="1:4">
      <c r="A23" t="s">
        <v>59</v>
      </c>
      <c r="B23" t="s">
        <v>60</v>
      </c>
      <c r="C23" t="s">
        <v>22</v>
      </c>
      <c r="D23" t="s">
        <v>23</v>
      </c>
    </row>
    <row r="24" spans="1:4">
      <c r="A24" t="s">
        <v>61</v>
      </c>
      <c r="B24" t="s">
        <v>62</v>
      </c>
      <c r="C24" t="s">
        <v>26</v>
      </c>
      <c r="D24" t="s">
        <v>16</v>
      </c>
    </row>
    <row r="25" spans="1:4">
      <c r="A25" t="s">
        <v>63</v>
      </c>
      <c r="B25" t="s">
        <v>64</v>
      </c>
      <c r="C25" t="s">
        <v>26</v>
      </c>
      <c r="D25" t="s">
        <v>13</v>
      </c>
    </row>
    <row r="26" spans="1:4">
      <c r="A26" t="s">
        <v>65</v>
      </c>
      <c r="B26" t="s">
        <v>66</v>
      </c>
      <c r="C26" t="s">
        <v>22</v>
      </c>
      <c r="D26" t="s">
        <v>23</v>
      </c>
    </row>
    <row r="27" spans="1:4">
      <c r="A27" t="s">
        <v>67</v>
      </c>
      <c r="B27" t="s">
        <v>68</v>
      </c>
      <c r="C27" t="s">
        <v>26</v>
      </c>
      <c r="D27" t="s">
        <v>16</v>
      </c>
    </row>
    <row r="28" spans="1:4">
      <c r="A28" t="s">
        <v>69</v>
      </c>
      <c r="B28" t="s">
        <v>70</v>
      </c>
      <c r="C28" t="s">
        <v>26</v>
      </c>
      <c r="D28" t="s">
        <v>19</v>
      </c>
    </row>
    <row r="29" spans="1:4">
      <c r="A29" t="s">
        <v>71</v>
      </c>
      <c r="B29" t="s">
        <v>72</v>
      </c>
      <c r="C29" t="s">
        <v>26</v>
      </c>
      <c r="D29" t="s">
        <v>19</v>
      </c>
    </row>
    <row r="30" spans="1:4">
      <c r="A30" t="s">
        <v>73</v>
      </c>
      <c r="B30" t="s">
        <v>74</v>
      </c>
      <c r="C30" t="s">
        <v>26</v>
      </c>
      <c r="D30" t="s">
        <v>31</v>
      </c>
    </row>
    <row r="31" spans="1:4">
      <c r="A31" t="s">
        <v>75</v>
      </c>
      <c r="B31" t="s">
        <v>76</v>
      </c>
      <c r="C31" t="s">
        <v>22</v>
      </c>
      <c r="D31" t="s">
        <v>23</v>
      </c>
    </row>
    <row r="32" spans="1:4">
      <c r="A32" t="s">
        <v>77</v>
      </c>
      <c r="B32" t="s">
        <v>78</v>
      </c>
      <c r="C32" t="s">
        <v>22</v>
      </c>
      <c r="D32" t="s">
        <v>23</v>
      </c>
    </row>
    <row r="33" spans="1:4">
      <c r="A33" t="s">
        <v>79</v>
      </c>
      <c r="B33" t="s">
        <v>80</v>
      </c>
      <c r="C33" t="s">
        <v>26</v>
      </c>
      <c r="D33" t="s">
        <v>19</v>
      </c>
    </row>
    <row r="34" spans="1:4">
      <c r="A34" t="s">
        <v>81</v>
      </c>
      <c r="B34" t="s">
        <v>82</v>
      </c>
      <c r="C34" t="s">
        <v>26</v>
      </c>
      <c r="D34" t="s">
        <v>41</v>
      </c>
    </row>
    <row r="35" spans="1:4">
      <c r="A35" t="s">
        <v>83</v>
      </c>
      <c r="B35" t="s">
        <v>84</v>
      </c>
      <c r="C35" t="s">
        <v>26</v>
      </c>
      <c r="D35" t="s">
        <v>41</v>
      </c>
    </row>
    <row r="36" spans="1:4">
      <c r="A36" t="s">
        <v>85</v>
      </c>
      <c r="B36" t="s">
        <v>86</v>
      </c>
      <c r="C36" t="s">
        <v>22</v>
      </c>
      <c r="D36" t="s">
        <v>23</v>
      </c>
    </row>
    <row r="37" spans="1:4">
      <c r="A37" t="s">
        <v>87</v>
      </c>
      <c r="B37" t="s">
        <v>88</v>
      </c>
      <c r="C37" t="s">
        <v>26</v>
      </c>
      <c r="D37" t="s">
        <v>31</v>
      </c>
    </row>
    <row r="38" spans="1:4">
      <c r="A38" t="s">
        <v>89</v>
      </c>
      <c r="B38" t="s">
        <v>90</v>
      </c>
      <c r="C38" t="s">
        <v>26</v>
      </c>
      <c r="D38" t="s">
        <v>41</v>
      </c>
    </row>
    <row r="39" spans="1:4">
      <c r="A39" t="s">
        <v>91</v>
      </c>
      <c r="B39" t="s">
        <v>92</v>
      </c>
      <c r="C39" t="s">
        <v>26</v>
      </c>
      <c r="D39" t="s">
        <v>16</v>
      </c>
    </row>
    <row r="40" spans="1:4">
      <c r="A40" t="s">
        <v>93</v>
      </c>
      <c r="B40" t="s">
        <v>94</v>
      </c>
      <c r="C40" t="s">
        <v>26</v>
      </c>
      <c r="D40" t="s">
        <v>19</v>
      </c>
    </row>
    <row r="41" spans="1:4">
      <c r="A41" t="s">
        <v>95</v>
      </c>
      <c r="B41" t="s">
        <v>96</v>
      </c>
      <c r="C41" t="s">
        <v>26</v>
      </c>
      <c r="D41" t="s">
        <v>41</v>
      </c>
    </row>
    <row r="42" spans="1:4">
      <c r="A42" t="s">
        <v>97</v>
      </c>
      <c r="B42" t="s">
        <v>98</v>
      </c>
      <c r="C42" t="s">
        <v>26</v>
      </c>
      <c r="D42" t="s">
        <v>7</v>
      </c>
    </row>
    <row r="43" spans="1:4">
      <c r="A43" t="s">
        <v>99</v>
      </c>
      <c r="B43" t="s">
        <v>100</v>
      </c>
      <c r="C43" t="s">
        <v>26</v>
      </c>
      <c r="D43" t="s">
        <v>13</v>
      </c>
    </row>
    <row r="44" spans="1:4">
      <c r="A44" t="s">
        <v>101</v>
      </c>
      <c r="B44" t="s">
        <v>102</v>
      </c>
      <c r="C44" t="s">
        <v>26</v>
      </c>
      <c r="D44" t="s">
        <v>41</v>
      </c>
    </row>
    <row r="45" spans="1:4">
      <c r="A45" t="s">
        <v>103</v>
      </c>
      <c r="B45" t="s">
        <v>104</v>
      </c>
      <c r="C45" t="s">
        <v>26</v>
      </c>
      <c r="D45" t="s">
        <v>13</v>
      </c>
    </row>
    <row r="46" spans="1:4">
      <c r="A46" t="s">
        <v>105</v>
      </c>
      <c r="B46" t="s">
        <v>106</v>
      </c>
      <c r="C46" t="s">
        <v>26</v>
      </c>
      <c r="D46" t="s">
        <v>7</v>
      </c>
    </row>
    <row r="47" spans="1:4">
      <c r="A47" t="s">
        <v>107</v>
      </c>
      <c r="B47" t="s">
        <v>108</v>
      </c>
      <c r="C47" t="s">
        <v>26</v>
      </c>
      <c r="D47" t="s">
        <v>19</v>
      </c>
    </row>
    <row r="48" spans="1:4">
      <c r="A48" t="s">
        <v>109</v>
      </c>
      <c r="B48" t="s">
        <v>110</v>
      </c>
      <c r="C48" t="s">
        <v>6</v>
      </c>
      <c r="D48" t="s">
        <v>7</v>
      </c>
    </row>
    <row r="49" spans="1:4">
      <c r="A49" t="s">
        <v>111</v>
      </c>
      <c r="B49" t="s">
        <v>112</v>
      </c>
      <c r="C49" t="s">
        <v>26</v>
      </c>
      <c r="D49" t="s">
        <v>7</v>
      </c>
    </row>
    <row r="50" spans="1:4">
      <c r="A50" t="s">
        <v>113</v>
      </c>
      <c r="B50" t="s">
        <v>114</v>
      </c>
      <c r="C50" t="s">
        <v>26</v>
      </c>
      <c r="D50" t="s">
        <v>19</v>
      </c>
    </row>
    <row r="51" spans="1:4">
      <c r="A51" t="s">
        <v>115</v>
      </c>
      <c r="B51" t="s">
        <v>116</v>
      </c>
      <c r="C51" t="s">
        <v>26</v>
      </c>
      <c r="D51" t="s">
        <v>19</v>
      </c>
    </row>
    <row r="52" spans="1:4">
      <c r="A52" t="s">
        <v>117</v>
      </c>
      <c r="B52" t="s">
        <v>118</v>
      </c>
      <c r="C52" t="s">
        <v>26</v>
      </c>
      <c r="D52" t="s">
        <v>13</v>
      </c>
    </row>
    <row r="53" spans="1:4">
      <c r="A53" t="s">
        <v>119</v>
      </c>
      <c r="B53" t="s">
        <v>120</v>
      </c>
      <c r="C53" t="s">
        <v>6</v>
      </c>
      <c r="D53" t="s">
        <v>7</v>
      </c>
    </row>
    <row r="54" spans="1:4">
      <c r="A54" t="s">
        <v>121</v>
      </c>
      <c r="B54" t="s">
        <v>122</v>
      </c>
      <c r="C54" t="s">
        <v>26</v>
      </c>
      <c r="D54" t="s">
        <v>16</v>
      </c>
    </row>
    <row r="55" spans="1:4">
      <c r="A55" t="s">
        <v>123</v>
      </c>
      <c r="B55" t="s">
        <v>124</v>
      </c>
      <c r="C55" t="s">
        <v>26</v>
      </c>
      <c r="D55" t="s">
        <v>16</v>
      </c>
    </row>
    <row r="56" spans="1:4">
      <c r="A56" t="s">
        <v>125</v>
      </c>
      <c r="B56" t="s">
        <v>126</v>
      </c>
      <c r="C56" t="s">
        <v>10</v>
      </c>
      <c r="D56" t="s">
        <v>19</v>
      </c>
    </row>
    <row r="57" spans="1:4">
      <c r="A57" t="s">
        <v>127</v>
      </c>
      <c r="B57" t="s">
        <v>128</v>
      </c>
      <c r="C57" t="s">
        <v>26</v>
      </c>
      <c r="D57" t="s">
        <v>34</v>
      </c>
    </row>
    <row r="58" spans="1:4">
      <c r="A58" t="s">
        <v>129</v>
      </c>
      <c r="B58" t="s">
        <v>130</v>
      </c>
      <c r="C58" t="s">
        <v>26</v>
      </c>
      <c r="D58" t="s">
        <v>16</v>
      </c>
    </row>
    <row r="59" spans="1:4">
      <c r="A59" t="s">
        <v>131</v>
      </c>
      <c r="B59" t="s">
        <v>132</v>
      </c>
      <c r="C59" t="s">
        <v>10</v>
      </c>
      <c r="D59" t="s">
        <v>133</v>
      </c>
    </row>
    <row r="60" spans="1:4">
      <c r="A60" t="s">
        <v>134</v>
      </c>
      <c r="B60" t="s">
        <v>135</v>
      </c>
      <c r="C60" t="s">
        <v>26</v>
      </c>
      <c r="D60" t="s">
        <v>19</v>
      </c>
    </row>
    <row r="61" spans="1:4">
      <c r="A61" t="s">
        <v>136</v>
      </c>
      <c r="B61" t="s">
        <v>137</v>
      </c>
      <c r="C61" t="s">
        <v>26</v>
      </c>
      <c r="D61" t="s">
        <v>13</v>
      </c>
    </row>
    <row r="62" spans="1:4">
      <c r="A62" t="s">
        <v>138</v>
      </c>
      <c r="B62" t="s">
        <v>139</v>
      </c>
      <c r="C62" t="s">
        <v>26</v>
      </c>
      <c r="D62" t="s">
        <v>41</v>
      </c>
    </row>
    <row r="63" spans="1:4">
      <c r="A63" t="s">
        <v>140</v>
      </c>
      <c r="B63" t="s">
        <v>141</v>
      </c>
      <c r="C63" t="s">
        <v>26</v>
      </c>
      <c r="D63" t="s">
        <v>13</v>
      </c>
    </row>
    <row r="64" spans="1:4">
      <c r="A64" t="s">
        <v>142</v>
      </c>
      <c r="B64" t="s">
        <v>143</v>
      </c>
      <c r="C64" t="s">
        <v>10</v>
      </c>
      <c r="D64" t="s">
        <v>16</v>
      </c>
    </row>
    <row r="65" spans="1:4">
      <c r="A65" t="s">
        <v>144</v>
      </c>
      <c r="B65" t="s">
        <v>145</v>
      </c>
      <c r="C65" t="s">
        <v>26</v>
      </c>
      <c r="D65" t="s">
        <v>41</v>
      </c>
    </row>
    <row r="66" spans="1:4">
      <c r="A66" t="s">
        <v>146</v>
      </c>
      <c r="B66" t="s">
        <v>147</v>
      </c>
      <c r="C66" t="s">
        <v>10</v>
      </c>
      <c r="D66" t="s">
        <v>7</v>
      </c>
    </row>
    <row r="67" spans="1:4">
      <c r="A67" t="s">
        <v>148</v>
      </c>
      <c r="B67" t="s">
        <v>149</v>
      </c>
      <c r="C67" t="s">
        <v>26</v>
      </c>
      <c r="D67" t="s">
        <v>16</v>
      </c>
    </row>
    <row r="68" spans="1:4">
      <c r="A68" t="s">
        <v>150</v>
      </c>
      <c r="B68" t="s">
        <v>151</v>
      </c>
      <c r="C68" t="s">
        <v>26</v>
      </c>
      <c r="D68" t="s">
        <v>13</v>
      </c>
    </row>
    <row r="69" spans="1:4">
      <c r="A69" t="s">
        <v>152</v>
      </c>
      <c r="B69" t="s">
        <v>153</v>
      </c>
      <c r="C69" t="s">
        <v>6</v>
      </c>
      <c r="D69" t="s">
        <v>7</v>
      </c>
    </row>
    <row r="70" spans="1:4">
      <c r="A70" t="s">
        <v>154</v>
      </c>
      <c r="B70" t="s">
        <v>155</v>
      </c>
      <c r="C70" t="s">
        <v>26</v>
      </c>
      <c r="D70" t="s">
        <v>13</v>
      </c>
    </row>
    <row r="71" spans="1:4">
      <c r="A71" t="s">
        <v>156</v>
      </c>
      <c r="B71" t="s">
        <v>157</v>
      </c>
      <c r="C71" t="s">
        <v>6</v>
      </c>
      <c r="D71" t="s">
        <v>7</v>
      </c>
    </row>
    <row r="72" spans="1:4">
      <c r="A72" t="s">
        <v>158</v>
      </c>
      <c r="B72" t="s">
        <v>159</v>
      </c>
      <c r="C72" t="s">
        <v>6</v>
      </c>
      <c r="D72" t="s">
        <v>7</v>
      </c>
    </row>
    <row r="73" spans="1:4">
      <c r="A73" t="s">
        <v>160</v>
      </c>
      <c r="B73" t="s">
        <v>161</v>
      </c>
      <c r="C73" t="s">
        <v>26</v>
      </c>
      <c r="D73" t="s">
        <v>16</v>
      </c>
    </row>
    <row r="74" spans="1:4">
      <c r="A74" t="s">
        <v>162</v>
      </c>
      <c r="B74" t="s">
        <v>163</v>
      </c>
      <c r="C74" t="s">
        <v>6</v>
      </c>
      <c r="D74" t="s">
        <v>7</v>
      </c>
    </row>
    <row r="75" spans="1:4">
      <c r="A75" t="s">
        <v>164</v>
      </c>
      <c r="B75" t="s">
        <v>165</v>
      </c>
      <c r="C75" t="s">
        <v>6</v>
      </c>
      <c r="D75" t="s">
        <v>7</v>
      </c>
    </row>
    <row r="76" spans="1:4">
      <c r="A76" t="s">
        <v>166</v>
      </c>
      <c r="B76" t="s">
        <v>167</v>
      </c>
      <c r="C76" t="s">
        <v>26</v>
      </c>
      <c r="D76" t="s">
        <v>41</v>
      </c>
    </row>
    <row r="77" spans="1:4">
      <c r="A77" t="s">
        <v>168</v>
      </c>
      <c r="B77" t="s">
        <v>169</v>
      </c>
      <c r="C77" t="s">
        <v>6</v>
      </c>
      <c r="D77" t="s">
        <v>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61B3-1B1A-4D6C-800B-D481FC5F287D}">
  <dimension ref="A1:G48"/>
  <sheetViews>
    <sheetView workbookViewId="0">
      <selection activeCell="K10" sqref="K10"/>
    </sheetView>
  </sheetViews>
  <sheetFormatPr defaultColWidth="9.42578125" defaultRowHeight="15"/>
  <cols>
    <col min="1" max="1" width="7.85546875" bestFit="1" customWidth="1"/>
    <col min="2" max="2" width="11.140625" style="2" bestFit="1" customWidth="1"/>
    <col min="3" max="3" width="10.42578125" bestFit="1" customWidth="1"/>
    <col min="5" max="5" width="7.85546875" bestFit="1" customWidth="1"/>
    <col min="6" max="6" width="11.140625" style="2" bestFit="1" customWidth="1"/>
    <col min="7" max="7" width="10.42578125" bestFit="1" customWidth="1"/>
  </cols>
  <sheetData>
    <row r="1" spans="1:7">
      <c r="A1" s="5" t="s">
        <v>170</v>
      </c>
      <c r="B1" s="5"/>
      <c r="C1" s="3"/>
      <c r="E1" s="6" t="s">
        <v>171</v>
      </c>
      <c r="F1" s="5"/>
      <c r="G1" s="3"/>
    </row>
    <row r="2" spans="1:7">
      <c r="A2" t="s">
        <v>0</v>
      </c>
      <c r="B2" s="2" t="s">
        <v>172</v>
      </c>
      <c r="E2" t="s">
        <v>0</v>
      </c>
      <c r="F2" s="2" t="s">
        <v>172</v>
      </c>
    </row>
    <row r="3" spans="1:7">
      <c r="A3" t="s">
        <v>8</v>
      </c>
      <c r="B3" s="2">
        <v>205985</v>
      </c>
      <c r="C3" s="1"/>
      <c r="E3" t="s">
        <v>8</v>
      </c>
      <c r="F3" s="2">
        <v>215985</v>
      </c>
      <c r="G3" s="1"/>
    </row>
    <row r="4" spans="1:7">
      <c r="A4" t="s">
        <v>11</v>
      </c>
      <c r="B4" s="2">
        <v>143860</v>
      </c>
      <c r="C4" s="1"/>
      <c r="E4" t="s">
        <v>11</v>
      </c>
      <c r="F4" s="2">
        <v>153860</v>
      </c>
      <c r="G4" s="1"/>
    </row>
    <row r="5" spans="1:7">
      <c r="A5" t="s">
        <v>14</v>
      </c>
      <c r="B5" s="2">
        <v>350025</v>
      </c>
      <c r="C5" s="1"/>
      <c r="E5" t="s">
        <v>14</v>
      </c>
      <c r="F5" s="2">
        <v>360025</v>
      </c>
      <c r="G5" s="1"/>
    </row>
    <row r="6" spans="1:7">
      <c r="A6" t="s">
        <v>17</v>
      </c>
      <c r="B6" s="2">
        <v>369</v>
      </c>
      <c r="C6" s="1"/>
      <c r="E6" t="s">
        <v>17</v>
      </c>
      <c r="F6" s="2">
        <v>10369</v>
      </c>
      <c r="G6" s="1"/>
    </row>
    <row r="7" spans="1:7">
      <c r="A7" t="s">
        <v>20</v>
      </c>
      <c r="B7" s="2">
        <v>1086</v>
      </c>
      <c r="C7" s="1"/>
      <c r="E7" t="s">
        <v>20</v>
      </c>
      <c r="F7" s="2">
        <v>11086</v>
      </c>
      <c r="G7" s="1"/>
    </row>
    <row r="8" spans="1:7">
      <c r="A8" t="s">
        <v>27</v>
      </c>
      <c r="B8" s="2">
        <v>176573</v>
      </c>
      <c r="C8" s="1"/>
      <c r="E8" t="s">
        <v>27</v>
      </c>
      <c r="F8" s="2">
        <v>186573</v>
      </c>
      <c r="G8" s="1"/>
    </row>
    <row r="9" spans="1:7">
      <c r="A9" t="s">
        <v>29</v>
      </c>
      <c r="B9" s="2">
        <v>922</v>
      </c>
      <c r="C9" s="1"/>
      <c r="E9" t="s">
        <v>29</v>
      </c>
      <c r="F9" s="2">
        <v>10922</v>
      </c>
      <c r="G9" s="1"/>
    </row>
    <row r="10" spans="1:7">
      <c r="A10" t="s">
        <v>32</v>
      </c>
      <c r="B10" s="2">
        <v>178090</v>
      </c>
      <c r="C10" s="1"/>
      <c r="E10" t="s">
        <v>32</v>
      </c>
      <c r="F10" s="2">
        <v>188090</v>
      </c>
      <c r="G10" s="1"/>
    </row>
    <row r="11" spans="1:7">
      <c r="A11" t="s">
        <v>39</v>
      </c>
      <c r="B11" s="2">
        <v>1774</v>
      </c>
      <c r="C11" s="1"/>
      <c r="E11" t="s">
        <v>39</v>
      </c>
      <c r="F11" s="2">
        <v>11774</v>
      </c>
      <c r="G11" s="1"/>
    </row>
    <row r="12" spans="1:7">
      <c r="A12" t="s">
        <v>44</v>
      </c>
      <c r="B12" s="2">
        <v>154023</v>
      </c>
      <c r="C12" s="1"/>
      <c r="E12" t="s">
        <v>44</v>
      </c>
      <c r="F12" s="2">
        <v>164023</v>
      </c>
      <c r="G12" s="1"/>
    </row>
    <row r="13" spans="1:7">
      <c r="A13" t="s">
        <v>49</v>
      </c>
      <c r="B13" s="2">
        <v>293</v>
      </c>
      <c r="C13" s="1"/>
      <c r="E13" t="s">
        <v>49</v>
      </c>
      <c r="F13" s="2">
        <v>10293</v>
      </c>
      <c r="G13" s="1"/>
    </row>
    <row r="14" spans="1:7">
      <c r="A14" t="s">
        <v>51</v>
      </c>
      <c r="B14" s="2">
        <v>1515</v>
      </c>
      <c r="C14" s="1"/>
      <c r="E14" t="s">
        <v>51</v>
      </c>
      <c r="F14" s="2">
        <v>11515</v>
      </c>
      <c r="G14" s="1"/>
    </row>
    <row r="15" spans="1:7">
      <c r="A15" t="s">
        <v>61</v>
      </c>
      <c r="B15" s="2">
        <v>114061</v>
      </c>
      <c r="C15" s="1"/>
      <c r="E15" t="s">
        <v>61</v>
      </c>
      <c r="F15" s="2">
        <v>124061</v>
      </c>
      <c r="G15" s="1"/>
    </row>
    <row r="16" spans="1:7">
      <c r="A16" t="s">
        <v>65</v>
      </c>
      <c r="B16" s="2">
        <v>3962</v>
      </c>
      <c r="C16" s="1"/>
      <c r="E16" t="s">
        <v>65</v>
      </c>
      <c r="F16" s="2">
        <v>13962</v>
      </c>
      <c r="G16" s="1"/>
    </row>
    <row r="17" spans="1:7">
      <c r="A17" t="s">
        <v>67</v>
      </c>
      <c r="B17" s="2">
        <v>457</v>
      </c>
      <c r="C17" s="1"/>
      <c r="E17" t="s">
        <v>67</v>
      </c>
      <c r="F17" s="2">
        <v>10457</v>
      </c>
      <c r="G17" s="1"/>
    </row>
    <row r="18" spans="1:7">
      <c r="A18" t="s">
        <v>69</v>
      </c>
      <c r="B18" s="2">
        <v>265779</v>
      </c>
      <c r="C18" s="1"/>
      <c r="E18" t="s">
        <v>69</v>
      </c>
      <c r="F18" s="2">
        <v>275779</v>
      </c>
      <c r="G18" s="1"/>
    </row>
    <row r="19" spans="1:7">
      <c r="A19" t="s">
        <v>73</v>
      </c>
      <c r="B19" s="2">
        <v>1483</v>
      </c>
      <c r="C19" s="1"/>
      <c r="E19" t="s">
        <v>73</v>
      </c>
      <c r="F19" s="2">
        <v>11483</v>
      </c>
      <c r="G19" s="1"/>
    </row>
    <row r="20" spans="1:7">
      <c r="A20" t="s">
        <v>75</v>
      </c>
      <c r="B20" s="2">
        <v>7852</v>
      </c>
      <c r="C20" s="1"/>
      <c r="E20" t="s">
        <v>75</v>
      </c>
      <c r="F20" s="2">
        <v>17852</v>
      </c>
      <c r="G20" s="1"/>
    </row>
    <row r="21" spans="1:7">
      <c r="A21" t="s">
        <v>77</v>
      </c>
      <c r="B21" s="2">
        <v>1135497</v>
      </c>
      <c r="C21" s="1"/>
      <c r="E21" t="s">
        <v>77</v>
      </c>
      <c r="F21" s="2">
        <v>1145497</v>
      </c>
      <c r="G21" s="1"/>
    </row>
    <row r="22" spans="1:7">
      <c r="A22" t="s">
        <v>81</v>
      </c>
      <c r="B22" s="2">
        <v>264</v>
      </c>
      <c r="C22" s="1"/>
      <c r="E22" t="s">
        <v>81</v>
      </c>
      <c r="F22" s="2">
        <v>10264</v>
      </c>
      <c r="G22" s="1"/>
    </row>
    <row r="23" spans="1:7">
      <c r="A23" t="s">
        <v>85</v>
      </c>
      <c r="B23" s="2">
        <v>206</v>
      </c>
      <c r="C23" s="1"/>
      <c r="E23" t="s">
        <v>85</v>
      </c>
      <c r="F23" s="2">
        <v>10206</v>
      </c>
      <c r="G23" s="1"/>
    </row>
    <row r="24" spans="1:7">
      <c r="A24" t="s">
        <v>87</v>
      </c>
      <c r="B24" s="2">
        <v>111141</v>
      </c>
      <c r="C24" s="1"/>
      <c r="E24" t="s">
        <v>87</v>
      </c>
      <c r="F24" s="2">
        <v>121141</v>
      </c>
      <c r="G24" s="1"/>
    </row>
    <row r="25" spans="1:7">
      <c r="A25" t="s">
        <v>109</v>
      </c>
      <c r="B25" s="2">
        <v>1671142</v>
      </c>
      <c r="C25" s="1"/>
      <c r="E25" t="s">
        <v>109</v>
      </c>
      <c r="F25" s="2">
        <v>1681142</v>
      </c>
      <c r="G25" s="1"/>
    </row>
    <row r="26" spans="1:7">
      <c r="A26" t="s">
        <v>113</v>
      </c>
      <c r="B26" s="2">
        <v>403</v>
      </c>
      <c r="C26" s="1"/>
      <c r="E26" t="s">
        <v>113</v>
      </c>
      <c r="F26" s="2">
        <v>10403</v>
      </c>
      <c r="G26" s="1"/>
    </row>
    <row r="27" spans="1:7">
      <c r="A27" t="s">
        <v>119</v>
      </c>
      <c r="B27" s="2">
        <v>52691</v>
      </c>
      <c r="C27" s="1"/>
      <c r="E27" t="s">
        <v>119</v>
      </c>
      <c r="F27" s="2">
        <v>62691</v>
      </c>
      <c r="G27" s="1"/>
    </row>
    <row r="28" spans="1:7">
      <c r="A28" t="s">
        <v>121</v>
      </c>
      <c r="B28" s="2">
        <v>186</v>
      </c>
      <c r="C28" s="1"/>
      <c r="E28" t="s">
        <v>121</v>
      </c>
      <c r="F28" s="2">
        <v>10186</v>
      </c>
      <c r="G28" s="1"/>
    </row>
    <row r="29" spans="1:7">
      <c r="A29" t="s">
        <v>123</v>
      </c>
      <c r="B29" s="2">
        <v>548476</v>
      </c>
      <c r="C29" s="1"/>
      <c r="E29" t="s">
        <v>123</v>
      </c>
      <c r="F29" s="2">
        <v>558476</v>
      </c>
      <c r="G29" s="1"/>
    </row>
    <row r="30" spans="1:7">
      <c r="A30" t="s">
        <v>125</v>
      </c>
      <c r="B30" s="2">
        <v>143923</v>
      </c>
      <c r="C30" s="1"/>
      <c r="E30" t="s">
        <v>125</v>
      </c>
      <c r="F30" s="2">
        <v>153923</v>
      </c>
      <c r="G30" s="1"/>
    </row>
    <row r="31" spans="1:7">
      <c r="A31" t="s">
        <v>127</v>
      </c>
      <c r="B31" s="2">
        <v>178</v>
      </c>
      <c r="C31" s="1"/>
      <c r="E31" t="s">
        <v>127</v>
      </c>
      <c r="F31" s="2">
        <v>10178</v>
      </c>
      <c r="G31" s="1"/>
    </row>
    <row r="32" spans="1:7">
      <c r="A32" t="s">
        <v>129</v>
      </c>
      <c r="B32" s="2">
        <v>2553767</v>
      </c>
      <c r="C32" s="1"/>
      <c r="E32" t="s">
        <v>129</v>
      </c>
      <c r="F32" s="2">
        <v>2563767</v>
      </c>
      <c r="G32" s="1"/>
    </row>
    <row r="33" spans="1:7">
      <c r="A33" t="s">
        <v>134</v>
      </c>
      <c r="B33" s="2">
        <v>1476</v>
      </c>
      <c r="C33" s="1"/>
      <c r="E33" t="s">
        <v>134</v>
      </c>
      <c r="F33" s="2">
        <v>11476</v>
      </c>
      <c r="G33" s="1"/>
    </row>
    <row r="34" spans="1:7">
      <c r="A34" t="s">
        <v>136</v>
      </c>
      <c r="B34" s="2">
        <v>144744</v>
      </c>
      <c r="C34" s="1"/>
      <c r="E34" t="s">
        <v>136</v>
      </c>
      <c r="F34" s="2">
        <v>154744</v>
      </c>
      <c r="G34" s="1"/>
    </row>
    <row r="35" spans="1:7">
      <c r="A35" t="s">
        <v>138</v>
      </c>
      <c r="B35" s="2">
        <v>144</v>
      </c>
      <c r="C35" s="1"/>
      <c r="E35" t="s">
        <v>138</v>
      </c>
      <c r="F35" s="2">
        <v>10144</v>
      </c>
      <c r="G35" s="1"/>
    </row>
    <row r="36" spans="1:7">
      <c r="A36" t="s">
        <v>140</v>
      </c>
      <c r="B36" s="2">
        <v>415527</v>
      </c>
      <c r="C36" s="1"/>
      <c r="E36" t="s">
        <v>140</v>
      </c>
      <c r="F36" s="2">
        <v>425527</v>
      </c>
      <c r="G36" s="1"/>
    </row>
    <row r="37" spans="1:7">
      <c r="A37" t="s">
        <v>142</v>
      </c>
      <c r="B37" s="2">
        <v>518</v>
      </c>
      <c r="C37" s="1"/>
      <c r="E37" t="s">
        <v>142</v>
      </c>
      <c r="F37" s="2">
        <v>10518</v>
      </c>
      <c r="G37" s="1"/>
    </row>
    <row r="38" spans="1:7">
      <c r="A38" t="s">
        <v>144</v>
      </c>
      <c r="B38" s="2">
        <v>563</v>
      </c>
      <c r="C38" s="1"/>
      <c r="E38" t="s">
        <v>144</v>
      </c>
      <c r="F38" s="2">
        <v>10563</v>
      </c>
      <c r="G38" s="1"/>
    </row>
    <row r="39" spans="1:7">
      <c r="A39" t="s">
        <v>146</v>
      </c>
      <c r="B39" s="2">
        <v>1294655</v>
      </c>
      <c r="C39" s="1"/>
      <c r="E39" t="s">
        <v>146</v>
      </c>
      <c r="F39" s="2">
        <v>1304655</v>
      </c>
      <c r="G39" s="1"/>
    </row>
    <row r="40" spans="1:7">
      <c r="A40" t="s">
        <v>148</v>
      </c>
      <c r="B40" s="2">
        <v>837940</v>
      </c>
      <c r="C40" s="1"/>
      <c r="E40" t="s">
        <v>148</v>
      </c>
      <c r="F40" s="2">
        <v>847940</v>
      </c>
      <c r="G40" s="1"/>
    </row>
    <row r="41" spans="1:7">
      <c r="A41" t="s">
        <v>150</v>
      </c>
      <c r="B41" s="2">
        <v>672</v>
      </c>
      <c r="C41" s="1"/>
      <c r="E41" t="s">
        <v>150</v>
      </c>
      <c r="F41" s="2">
        <v>10672</v>
      </c>
      <c r="G41" s="1"/>
    </row>
    <row r="42" spans="1:7">
      <c r="A42" t="s">
        <v>152</v>
      </c>
      <c r="B42" s="2">
        <v>179363</v>
      </c>
      <c r="C42" s="1"/>
      <c r="E42" t="s">
        <v>152</v>
      </c>
      <c r="F42" s="2">
        <v>189363</v>
      </c>
      <c r="G42" s="1"/>
    </row>
    <row r="43" spans="1:7">
      <c r="A43" t="s">
        <v>154</v>
      </c>
      <c r="B43" s="2">
        <v>145</v>
      </c>
      <c r="C43" s="1"/>
      <c r="E43" t="s">
        <v>154</v>
      </c>
      <c r="F43" s="2">
        <v>10145</v>
      </c>
      <c r="G43" s="1"/>
    </row>
    <row r="44" spans="1:7">
      <c r="A44" t="s">
        <v>156</v>
      </c>
      <c r="B44" s="2">
        <v>41691</v>
      </c>
      <c r="C44" s="1"/>
      <c r="E44" t="s">
        <v>156</v>
      </c>
      <c r="F44" s="2">
        <v>51691</v>
      </c>
      <c r="G44" s="1"/>
    </row>
    <row r="45" spans="1:7">
      <c r="A45" t="s">
        <v>160</v>
      </c>
      <c r="B45" s="2">
        <v>256995</v>
      </c>
      <c r="C45" s="1"/>
      <c r="E45" t="s">
        <v>160</v>
      </c>
      <c r="F45" s="2">
        <v>266995</v>
      </c>
      <c r="G45" s="1"/>
    </row>
    <row r="46" spans="1:7">
      <c r="A46" t="s">
        <v>162</v>
      </c>
      <c r="B46" s="2">
        <v>314</v>
      </c>
      <c r="C46" s="1"/>
      <c r="E46" t="s">
        <v>162</v>
      </c>
      <c r="F46" s="2">
        <v>10314</v>
      </c>
      <c r="G46" s="1"/>
    </row>
    <row r="47" spans="1:7">
      <c r="A47" t="s">
        <v>164</v>
      </c>
      <c r="B47" s="2">
        <v>1647001</v>
      </c>
      <c r="C47" s="1"/>
      <c r="E47" t="s">
        <v>164</v>
      </c>
      <c r="F47" s="2">
        <v>1657001</v>
      </c>
      <c r="G47" s="1"/>
    </row>
    <row r="48" spans="1:7">
      <c r="A48" t="s">
        <v>168</v>
      </c>
      <c r="B48" s="2">
        <v>86807</v>
      </c>
      <c r="C48" s="1"/>
      <c r="E48" t="s">
        <v>168</v>
      </c>
      <c r="F48" s="2">
        <v>96807</v>
      </c>
      <c r="G48" s="1"/>
    </row>
  </sheetData>
  <mergeCells count="2">
    <mergeCell ref="A1:B1"/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B311C-C9B0-4CED-BCBF-BFEA7FE8774C}">
  <dimension ref="A1:E77"/>
  <sheetViews>
    <sheetView workbookViewId="0">
      <selection activeCell="J7" sqref="J7"/>
    </sheetView>
  </sheetViews>
  <sheetFormatPr defaultColWidth="9.42578125" defaultRowHeight="15"/>
  <cols>
    <col min="1" max="1" width="7.85546875" bestFit="1" customWidth="1"/>
    <col min="2" max="2" width="14.42578125" style="2" bestFit="1" customWidth="1"/>
    <col min="3" max="3" width="15.5703125" style="2" bestFit="1" customWidth="1"/>
    <col min="4" max="4" width="12.28515625" bestFit="1" customWidth="1"/>
    <col min="5" max="5" width="10.85546875" bestFit="1" customWidth="1"/>
  </cols>
  <sheetData>
    <row r="1" spans="1:5">
      <c r="A1" t="s">
        <v>0</v>
      </c>
      <c r="B1" s="2" t="s">
        <v>172</v>
      </c>
      <c r="C1" s="2" t="s">
        <v>173</v>
      </c>
      <c r="D1" t="s">
        <v>174</v>
      </c>
      <c r="E1" t="s">
        <v>175</v>
      </c>
    </row>
    <row r="2" spans="1:5">
      <c r="A2" t="s">
        <v>4</v>
      </c>
      <c r="B2" s="2">
        <v>283082049.5</v>
      </c>
      <c r="C2" s="2">
        <v>328380139.87891799</v>
      </c>
      <c r="D2">
        <v>0.21386800334143999</v>
      </c>
      <c r="E2" s="1">
        <v>41639</v>
      </c>
    </row>
    <row r="3" spans="1:5">
      <c r="A3" t="s">
        <v>8</v>
      </c>
      <c r="B3" s="2">
        <v>157913546.15000001</v>
      </c>
      <c r="C3" s="2">
        <v>2731815770.5583301</v>
      </c>
      <c r="D3">
        <v>17.299439073855101</v>
      </c>
      <c r="E3" s="1">
        <v>41639</v>
      </c>
    </row>
    <row r="4" spans="1:5">
      <c r="A4" t="s">
        <v>11</v>
      </c>
      <c r="B4" s="2">
        <v>303894357.75</v>
      </c>
      <c r="C4" s="2">
        <v>16252091811.080999</v>
      </c>
      <c r="D4">
        <v>53.479412817696698</v>
      </c>
      <c r="E4" s="1">
        <v>41639</v>
      </c>
    </row>
    <row r="5" spans="1:5">
      <c r="A5" t="s">
        <v>14</v>
      </c>
      <c r="B5" s="2">
        <v>345043010.55000001</v>
      </c>
      <c r="C5" s="2">
        <v>2489547708.0542598</v>
      </c>
      <c r="D5">
        <v>7.2151808091574097</v>
      </c>
      <c r="E5" s="1">
        <v>41639</v>
      </c>
    </row>
    <row r="6" spans="1:5">
      <c r="A6" t="s">
        <v>17</v>
      </c>
      <c r="B6" s="2">
        <v>1148400000</v>
      </c>
      <c r="C6" s="2">
        <v>11466730827.0543</v>
      </c>
      <c r="D6">
        <v>9.9849624060034792</v>
      </c>
      <c r="E6" s="1">
        <v>41639</v>
      </c>
    </row>
    <row r="7" spans="1:5">
      <c r="A7" t="s">
        <v>20</v>
      </c>
      <c r="B7" s="2">
        <v>368817620.39999998</v>
      </c>
      <c r="C7" s="2">
        <v>626800682.00142205</v>
      </c>
      <c r="D7">
        <v>1.6994868122668001</v>
      </c>
      <c r="E7" s="1">
        <v>41639</v>
      </c>
    </row>
    <row r="8" spans="1:5">
      <c r="A8" t="s">
        <v>24</v>
      </c>
      <c r="B8" s="2">
        <v>56010934.289999999</v>
      </c>
      <c r="C8" s="2">
        <v>148667284.712753</v>
      </c>
      <c r="D8">
        <v>2.6542546843268</v>
      </c>
      <c r="E8" s="1">
        <v>41639</v>
      </c>
    </row>
    <row r="9" spans="1:5">
      <c r="A9" t="s">
        <v>27</v>
      </c>
      <c r="B9" s="2">
        <v>702727466.5</v>
      </c>
      <c r="C9" s="2">
        <v>15364562819.268499</v>
      </c>
      <c r="D9">
        <v>21.864184270174</v>
      </c>
      <c r="E9" s="1">
        <v>41639</v>
      </c>
    </row>
    <row r="10" spans="1:5">
      <c r="A10" t="s">
        <v>29</v>
      </c>
      <c r="B10" s="2">
        <v>917144580</v>
      </c>
      <c r="C10" s="2">
        <v>3665513509.3691902</v>
      </c>
      <c r="D10">
        <v>3.9966583124431598</v>
      </c>
      <c r="E10" s="1">
        <v>41639</v>
      </c>
    </row>
    <row r="11" spans="1:5">
      <c r="A11" t="s">
        <v>32</v>
      </c>
      <c r="B11" s="2">
        <v>327349880</v>
      </c>
      <c r="C11" s="2">
        <v>4156823873.0110602</v>
      </c>
      <c r="D11">
        <v>12.698412698398</v>
      </c>
      <c r="E11" s="1">
        <v>41639</v>
      </c>
    </row>
    <row r="12" spans="1:5">
      <c r="A12" t="s">
        <v>35</v>
      </c>
      <c r="B12" s="2">
        <v>148101238.34999999</v>
      </c>
      <c r="C12" s="2">
        <v>1002542336.69916</v>
      </c>
      <c r="D12">
        <v>6.7693042129054</v>
      </c>
      <c r="E12" s="1">
        <v>41639</v>
      </c>
    </row>
    <row r="13" spans="1:5">
      <c r="A13" t="s">
        <v>37</v>
      </c>
      <c r="B13" s="2">
        <v>370979973.10000002</v>
      </c>
      <c r="C13" s="2">
        <v>301069795.56952798</v>
      </c>
      <c r="D13">
        <v>0.81155269125100005</v>
      </c>
      <c r="E13" s="1">
        <v>41639</v>
      </c>
    </row>
    <row r="14" spans="1:5">
      <c r="A14" t="s">
        <v>39</v>
      </c>
      <c r="B14" s="2">
        <v>125484443.28</v>
      </c>
      <c r="C14" s="2">
        <v>260583519.879397</v>
      </c>
      <c r="D14">
        <v>2.0766201217305</v>
      </c>
      <c r="E14" s="1">
        <v>41639</v>
      </c>
    </row>
    <row r="15" spans="1:5">
      <c r="A15" t="s">
        <v>42</v>
      </c>
      <c r="B15" s="2">
        <v>74496454.239999995</v>
      </c>
      <c r="C15" s="2">
        <v>88908526.363424897</v>
      </c>
      <c r="D15">
        <v>1.1934598400750001</v>
      </c>
      <c r="E15" s="1">
        <v>41639</v>
      </c>
    </row>
    <row r="16" spans="1:5">
      <c r="A16" t="s">
        <v>44</v>
      </c>
      <c r="B16" s="2">
        <v>128840520.59999999</v>
      </c>
      <c r="C16" s="2">
        <v>1801645317.77578</v>
      </c>
      <c r="D16">
        <v>13.983530254190701</v>
      </c>
      <c r="E16" s="1">
        <v>41639</v>
      </c>
    </row>
    <row r="17" spans="1:5">
      <c r="A17" t="s">
        <v>47</v>
      </c>
      <c r="B17" s="2">
        <v>86877600</v>
      </c>
      <c r="C17" s="2">
        <v>744291877.12051296</v>
      </c>
      <c r="D17">
        <v>8.5671321159943794</v>
      </c>
      <c r="E17" s="1">
        <v>41639</v>
      </c>
    </row>
    <row r="18" spans="1:5">
      <c r="A18" t="s">
        <v>49</v>
      </c>
      <c r="B18" s="2">
        <v>172358004</v>
      </c>
      <c r="C18" s="2">
        <v>2164647031.4962401</v>
      </c>
      <c r="D18">
        <v>12.559016589077199</v>
      </c>
      <c r="E18" s="1">
        <v>41639</v>
      </c>
    </row>
    <row r="19" spans="1:5">
      <c r="A19" t="s">
        <v>51</v>
      </c>
      <c r="B19" s="2">
        <v>478352223</v>
      </c>
      <c r="C19" s="2">
        <v>771848914.54260802</v>
      </c>
      <c r="D19">
        <v>1.6135577037814</v>
      </c>
      <c r="E19" s="1">
        <v>41639</v>
      </c>
    </row>
    <row r="20" spans="1:5">
      <c r="A20" t="s">
        <v>53</v>
      </c>
      <c r="B20" s="2">
        <v>428408517.20999998</v>
      </c>
      <c r="C20" s="2">
        <v>584913884.33902895</v>
      </c>
      <c r="D20">
        <v>1.3653180570457999</v>
      </c>
      <c r="E20" s="1">
        <v>41639</v>
      </c>
    </row>
    <row r="21" spans="1:5">
      <c r="A21" t="s">
        <v>55</v>
      </c>
      <c r="B21" s="2">
        <v>265847317.52000001</v>
      </c>
      <c r="C21" s="2">
        <v>2029564531.22087</v>
      </c>
      <c r="D21">
        <v>7.6343239049917599</v>
      </c>
      <c r="E21" s="1">
        <v>41639</v>
      </c>
    </row>
    <row r="22" spans="1:5">
      <c r="A22" t="s">
        <v>57</v>
      </c>
      <c r="B22" s="2">
        <v>309884709.98000002</v>
      </c>
      <c r="C22" s="2">
        <v>828430302.36829698</v>
      </c>
      <c r="D22">
        <v>2.6733500417679998</v>
      </c>
      <c r="E22" s="1">
        <v>41639</v>
      </c>
    </row>
    <row r="23" spans="1:5">
      <c r="A23" t="s">
        <v>59</v>
      </c>
      <c r="B23" s="2">
        <v>231737865.30000001</v>
      </c>
      <c r="C23" s="2">
        <v>1227970070.3315499</v>
      </c>
      <c r="D23">
        <v>5.2989616899329999</v>
      </c>
      <c r="E23" s="1">
        <v>41639</v>
      </c>
    </row>
    <row r="24" spans="1:5">
      <c r="A24" t="s">
        <v>61</v>
      </c>
      <c r="B24" s="2">
        <v>60639445.439999998</v>
      </c>
      <c r="C24" s="2">
        <v>1205812369.18717</v>
      </c>
      <c r="D24">
        <v>19.884950471393601</v>
      </c>
      <c r="E24" s="1">
        <v>41639</v>
      </c>
    </row>
    <row r="25" spans="1:5">
      <c r="A25" t="s">
        <v>63</v>
      </c>
      <c r="B25" s="2">
        <v>38673515.789999999</v>
      </c>
      <c r="C25" s="2">
        <v>384011995.909329</v>
      </c>
      <c r="D25">
        <v>9.9295858694240007</v>
      </c>
      <c r="E25" s="1">
        <v>41639</v>
      </c>
    </row>
    <row r="26" spans="1:5">
      <c r="A26" t="s">
        <v>65</v>
      </c>
      <c r="B26" s="2">
        <v>2847510920.9299998</v>
      </c>
      <c r="C26" s="2">
        <v>2648025432.1352</v>
      </c>
      <c r="D26">
        <v>0.92994390738643995</v>
      </c>
      <c r="E26" s="1">
        <v>41639</v>
      </c>
    </row>
    <row r="27" spans="1:5">
      <c r="A27" t="s">
        <v>67</v>
      </c>
      <c r="B27" s="2">
        <v>293841325</v>
      </c>
      <c r="C27" s="2">
        <v>2370649668.2154198</v>
      </c>
      <c r="D27">
        <v>8.0677885189069993</v>
      </c>
      <c r="E27" s="1">
        <v>41639</v>
      </c>
    </row>
    <row r="28" spans="1:5">
      <c r="A28" t="s">
        <v>69</v>
      </c>
      <c r="B28" s="2">
        <v>418194461.23000002</v>
      </c>
      <c r="C28" s="2">
        <v>3064862808.8294601</v>
      </c>
      <c r="D28">
        <v>7.3287981859325599</v>
      </c>
      <c r="E28" s="1">
        <v>41639</v>
      </c>
    </row>
    <row r="29" spans="1:5">
      <c r="A29" t="s">
        <v>71</v>
      </c>
      <c r="B29" s="2">
        <v>370374479.19999999</v>
      </c>
      <c r="C29" s="2">
        <v>232329426.26482201</v>
      </c>
      <c r="D29">
        <v>0.62728249194342001</v>
      </c>
      <c r="E29" s="1">
        <v>41639</v>
      </c>
    </row>
    <row r="30" spans="1:5">
      <c r="A30" t="s">
        <v>73</v>
      </c>
      <c r="B30" s="2">
        <v>1473617509</v>
      </c>
      <c r="C30" s="2">
        <v>3660916823.8821402</v>
      </c>
      <c r="D30">
        <v>2.4843060031001198</v>
      </c>
      <c r="E30" s="1">
        <v>41639</v>
      </c>
    </row>
    <row r="31" spans="1:5">
      <c r="A31" t="s">
        <v>75</v>
      </c>
      <c r="B31" s="2">
        <v>1801884642.74</v>
      </c>
      <c r="C31" s="2">
        <v>686432244.85253799</v>
      </c>
      <c r="D31">
        <v>0.38095238095194001</v>
      </c>
      <c r="E31" s="1">
        <v>41639</v>
      </c>
    </row>
    <row r="32" spans="1:5">
      <c r="A32" t="s">
        <v>77</v>
      </c>
      <c r="B32" s="2">
        <v>1781087973.8800001</v>
      </c>
      <c r="C32" s="2">
        <v>4128876095.5489998</v>
      </c>
      <c r="D32">
        <v>2.3181763933616799</v>
      </c>
      <c r="E32" s="1">
        <v>41639</v>
      </c>
    </row>
    <row r="33" spans="1:5">
      <c r="A33" t="s">
        <v>79</v>
      </c>
      <c r="B33" s="2">
        <v>61530309.700000003</v>
      </c>
      <c r="C33" s="2">
        <v>562562831.54220605</v>
      </c>
      <c r="D33">
        <v>9.1428571428465606</v>
      </c>
      <c r="E33" s="1">
        <v>41639</v>
      </c>
    </row>
    <row r="34" spans="1:5">
      <c r="A34" t="s">
        <v>81</v>
      </c>
      <c r="B34" s="2">
        <v>53460000</v>
      </c>
      <c r="C34" s="2">
        <v>745211600.42878199</v>
      </c>
      <c r="D34">
        <v>13.939610932076</v>
      </c>
      <c r="E34" s="1">
        <v>41639</v>
      </c>
    </row>
    <row r="35" spans="1:5">
      <c r="A35" t="s">
        <v>83</v>
      </c>
      <c r="B35" s="2">
        <v>911529320.51999998</v>
      </c>
      <c r="C35" s="2">
        <v>300253123.837246</v>
      </c>
      <c r="D35">
        <v>0.32939491586070002</v>
      </c>
      <c r="E35" s="1">
        <v>41639</v>
      </c>
    </row>
    <row r="36" spans="1:5">
      <c r="A36" t="s">
        <v>85</v>
      </c>
      <c r="B36" s="2">
        <v>235819773.93000001</v>
      </c>
      <c r="C36" s="2">
        <v>1722421549.64784</v>
      </c>
      <c r="D36">
        <v>7.3039742212589998</v>
      </c>
      <c r="E36" s="1">
        <v>41639</v>
      </c>
    </row>
    <row r="37" spans="1:5">
      <c r="A37" t="s">
        <v>87</v>
      </c>
      <c r="B37" s="2">
        <v>304702236.19</v>
      </c>
      <c r="C37" s="2">
        <v>7817599704.8699799</v>
      </c>
      <c r="D37">
        <v>25.656522257996301</v>
      </c>
      <c r="E37" s="1">
        <v>41639</v>
      </c>
    </row>
    <row r="38" spans="1:5">
      <c r="A38" t="s">
        <v>89</v>
      </c>
      <c r="B38" s="2">
        <v>52742521.479999997</v>
      </c>
      <c r="C38" s="2">
        <v>704996110.00753796</v>
      </c>
      <c r="D38">
        <v>13.366750208839999</v>
      </c>
      <c r="E38" s="1">
        <v>41639</v>
      </c>
    </row>
    <row r="39" spans="1:5">
      <c r="A39" t="s">
        <v>91</v>
      </c>
      <c r="B39" s="2">
        <v>34395539.030000001</v>
      </c>
      <c r="C39" s="2">
        <v>611738967.46637797</v>
      </c>
      <c r="D39">
        <v>17.785415920733598</v>
      </c>
      <c r="E39" s="1">
        <v>41639</v>
      </c>
    </row>
    <row r="40" spans="1:5">
      <c r="A40" t="s">
        <v>93</v>
      </c>
      <c r="B40" s="2">
        <v>20403746.91</v>
      </c>
      <c r="C40" s="2">
        <v>301953051.29932803</v>
      </c>
      <c r="D40">
        <v>14.798902016930001</v>
      </c>
      <c r="E40" s="1">
        <v>41639</v>
      </c>
    </row>
    <row r="41" spans="1:5">
      <c r="A41" t="s">
        <v>95</v>
      </c>
      <c r="B41" s="2">
        <v>362799188.39999998</v>
      </c>
      <c r="C41" s="2">
        <v>970928392.48981702</v>
      </c>
      <c r="D41">
        <v>2.6762143453841798</v>
      </c>
      <c r="E41" s="1">
        <v>41639</v>
      </c>
    </row>
    <row r="42" spans="1:5">
      <c r="A42" t="s">
        <v>97</v>
      </c>
      <c r="B42" s="2">
        <v>61197340.75</v>
      </c>
      <c r="C42" s="2">
        <v>1179978800.7588601</v>
      </c>
      <c r="D42">
        <v>19.2815371762517</v>
      </c>
      <c r="E42" s="1">
        <v>41639</v>
      </c>
    </row>
    <row r="43" spans="1:5">
      <c r="A43" t="s">
        <v>99</v>
      </c>
      <c r="B43" s="2">
        <v>35539547.100000001</v>
      </c>
      <c r="C43" s="2">
        <v>278242545.62087297</v>
      </c>
      <c r="D43">
        <v>7.8290965508920003</v>
      </c>
      <c r="E43" s="1">
        <v>41639</v>
      </c>
    </row>
    <row r="44" spans="1:5">
      <c r="A44" t="s">
        <v>101</v>
      </c>
      <c r="B44" s="2">
        <v>33346164.039999999</v>
      </c>
      <c r="C44" s="2">
        <v>334297383.85926199</v>
      </c>
      <c r="D44">
        <v>10.02506265663</v>
      </c>
      <c r="E44" s="1">
        <v>41639</v>
      </c>
    </row>
    <row r="45" spans="1:5">
      <c r="A45" t="s">
        <v>103</v>
      </c>
      <c r="B45" s="2">
        <v>149412023.75999999</v>
      </c>
      <c r="C45" s="2">
        <v>249644149.974648</v>
      </c>
      <c r="D45">
        <v>1.6708437761049999</v>
      </c>
      <c r="E45" s="1">
        <v>41639</v>
      </c>
    </row>
    <row r="46" spans="1:5">
      <c r="A46" t="s">
        <v>105</v>
      </c>
      <c r="B46" s="2">
        <v>454034736</v>
      </c>
      <c r="C46" s="2">
        <v>1361183025.21861</v>
      </c>
      <c r="D46">
        <v>2.9979711182684001</v>
      </c>
      <c r="E46" s="1">
        <v>41639</v>
      </c>
    </row>
    <row r="47" spans="1:5">
      <c r="A47" t="s">
        <v>107</v>
      </c>
      <c r="B47" s="2">
        <v>92444858.549999997</v>
      </c>
      <c r="C47" s="2">
        <v>841150019.79279602</v>
      </c>
      <c r="D47">
        <v>9.0989378207318001</v>
      </c>
      <c r="E47" s="1">
        <v>41639</v>
      </c>
    </row>
    <row r="48" spans="1:5">
      <c r="A48" t="s">
        <v>109</v>
      </c>
      <c r="B48" s="2">
        <v>287267860.44</v>
      </c>
      <c r="C48" s="2">
        <v>710369980.70293701</v>
      </c>
      <c r="D48">
        <v>2.4728487886354</v>
      </c>
      <c r="E48" s="1">
        <v>41639</v>
      </c>
    </row>
    <row r="49" spans="1:5">
      <c r="A49" t="s">
        <v>111</v>
      </c>
      <c r="B49" s="2">
        <v>115417026</v>
      </c>
      <c r="C49" s="2">
        <v>1377455853.91892</v>
      </c>
      <c r="D49">
        <v>11.93459840075</v>
      </c>
      <c r="E49" s="1">
        <v>41639</v>
      </c>
    </row>
    <row r="50" spans="1:5">
      <c r="A50" t="s">
        <v>113</v>
      </c>
      <c r="B50" s="2">
        <v>200394927.59999999</v>
      </c>
      <c r="C50" s="2">
        <v>1831990864.5592799</v>
      </c>
      <c r="D50">
        <v>9.1419023749744994</v>
      </c>
      <c r="E50" s="1">
        <v>41639</v>
      </c>
    </row>
    <row r="51" spans="1:5">
      <c r="A51" t="s">
        <v>115</v>
      </c>
      <c r="B51" s="2">
        <v>736559549.63999999</v>
      </c>
      <c r="C51" s="2">
        <v>5249711935.1294699</v>
      </c>
      <c r="D51">
        <v>7.1273421649279003</v>
      </c>
      <c r="E51" s="1">
        <v>41639</v>
      </c>
    </row>
    <row r="52" spans="1:5">
      <c r="A52" t="s">
        <v>117</v>
      </c>
      <c r="B52" s="2">
        <v>220982767.66</v>
      </c>
      <c r="C52" s="2">
        <v>1097133683.57147</v>
      </c>
      <c r="D52">
        <v>4.9647929347120003</v>
      </c>
      <c r="E52" s="1">
        <v>41639</v>
      </c>
    </row>
    <row r="53" spans="1:5">
      <c r="A53" t="s">
        <v>119</v>
      </c>
      <c r="B53" s="2">
        <v>57674714.579999998</v>
      </c>
      <c r="C53" s="2">
        <v>2441900196.2498002</v>
      </c>
      <c r="D53">
        <v>42.339181286500697</v>
      </c>
      <c r="E53" s="1">
        <v>41639</v>
      </c>
    </row>
    <row r="54" spans="1:5">
      <c r="A54" t="s">
        <v>121</v>
      </c>
      <c r="B54" s="2">
        <v>481106370</v>
      </c>
      <c r="C54" s="2">
        <v>9546105818.1915894</v>
      </c>
      <c r="D54">
        <v>19.8419859171509</v>
      </c>
      <c r="E54" s="1">
        <v>41639</v>
      </c>
    </row>
    <row r="55" spans="1:5">
      <c r="A55" t="s">
        <v>123</v>
      </c>
      <c r="B55" s="2">
        <v>1890000000</v>
      </c>
      <c r="C55" s="2">
        <v>9607218045.1016598</v>
      </c>
      <c r="D55">
        <v>5.0831841508474396</v>
      </c>
      <c r="E55" s="1">
        <v>41639</v>
      </c>
    </row>
    <row r="56" spans="1:5">
      <c r="A56" t="s">
        <v>125</v>
      </c>
      <c r="B56" s="2">
        <v>390607843.45999998</v>
      </c>
      <c r="C56" s="2">
        <v>40874577158.142799</v>
      </c>
      <c r="D56">
        <v>104.64351354564801</v>
      </c>
      <c r="E56" s="1">
        <v>41639</v>
      </c>
    </row>
    <row r="57" spans="1:5">
      <c r="A57" t="s">
        <v>127</v>
      </c>
      <c r="B57" s="2">
        <v>1788923014.1500001</v>
      </c>
      <c r="C57" s="2">
        <v>37067150975.570702</v>
      </c>
      <c r="D57">
        <v>20.720372359446099</v>
      </c>
      <c r="E57" s="1">
        <v>41639</v>
      </c>
    </row>
    <row r="58" spans="1:5">
      <c r="A58" t="s">
        <v>129</v>
      </c>
      <c r="B58" s="2">
        <v>2919054816.0799999</v>
      </c>
      <c r="C58" s="2">
        <v>10002613901.3237</v>
      </c>
      <c r="D58">
        <v>3.4266618928233399</v>
      </c>
      <c r="E58" s="1">
        <v>41639</v>
      </c>
    </row>
    <row r="59" spans="1:5">
      <c r="A59" t="s">
        <v>131</v>
      </c>
      <c r="B59" s="2">
        <v>180117027.75999999</v>
      </c>
      <c r="C59" s="2">
        <v>890632377.86653304</v>
      </c>
      <c r="D59">
        <v>4.9447428093987398</v>
      </c>
      <c r="E59" s="1">
        <v>41639</v>
      </c>
    </row>
    <row r="60" spans="1:5">
      <c r="A60" t="s">
        <v>134</v>
      </c>
      <c r="B60" s="2">
        <v>293260695.32999998</v>
      </c>
      <c r="C60" s="2">
        <v>732189252.452142</v>
      </c>
      <c r="D60">
        <v>2.4967179854368999</v>
      </c>
      <c r="E60" s="1">
        <v>41639</v>
      </c>
    </row>
    <row r="61" spans="1:5">
      <c r="A61" t="s">
        <v>136</v>
      </c>
      <c r="B61" s="2">
        <v>433640389.60000002</v>
      </c>
      <c r="C61" s="2">
        <v>6790024957.0896397</v>
      </c>
      <c r="D61">
        <v>15.658193101784001</v>
      </c>
      <c r="E61" s="1">
        <v>41639</v>
      </c>
    </row>
    <row r="62" spans="1:5">
      <c r="A62" t="s">
        <v>138</v>
      </c>
      <c r="B62" s="2">
        <v>265152343.31999999</v>
      </c>
      <c r="C62" s="2">
        <v>6793520117.4211302</v>
      </c>
      <c r="D62">
        <v>25.6211958467301</v>
      </c>
      <c r="E62" s="1">
        <v>41639</v>
      </c>
    </row>
    <row r="63" spans="1:5">
      <c r="A63" t="s">
        <v>140</v>
      </c>
      <c r="B63" s="2">
        <v>252224088.12</v>
      </c>
      <c r="C63" s="2">
        <v>1512080247.57479</v>
      </c>
      <c r="D63">
        <v>5.99498746866474</v>
      </c>
      <c r="E63" s="1">
        <v>41639</v>
      </c>
    </row>
    <row r="64" spans="1:5">
      <c r="A64" t="s">
        <v>142</v>
      </c>
      <c r="B64" s="2">
        <v>243323694.94</v>
      </c>
      <c r="C64" s="2">
        <v>1730766465.9753201</v>
      </c>
      <c r="D64">
        <v>7.1130206468469996</v>
      </c>
      <c r="E64" s="1">
        <v>41639</v>
      </c>
    </row>
    <row r="65" spans="1:5">
      <c r="A65" t="s">
        <v>144</v>
      </c>
      <c r="B65" s="2">
        <v>163766615.69999999</v>
      </c>
      <c r="C65" s="2">
        <v>1071059856.82654</v>
      </c>
      <c r="D65">
        <v>6.5401599236110002</v>
      </c>
      <c r="E65" s="1">
        <v>41639</v>
      </c>
    </row>
    <row r="66" spans="1:5">
      <c r="A66" t="s">
        <v>146</v>
      </c>
      <c r="B66" s="2">
        <v>537117864</v>
      </c>
      <c r="C66" s="2">
        <v>1679494932.1856599</v>
      </c>
      <c r="D66">
        <v>3.1268647809964998</v>
      </c>
      <c r="E66" s="1">
        <v>41639</v>
      </c>
    </row>
    <row r="67" spans="1:5">
      <c r="A67" t="s">
        <v>148</v>
      </c>
      <c r="B67" s="2">
        <v>1204041489.75</v>
      </c>
      <c r="C67" s="2">
        <v>14877866055.926901</v>
      </c>
      <c r="D67">
        <v>12.3566058002005</v>
      </c>
      <c r="E67" s="1">
        <v>41639</v>
      </c>
    </row>
    <row r="68" spans="1:5">
      <c r="A68" t="s">
        <v>150</v>
      </c>
      <c r="B68" s="2">
        <v>306118295.49000001</v>
      </c>
      <c r="C68" s="2">
        <v>1677056240.1428199</v>
      </c>
      <c r="D68">
        <v>5.4784580498802802</v>
      </c>
      <c r="E68" s="1">
        <v>41639</v>
      </c>
    </row>
    <row r="69" spans="1:5">
      <c r="A69" t="s">
        <v>152</v>
      </c>
      <c r="B69" s="2">
        <v>213219283.02000001</v>
      </c>
      <c r="C69" s="2">
        <v>2502342930.54427</v>
      </c>
      <c r="D69">
        <v>11.7360066833615</v>
      </c>
      <c r="E69" s="1">
        <v>41639</v>
      </c>
    </row>
    <row r="70" spans="1:5">
      <c r="A70" t="s">
        <v>154</v>
      </c>
      <c r="B70" s="2">
        <v>157601953.75999999</v>
      </c>
      <c r="C70" s="2">
        <v>4016583317.0648599</v>
      </c>
      <c r="D70">
        <v>25.485618808897499</v>
      </c>
      <c r="E70" s="1">
        <v>41639</v>
      </c>
    </row>
    <row r="71" spans="1:5">
      <c r="A71" t="s">
        <v>156</v>
      </c>
      <c r="B71" s="2">
        <v>547182838.60000002</v>
      </c>
      <c r="C71" s="2">
        <v>26879156983.828499</v>
      </c>
      <c r="D71">
        <v>49.122807017486998</v>
      </c>
      <c r="E71" s="1">
        <v>41639</v>
      </c>
    </row>
    <row r="72" spans="1:5">
      <c r="A72" t="s">
        <v>158</v>
      </c>
      <c r="B72" s="2">
        <v>59330014.920000002</v>
      </c>
      <c r="C72" s="2">
        <v>2231358030.9927301</v>
      </c>
      <c r="D72">
        <v>37.609261248315399</v>
      </c>
      <c r="E72" s="1">
        <v>41639</v>
      </c>
    </row>
    <row r="73" spans="1:5">
      <c r="A73" t="s">
        <v>160</v>
      </c>
      <c r="B73" s="2">
        <v>198979707.03</v>
      </c>
      <c r="C73" s="2">
        <v>3989568060.7472601</v>
      </c>
      <c r="D73">
        <v>20.050125313260001</v>
      </c>
      <c r="E73" s="1">
        <v>41639</v>
      </c>
    </row>
    <row r="74" spans="1:5">
      <c r="A74" t="s">
        <v>162</v>
      </c>
      <c r="B74" s="2">
        <v>511028371.44</v>
      </c>
      <c r="C74" s="2">
        <v>6001335690.3732901</v>
      </c>
      <c r="D74">
        <v>11.743644826338</v>
      </c>
      <c r="E74" s="1">
        <v>41639</v>
      </c>
    </row>
    <row r="75" spans="1:5">
      <c r="A75" t="s">
        <v>164</v>
      </c>
      <c r="B75" s="2">
        <v>485426288.33999997</v>
      </c>
      <c r="C75" s="2">
        <v>1524350936.72124</v>
      </c>
      <c r="D75">
        <v>3.1402315312053402</v>
      </c>
      <c r="E75" s="1">
        <v>41639</v>
      </c>
    </row>
    <row r="76" spans="1:5">
      <c r="A76" t="s">
        <v>166</v>
      </c>
      <c r="B76" s="2">
        <v>209710817.68000001</v>
      </c>
      <c r="C76" s="2">
        <v>2002451736.5941</v>
      </c>
      <c r="D76">
        <v>9.5486334884720598</v>
      </c>
      <c r="E76" s="1">
        <v>41639</v>
      </c>
    </row>
    <row r="77" spans="1:5">
      <c r="A77" t="s">
        <v>168</v>
      </c>
      <c r="B77" s="2">
        <v>77579841.239999995</v>
      </c>
      <c r="C77" s="2">
        <v>1399936984.7803299</v>
      </c>
      <c r="D77">
        <v>18.045112781934002</v>
      </c>
      <c r="E77" s="1">
        <v>41639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92DD8-319E-4264-86E1-C97D378F1915}">
  <dimension ref="A1:C10019"/>
  <sheetViews>
    <sheetView workbookViewId="0">
      <selection activeCell="Q8" sqref="Q8"/>
    </sheetView>
  </sheetViews>
  <sheetFormatPr defaultRowHeight="15"/>
  <cols>
    <col min="1" max="1" width="7.85546875" bestFit="1" customWidth="1"/>
    <col min="2" max="2" width="12.28515625" bestFit="1" customWidth="1"/>
    <col min="3" max="3" width="10.85546875" bestFit="1" customWidth="1"/>
  </cols>
  <sheetData>
    <row r="1" spans="1:3">
      <c r="A1" t="s">
        <v>0</v>
      </c>
      <c r="B1" t="s">
        <v>174</v>
      </c>
      <c r="C1" t="s">
        <v>175</v>
      </c>
    </row>
    <row r="2" spans="1:3">
      <c r="A2" t="s">
        <v>4</v>
      </c>
      <c r="B2">
        <v>0.21386800334143999</v>
      </c>
      <c r="C2" s="1">
        <v>41639</v>
      </c>
    </row>
    <row r="3" spans="1:3">
      <c r="A3" t="s">
        <v>8</v>
      </c>
      <c r="B3">
        <v>17.299439073855101</v>
      </c>
      <c r="C3" s="1">
        <v>41639</v>
      </c>
    </row>
    <row r="4" spans="1:3">
      <c r="A4" t="s">
        <v>11</v>
      </c>
      <c r="B4">
        <v>53.479412817696698</v>
      </c>
      <c r="C4" s="1">
        <v>41639</v>
      </c>
    </row>
    <row r="5" spans="1:3">
      <c r="A5" t="s">
        <v>14</v>
      </c>
      <c r="B5">
        <v>7.2151808091574097</v>
      </c>
      <c r="C5" s="1">
        <v>41639</v>
      </c>
    </row>
    <row r="6" spans="1:3">
      <c r="A6" t="s">
        <v>17</v>
      </c>
      <c r="B6">
        <v>9.9849624060034792</v>
      </c>
      <c r="C6" s="1">
        <v>41639</v>
      </c>
    </row>
    <row r="7" spans="1:3">
      <c r="A7" t="s">
        <v>20</v>
      </c>
      <c r="B7">
        <v>1.6994868122668001</v>
      </c>
      <c r="C7" s="1">
        <v>41639</v>
      </c>
    </row>
    <row r="8" spans="1:3">
      <c r="A8" t="s">
        <v>24</v>
      </c>
      <c r="B8">
        <v>2.6542546843268</v>
      </c>
      <c r="C8" s="1">
        <v>41639</v>
      </c>
    </row>
    <row r="9" spans="1:3">
      <c r="A9" t="s">
        <v>27</v>
      </c>
      <c r="B9">
        <v>21.864184270174</v>
      </c>
      <c r="C9" s="1">
        <v>41639</v>
      </c>
    </row>
    <row r="10" spans="1:3">
      <c r="A10" t="s">
        <v>29</v>
      </c>
      <c r="B10">
        <v>3.9966583124431598</v>
      </c>
      <c r="C10" s="1">
        <v>41639</v>
      </c>
    </row>
    <row r="11" spans="1:3">
      <c r="A11" t="s">
        <v>32</v>
      </c>
      <c r="B11">
        <v>12.698412698398</v>
      </c>
      <c r="C11" s="1">
        <v>41639</v>
      </c>
    </row>
    <row r="12" spans="1:3">
      <c r="A12" t="s">
        <v>35</v>
      </c>
      <c r="B12">
        <v>6.7693042129054</v>
      </c>
      <c r="C12" s="1">
        <v>41639</v>
      </c>
    </row>
    <row r="13" spans="1:3">
      <c r="A13" t="s">
        <v>37</v>
      </c>
      <c r="B13">
        <v>0.81155269125100005</v>
      </c>
      <c r="C13" s="1">
        <v>41639</v>
      </c>
    </row>
    <row r="14" spans="1:3">
      <c r="A14" t="s">
        <v>39</v>
      </c>
      <c r="B14">
        <v>2.0766201217305</v>
      </c>
      <c r="C14" s="1">
        <v>41639</v>
      </c>
    </row>
    <row r="15" spans="1:3">
      <c r="A15" t="s">
        <v>42</v>
      </c>
      <c r="B15">
        <v>1.1934598400750001</v>
      </c>
      <c r="C15" s="1">
        <v>41639</v>
      </c>
    </row>
    <row r="16" spans="1:3">
      <c r="A16" t="s">
        <v>44</v>
      </c>
      <c r="B16">
        <v>13.983530254190701</v>
      </c>
      <c r="C16" s="1">
        <v>41639</v>
      </c>
    </row>
    <row r="17" spans="1:3">
      <c r="A17" t="s">
        <v>47</v>
      </c>
      <c r="B17">
        <v>8.5671321159943794</v>
      </c>
      <c r="C17" s="1">
        <v>41639</v>
      </c>
    </row>
    <row r="18" spans="1:3">
      <c r="A18" t="s">
        <v>49</v>
      </c>
      <c r="B18">
        <v>12.559016589077199</v>
      </c>
      <c r="C18" s="1">
        <v>41639</v>
      </c>
    </row>
    <row r="19" spans="1:3">
      <c r="A19" t="s">
        <v>51</v>
      </c>
      <c r="B19">
        <v>1.6135577037814</v>
      </c>
      <c r="C19" s="1">
        <v>41639</v>
      </c>
    </row>
    <row r="20" spans="1:3">
      <c r="A20" t="s">
        <v>53</v>
      </c>
      <c r="B20">
        <v>1.3653180570457999</v>
      </c>
      <c r="C20" s="1">
        <v>41639</v>
      </c>
    </row>
    <row r="21" spans="1:3">
      <c r="A21" t="s">
        <v>55</v>
      </c>
      <c r="B21">
        <v>7.6343239049917599</v>
      </c>
      <c r="C21" s="1">
        <v>41639</v>
      </c>
    </row>
    <row r="22" spans="1:3">
      <c r="A22" t="s">
        <v>57</v>
      </c>
      <c r="B22">
        <v>2.6733500417679998</v>
      </c>
      <c r="C22" s="1">
        <v>41639</v>
      </c>
    </row>
    <row r="23" spans="1:3">
      <c r="A23" t="s">
        <v>59</v>
      </c>
      <c r="B23">
        <v>5.2989616899329999</v>
      </c>
      <c r="C23" s="1">
        <v>41639</v>
      </c>
    </row>
    <row r="24" spans="1:3">
      <c r="A24" t="s">
        <v>61</v>
      </c>
      <c r="B24">
        <v>19.884950471393601</v>
      </c>
      <c r="C24" s="1">
        <v>41639</v>
      </c>
    </row>
    <row r="25" spans="1:3">
      <c r="A25" t="s">
        <v>63</v>
      </c>
      <c r="B25">
        <v>9.9295858694240007</v>
      </c>
      <c r="C25" s="1">
        <v>41639</v>
      </c>
    </row>
    <row r="26" spans="1:3">
      <c r="A26" t="s">
        <v>65</v>
      </c>
      <c r="B26">
        <v>0.92994390738643995</v>
      </c>
      <c r="C26" s="1">
        <v>41639</v>
      </c>
    </row>
    <row r="27" spans="1:3">
      <c r="A27" t="s">
        <v>67</v>
      </c>
      <c r="B27">
        <v>8.0677885189069993</v>
      </c>
      <c r="C27" s="1">
        <v>41639</v>
      </c>
    </row>
    <row r="28" spans="1:3">
      <c r="A28" t="s">
        <v>69</v>
      </c>
      <c r="B28">
        <v>7.3287981859325599</v>
      </c>
      <c r="C28" s="1">
        <v>41639</v>
      </c>
    </row>
    <row r="29" spans="1:3">
      <c r="A29" t="s">
        <v>71</v>
      </c>
      <c r="B29">
        <v>0.62728249194342001</v>
      </c>
      <c r="C29" s="1">
        <v>41639</v>
      </c>
    </row>
    <row r="30" spans="1:3">
      <c r="A30" t="s">
        <v>73</v>
      </c>
      <c r="B30">
        <v>2.4843060031001198</v>
      </c>
      <c r="C30" s="1">
        <v>41639</v>
      </c>
    </row>
    <row r="31" spans="1:3">
      <c r="A31" t="s">
        <v>75</v>
      </c>
      <c r="B31">
        <v>0.38095238095194001</v>
      </c>
      <c r="C31" s="1">
        <v>41639</v>
      </c>
    </row>
    <row r="32" spans="1:3">
      <c r="A32" t="s">
        <v>77</v>
      </c>
      <c r="B32">
        <v>2.3181763933616799</v>
      </c>
      <c r="C32" s="1">
        <v>41639</v>
      </c>
    </row>
    <row r="33" spans="1:3">
      <c r="A33" t="s">
        <v>79</v>
      </c>
      <c r="B33">
        <v>9.1428571428465606</v>
      </c>
      <c r="C33" s="1">
        <v>41639</v>
      </c>
    </row>
    <row r="34" spans="1:3">
      <c r="A34" t="s">
        <v>81</v>
      </c>
      <c r="B34">
        <v>13.939610932076</v>
      </c>
      <c r="C34" s="1">
        <v>41639</v>
      </c>
    </row>
    <row r="35" spans="1:3">
      <c r="A35" t="s">
        <v>83</v>
      </c>
      <c r="B35">
        <v>0.32939491586070002</v>
      </c>
      <c r="C35" s="1">
        <v>41639</v>
      </c>
    </row>
    <row r="36" spans="1:3">
      <c r="A36" t="s">
        <v>85</v>
      </c>
      <c r="B36">
        <v>7.3039742212589998</v>
      </c>
      <c r="C36" s="1">
        <v>41639</v>
      </c>
    </row>
    <row r="37" spans="1:3">
      <c r="A37" t="s">
        <v>87</v>
      </c>
      <c r="B37">
        <v>25.656522257996301</v>
      </c>
      <c r="C37" s="1">
        <v>41639</v>
      </c>
    </row>
    <row r="38" spans="1:3">
      <c r="A38" t="s">
        <v>89</v>
      </c>
      <c r="B38">
        <v>13.366750208839999</v>
      </c>
      <c r="C38" s="1">
        <v>41639</v>
      </c>
    </row>
    <row r="39" spans="1:3">
      <c r="A39" t="s">
        <v>91</v>
      </c>
      <c r="B39">
        <v>17.785415920733598</v>
      </c>
      <c r="C39" s="1">
        <v>41639</v>
      </c>
    </row>
    <row r="40" spans="1:3">
      <c r="A40" t="s">
        <v>93</v>
      </c>
      <c r="B40">
        <v>14.798902016930001</v>
      </c>
      <c r="C40" s="1">
        <v>41639</v>
      </c>
    </row>
    <row r="41" spans="1:3">
      <c r="A41" t="s">
        <v>95</v>
      </c>
      <c r="B41">
        <v>2.6762143453841798</v>
      </c>
      <c r="C41" s="1">
        <v>41639</v>
      </c>
    </row>
    <row r="42" spans="1:3">
      <c r="A42" t="s">
        <v>97</v>
      </c>
      <c r="B42">
        <v>19.2815371762517</v>
      </c>
      <c r="C42" s="1">
        <v>41639</v>
      </c>
    </row>
    <row r="43" spans="1:3">
      <c r="A43" t="s">
        <v>99</v>
      </c>
      <c r="B43">
        <v>7.8290965508920003</v>
      </c>
      <c r="C43" s="1">
        <v>41639</v>
      </c>
    </row>
    <row r="44" spans="1:3">
      <c r="A44" t="s">
        <v>101</v>
      </c>
      <c r="B44">
        <v>10.02506265663</v>
      </c>
      <c r="C44" s="1">
        <v>41639</v>
      </c>
    </row>
    <row r="45" spans="1:3">
      <c r="A45" t="s">
        <v>103</v>
      </c>
      <c r="B45">
        <v>1.6708437761049999</v>
      </c>
      <c r="C45" s="1">
        <v>41639</v>
      </c>
    </row>
    <row r="46" spans="1:3">
      <c r="A46" t="s">
        <v>105</v>
      </c>
      <c r="B46">
        <v>2.9979711182684001</v>
      </c>
      <c r="C46" s="1">
        <v>41639</v>
      </c>
    </row>
    <row r="47" spans="1:3">
      <c r="A47" t="s">
        <v>107</v>
      </c>
      <c r="B47">
        <v>9.0989378207318001</v>
      </c>
      <c r="C47" s="1">
        <v>41639</v>
      </c>
    </row>
    <row r="48" spans="1:3">
      <c r="A48" t="s">
        <v>109</v>
      </c>
      <c r="B48">
        <v>2.4728487886354</v>
      </c>
      <c r="C48" s="1">
        <v>41639</v>
      </c>
    </row>
    <row r="49" spans="1:3">
      <c r="A49" t="s">
        <v>111</v>
      </c>
      <c r="B49">
        <v>11.93459840075</v>
      </c>
      <c r="C49" s="1">
        <v>41639</v>
      </c>
    </row>
    <row r="50" spans="1:3">
      <c r="A50" t="s">
        <v>113</v>
      </c>
      <c r="B50">
        <v>9.1419023749744994</v>
      </c>
      <c r="C50" s="1">
        <v>41639</v>
      </c>
    </row>
    <row r="51" spans="1:3">
      <c r="A51" t="s">
        <v>115</v>
      </c>
      <c r="B51">
        <v>7.1273421649279003</v>
      </c>
      <c r="C51" s="1">
        <v>41639</v>
      </c>
    </row>
    <row r="52" spans="1:3">
      <c r="A52" t="s">
        <v>117</v>
      </c>
      <c r="B52">
        <v>4.9647929347120003</v>
      </c>
      <c r="C52" s="1">
        <v>41639</v>
      </c>
    </row>
    <row r="53" spans="1:3">
      <c r="A53" t="s">
        <v>119</v>
      </c>
      <c r="B53">
        <v>42.339181286500697</v>
      </c>
      <c r="C53" s="1">
        <v>41639</v>
      </c>
    </row>
    <row r="54" spans="1:3">
      <c r="A54" t="s">
        <v>121</v>
      </c>
      <c r="B54">
        <v>19.8419859171509</v>
      </c>
      <c r="C54" s="1">
        <v>41639</v>
      </c>
    </row>
    <row r="55" spans="1:3">
      <c r="A55" t="s">
        <v>123</v>
      </c>
      <c r="B55">
        <v>5.0831841508474396</v>
      </c>
      <c r="C55" s="1">
        <v>41639</v>
      </c>
    </row>
    <row r="56" spans="1:3">
      <c r="A56" t="s">
        <v>125</v>
      </c>
      <c r="B56">
        <v>104.64351354564801</v>
      </c>
      <c r="C56" s="1">
        <v>41639</v>
      </c>
    </row>
    <row r="57" spans="1:3">
      <c r="A57" t="s">
        <v>127</v>
      </c>
      <c r="B57">
        <v>20.720372359446099</v>
      </c>
      <c r="C57" s="1">
        <v>41639</v>
      </c>
    </row>
    <row r="58" spans="1:3">
      <c r="A58" t="s">
        <v>129</v>
      </c>
      <c r="B58">
        <v>3.4266618928233399</v>
      </c>
      <c r="C58" s="1">
        <v>41639</v>
      </c>
    </row>
    <row r="59" spans="1:3">
      <c r="A59" t="s">
        <v>131</v>
      </c>
      <c r="B59">
        <v>4.9447428093987398</v>
      </c>
      <c r="C59" s="1">
        <v>41639</v>
      </c>
    </row>
    <row r="60" spans="1:3">
      <c r="A60" t="s">
        <v>134</v>
      </c>
      <c r="B60">
        <v>2.4967179854368999</v>
      </c>
      <c r="C60" s="1">
        <v>41639</v>
      </c>
    </row>
    <row r="61" spans="1:3">
      <c r="A61" t="s">
        <v>136</v>
      </c>
      <c r="B61">
        <v>15.658193101784001</v>
      </c>
      <c r="C61" s="1">
        <v>41639</v>
      </c>
    </row>
    <row r="62" spans="1:3">
      <c r="A62" t="s">
        <v>138</v>
      </c>
      <c r="B62">
        <v>25.6211958467301</v>
      </c>
      <c r="C62" s="1">
        <v>41639</v>
      </c>
    </row>
    <row r="63" spans="1:3">
      <c r="A63" t="s">
        <v>140</v>
      </c>
      <c r="B63">
        <v>5.99498746866474</v>
      </c>
      <c r="C63" s="1">
        <v>41639</v>
      </c>
    </row>
    <row r="64" spans="1:3">
      <c r="A64" t="s">
        <v>142</v>
      </c>
      <c r="B64">
        <v>7.1130206468469996</v>
      </c>
      <c r="C64" s="1">
        <v>41639</v>
      </c>
    </row>
    <row r="65" spans="1:3">
      <c r="A65" t="s">
        <v>144</v>
      </c>
      <c r="B65">
        <v>6.5401599236110002</v>
      </c>
      <c r="C65" s="1">
        <v>41639</v>
      </c>
    </row>
    <row r="66" spans="1:3">
      <c r="A66" t="s">
        <v>146</v>
      </c>
      <c r="B66">
        <v>3.1268647809964998</v>
      </c>
      <c r="C66" s="1">
        <v>41639</v>
      </c>
    </row>
    <row r="67" spans="1:3">
      <c r="A67" t="s">
        <v>148</v>
      </c>
      <c r="B67">
        <v>12.3566058002005</v>
      </c>
      <c r="C67" s="1">
        <v>41639</v>
      </c>
    </row>
    <row r="68" spans="1:3">
      <c r="A68" t="s">
        <v>150</v>
      </c>
      <c r="B68">
        <v>5.4784580498802802</v>
      </c>
      <c r="C68" s="1">
        <v>41639</v>
      </c>
    </row>
    <row r="69" spans="1:3">
      <c r="A69" t="s">
        <v>152</v>
      </c>
      <c r="B69">
        <v>11.7360066833615</v>
      </c>
      <c r="C69" s="1">
        <v>41639</v>
      </c>
    </row>
    <row r="70" spans="1:3">
      <c r="A70" t="s">
        <v>154</v>
      </c>
      <c r="B70">
        <v>25.485618808897499</v>
      </c>
      <c r="C70" s="1">
        <v>41639</v>
      </c>
    </row>
    <row r="71" spans="1:3">
      <c r="A71" t="s">
        <v>156</v>
      </c>
      <c r="B71">
        <v>49.122807017486998</v>
      </c>
      <c r="C71" s="1">
        <v>41639</v>
      </c>
    </row>
    <row r="72" spans="1:3">
      <c r="A72" t="s">
        <v>158</v>
      </c>
      <c r="B72">
        <v>37.609261248315399</v>
      </c>
      <c r="C72" s="1">
        <v>41639</v>
      </c>
    </row>
    <row r="73" spans="1:3">
      <c r="A73" t="s">
        <v>160</v>
      </c>
      <c r="B73">
        <v>20.050125313260001</v>
      </c>
      <c r="C73" s="1">
        <v>41639</v>
      </c>
    </row>
    <row r="74" spans="1:3">
      <c r="A74" t="s">
        <v>162</v>
      </c>
      <c r="B74">
        <v>11.743644826338</v>
      </c>
      <c r="C74" s="1">
        <v>41639</v>
      </c>
    </row>
    <row r="75" spans="1:3">
      <c r="A75" t="s">
        <v>164</v>
      </c>
      <c r="B75">
        <v>3.1402315312053402</v>
      </c>
      <c r="C75" s="1">
        <v>41639</v>
      </c>
    </row>
    <row r="76" spans="1:3">
      <c r="A76" t="s">
        <v>166</v>
      </c>
      <c r="B76">
        <v>9.5486334884720598</v>
      </c>
      <c r="C76" s="1">
        <v>41639</v>
      </c>
    </row>
    <row r="77" spans="1:3">
      <c r="A77" t="s">
        <v>168</v>
      </c>
      <c r="B77">
        <v>18.045112781934002</v>
      </c>
      <c r="C77" s="1">
        <v>41639</v>
      </c>
    </row>
    <row r="78" spans="1:3">
      <c r="A78" t="s">
        <v>4</v>
      </c>
      <c r="B78">
        <v>0.23905987688805</v>
      </c>
      <c r="C78" s="1">
        <v>41670</v>
      </c>
    </row>
    <row r="79" spans="1:3">
      <c r="A79" t="s">
        <v>8</v>
      </c>
      <c r="B79">
        <v>15.131505316135</v>
      </c>
      <c r="C79" s="1">
        <v>41670</v>
      </c>
    </row>
    <row r="80" spans="1:3">
      <c r="A80" t="s">
        <v>11</v>
      </c>
      <c r="B80">
        <v>47.797649692103597</v>
      </c>
      <c r="C80" s="1">
        <v>41670</v>
      </c>
    </row>
    <row r="81" spans="1:3">
      <c r="A81" t="s">
        <v>14</v>
      </c>
      <c r="B81">
        <v>6.4134303301464497</v>
      </c>
      <c r="C81" s="1">
        <v>41670</v>
      </c>
    </row>
    <row r="82" spans="1:3">
      <c r="A82" t="s">
        <v>17</v>
      </c>
      <c r="B82">
        <v>9.2579742585110001</v>
      </c>
      <c r="C82" s="1">
        <v>41670</v>
      </c>
    </row>
    <row r="83" spans="1:3">
      <c r="A83" t="s">
        <v>20</v>
      </c>
      <c r="B83">
        <v>1.6295467263529999</v>
      </c>
      <c r="C83" s="1">
        <v>41670</v>
      </c>
    </row>
    <row r="84" spans="1:3">
      <c r="A84" t="s">
        <v>24</v>
      </c>
      <c r="B84">
        <v>2.3888080581922</v>
      </c>
      <c r="C84" s="1">
        <v>41670</v>
      </c>
    </row>
    <row r="85" spans="1:3">
      <c r="A85" t="s">
        <v>27</v>
      </c>
      <c r="B85">
        <v>23.2407386681015</v>
      </c>
      <c r="C85" s="1">
        <v>41670</v>
      </c>
    </row>
    <row r="86" spans="1:3">
      <c r="A86" t="s">
        <v>29</v>
      </c>
      <c r="B86">
        <v>3.1776161163883501</v>
      </c>
      <c r="C86" s="1">
        <v>41670</v>
      </c>
    </row>
    <row r="87" spans="1:3">
      <c r="A87" t="s">
        <v>32</v>
      </c>
      <c r="B87">
        <v>10.5096810296327</v>
      </c>
      <c r="C87" s="1">
        <v>41670</v>
      </c>
    </row>
    <row r="88" spans="1:3">
      <c r="A88" t="s">
        <v>35</v>
      </c>
      <c r="B88">
        <v>6.0579742585189003</v>
      </c>
      <c r="C88" s="1">
        <v>41670</v>
      </c>
    </row>
    <row r="89" spans="1:3">
      <c r="A89" t="s">
        <v>37</v>
      </c>
      <c r="B89">
        <v>0.78791270285199999</v>
      </c>
      <c r="C89" s="1">
        <v>41670</v>
      </c>
    </row>
    <row r="90" spans="1:3">
      <c r="A90" t="s">
        <v>39</v>
      </c>
      <c r="B90">
        <v>2.0503637381035</v>
      </c>
      <c r="C90" s="1">
        <v>41670</v>
      </c>
    </row>
    <row r="91" spans="1:3">
      <c r="A91" t="s">
        <v>42</v>
      </c>
      <c r="B91">
        <v>1.1191941801875001</v>
      </c>
      <c r="C91" s="1">
        <v>41670</v>
      </c>
    </row>
    <row r="92" spans="1:3">
      <c r="A92" t="s">
        <v>44</v>
      </c>
      <c r="B92">
        <v>13.417795187431899</v>
      </c>
      <c r="C92" s="1">
        <v>41670</v>
      </c>
    </row>
    <row r="93" spans="1:3">
      <c r="A93" t="s">
        <v>47</v>
      </c>
      <c r="B93">
        <v>7.4180190262827503</v>
      </c>
      <c r="C93" s="1">
        <v>41670</v>
      </c>
    </row>
    <row r="94" spans="1:3">
      <c r="A94" t="s">
        <v>49</v>
      </c>
      <c r="B94">
        <v>10.727252378261101</v>
      </c>
      <c r="C94" s="1">
        <v>41670</v>
      </c>
    </row>
    <row r="95" spans="1:3">
      <c r="A95" t="s">
        <v>51</v>
      </c>
      <c r="B95">
        <v>1.36362618914045</v>
      </c>
      <c r="C95" s="1">
        <v>41670</v>
      </c>
    </row>
    <row r="96" spans="1:3">
      <c r="A96" t="s">
        <v>53</v>
      </c>
      <c r="B96">
        <v>1.14336877447955</v>
      </c>
      <c r="C96" s="1">
        <v>41670</v>
      </c>
    </row>
    <row r="97" spans="1:3">
      <c r="A97" t="s">
        <v>55</v>
      </c>
      <c r="B97">
        <v>7.1306099608105997</v>
      </c>
      <c r="C97" s="1">
        <v>41670</v>
      </c>
    </row>
    <row r="98" spans="1:3">
      <c r="A98" t="s">
        <v>57</v>
      </c>
      <c r="B98">
        <v>2.7084499160537501</v>
      </c>
      <c r="C98" s="1">
        <v>41670</v>
      </c>
    </row>
    <row r="99" spans="1:3">
      <c r="A99" t="s">
        <v>59</v>
      </c>
      <c r="B99">
        <v>4.6737548964629996</v>
      </c>
      <c r="C99" s="1">
        <v>41670</v>
      </c>
    </row>
    <row r="100" spans="1:3">
      <c r="A100" t="s">
        <v>61</v>
      </c>
      <c r="B100">
        <v>16.877448237227501</v>
      </c>
      <c r="C100" s="1">
        <v>41670</v>
      </c>
    </row>
    <row r="101" spans="1:3">
      <c r="A101" t="s">
        <v>63</v>
      </c>
      <c r="B101">
        <v>7.825405707871</v>
      </c>
      <c r="C101" s="1">
        <v>41670</v>
      </c>
    </row>
    <row r="102" spans="1:3">
      <c r="A102" t="s">
        <v>65</v>
      </c>
      <c r="B102">
        <v>0.79238947957274997</v>
      </c>
      <c r="C102" s="1">
        <v>41670</v>
      </c>
    </row>
    <row r="103" spans="1:3">
      <c r="A103" t="s">
        <v>67</v>
      </c>
      <c r="B103">
        <v>6.7151650811249999</v>
      </c>
      <c r="C103" s="1">
        <v>41670</v>
      </c>
    </row>
    <row r="104" spans="1:3">
      <c r="A104" t="s">
        <v>69</v>
      </c>
      <c r="B104">
        <v>6.536094012295</v>
      </c>
      <c r="C104" s="1">
        <v>41670</v>
      </c>
    </row>
    <row r="105" spans="1:3">
      <c r="A105" t="s">
        <v>71</v>
      </c>
      <c r="B105">
        <v>0.71180749859924997</v>
      </c>
      <c r="C105" s="1">
        <v>41670</v>
      </c>
    </row>
    <row r="106" spans="1:3">
      <c r="A106" t="s">
        <v>73</v>
      </c>
      <c r="B106">
        <v>1.99216564073375</v>
      </c>
      <c r="C106" s="1">
        <v>41670</v>
      </c>
    </row>
    <row r="107" spans="1:3">
      <c r="A107" t="s">
        <v>75</v>
      </c>
      <c r="B107">
        <v>0.33128147733550001</v>
      </c>
      <c r="C107" s="1">
        <v>41670</v>
      </c>
    </row>
    <row r="108" spans="1:3">
      <c r="A108" t="s">
        <v>77</v>
      </c>
      <c r="B108">
        <v>1.9653049804092499</v>
      </c>
      <c r="C108" s="1">
        <v>41670</v>
      </c>
    </row>
    <row r="109" spans="1:3">
      <c r="A109" t="s">
        <v>79</v>
      </c>
      <c r="B109">
        <v>8.9535534415000004</v>
      </c>
      <c r="C109" s="1">
        <v>41670</v>
      </c>
    </row>
    <row r="110" spans="1:3">
      <c r="A110" t="s">
        <v>81</v>
      </c>
      <c r="B110">
        <v>13.181421376576299</v>
      </c>
      <c r="C110" s="1">
        <v>41670</v>
      </c>
    </row>
    <row r="111" spans="1:3">
      <c r="A111" t="s">
        <v>83</v>
      </c>
      <c r="B111">
        <v>0.30889759373175002</v>
      </c>
      <c r="C111" s="1">
        <v>41670</v>
      </c>
    </row>
    <row r="112" spans="1:3">
      <c r="A112" t="s">
        <v>85</v>
      </c>
      <c r="B112">
        <v>6.4868494683667501</v>
      </c>
      <c r="C112" s="1">
        <v>41670</v>
      </c>
    </row>
    <row r="113" spans="1:3">
      <c r="A113" t="s">
        <v>87</v>
      </c>
      <c r="B113">
        <v>22.4546166759378</v>
      </c>
      <c r="C113" s="1">
        <v>41670</v>
      </c>
    </row>
    <row r="114" spans="1:3">
      <c r="A114" t="s">
        <v>89</v>
      </c>
      <c r="B114">
        <v>12.192949076634701</v>
      </c>
      <c r="C114" s="1">
        <v>41670</v>
      </c>
    </row>
    <row r="115" spans="1:3">
      <c r="A115" t="s">
        <v>91</v>
      </c>
      <c r="B115">
        <v>15.8074986009682</v>
      </c>
      <c r="C115" s="1">
        <v>41670</v>
      </c>
    </row>
    <row r="116" spans="1:3">
      <c r="A116" t="s">
        <v>93</v>
      </c>
      <c r="B116">
        <v>12.311135982062501</v>
      </c>
      <c r="C116" s="1">
        <v>41670</v>
      </c>
    </row>
    <row r="117" spans="1:3">
      <c r="A117" t="s">
        <v>95</v>
      </c>
      <c r="B117">
        <v>2.2652490206995002</v>
      </c>
      <c r="C117" s="1">
        <v>41670</v>
      </c>
    </row>
    <row r="118" spans="1:3">
      <c r="A118" t="s">
        <v>97</v>
      </c>
      <c r="B118">
        <v>18.444320089489999</v>
      </c>
      <c r="C118" s="1">
        <v>41670</v>
      </c>
    </row>
    <row r="119" spans="1:3">
      <c r="A119" t="s">
        <v>99</v>
      </c>
      <c r="B119">
        <v>7.4851706770939996</v>
      </c>
      <c r="C119" s="1">
        <v>41670</v>
      </c>
    </row>
    <row r="120" spans="1:3">
      <c r="A120" t="s">
        <v>101</v>
      </c>
      <c r="B120">
        <v>9.4907666479900001</v>
      </c>
      <c r="C120" s="1">
        <v>41670</v>
      </c>
    </row>
    <row r="121" spans="1:3">
      <c r="A121" t="s">
        <v>103</v>
      </c>
      <c r="B121">
        <v>1.44958030217885</v>
      </c>
      <c r="C121" s="1">
        <v>41670</v>
      </c>
    </row>
    <row r="122" spans="1:3">
      <c r="A122" t="s">
        <v>105</v>
      </c>
      <c r="B122">
        <v>2.6690542809111499</v>
      </c>
      <c r="C122" s="1">
        <v>41670</v>
      </c>
    </row>
    <row r="123" spans="1:3">
      <c r="A123" t="s">
        <v>107</v>
      </c>
      <c r="B123">
        <v>8.8192501398775001</v>
      </c>
      <c r="C123" s="1">
        <v>41670</v>
      </c>
    </row>
    <row r="124" spans="1:3">
      <c r="A124" t="s">
        <v>109</v>
      </c>
      <c r="B124">
        <v>2.91617235589655</v>
      </c>
      <c r="C124" s="1">
        <v>41670</v>
      </c>
    </row>
    <row r="125" spans="1:3">
      <c r="A125" t="s">
        <v>111</v>
      </c>
      <c r="B125">
        <v>11.550083939535</v>
      </c>
      <c r="C125" s="1">
        <v>41670</v>
      </c>
    </row>
    <row r="126" spans="1:3">
      <c r="A126" t="s">
        <v>113</v>
      </c>
      <c r="B126">
        <v>8.2999440402704998</v>
      </c>
      <c r="C126" s="1">
        <v>41670</v>
      </c>
    </row>
    <row r="127" spans="1:3">
      <c r="A127" t="s">
        <v>115</v>
      </c>
      <c r="B127">
        <v>5.4168998321075001</v>
      </c>
      <c r="C127" s="1">
        <v>41670</v>
      </c>
    </row>
    <row r="128" spans="1:3">
      <c r="A128" t="s">
        <v>117</v>
      </c>
      <c r="B128">
        <v>4.0693900391617497</v>
      </c>
      <c r="C128" s="1">
        <v>41670</v>
      </c>
    </row>
    <row r="129" spans="1:3">
      <c r="A129" t="s">
        <v>119</v>
      </c>
      <c r="B129">
        <v>40.169222159945598</v>
      </c>
      <c r="C129" s="1">
        <v>41670</v>
      </c>
    </row>
    <row r="130" spans="1:3">
      <c r="A130" t="s">
        <v>121</v>
      </c>
      <c r="B130">
        <v>16.607050923294199</v>
      </c>
      <c r="C130" s="1">
        <v>41670</v>
      </c>
    </row>
    <row r="131" spans="1:3">
      <c r="A131" t="s">
        <v>123</v>
      </c>
      <c r="B131">
        <v>4.2699496362513498</v>
      </c>
      <c r="C131" s="1">
        <v>41670</v>
      </c>
    </row>
    <row r="132" spans="1:3">
      <c r="A132" t="s">
        <v>125</v>
      </c>
      <c r="B132">
        <v>101.682820369083</v>
      </c>
      <c r="C132" s="1">
        <v>41670</v>
      </c>
    </row>
    <row r="133" spans="1:3">
      <c r="A133" t="s">
        <v>127</v>
      </c>
      <c r="B133">
        <v>17.682372691618301</v>
      </c>
      <c r="C133" s="1">
        <v>41670</v>
      </c>
    </row>
    <row r="134" spans="1:3">
      <c r="A134" t="s">
        <v>129</v>
      </c>
      <c r="B134">
        <v>2.7863458309947999</v>
      </c>
      <c r="C134" s="1">
        <v>41670</v>
      </c>
    </row>
    <row r="135" spans="1:3">
      <c r="A135" t="s">
        <v>131</v>
      </c>
      <c r="B135">
        <v>4.2529378847124999</v>
      </c>
      <c r="C135" s="1">
        <v>41670</v>
      </c>
    </row>
    <row r="136" spans="1:3">
      <c r="A136" t="s">
        <v>134</v>
      </c>
      <c r="B136">
        <v>2.43088975936725</v>
      </c>
      <c r="C136" s="1">
        <v>41670</v>
      </c>
    </row>
    <row r="137" spans="1:3">
      <c r="A137" t="s">
        <v>136</v>
      </c>
      <c r="B137">
        <v>12.776720761020499</v>
      </c>
      <c r="C137" s="1">
        <v>41670</v>
      </c>
    </row>
    <row r="138" spans="1:3">
      <c r="A138" t="s">
        <v>138</v>
      </c>
      <c r="B138">
        <v>22.126021264634801</v>
      </c>
      <c r="C138" s="1">
        <v>41670</v>
      </c>
    </row>
    <row r="139" spans="1:3">
      <c r="A139" t="s">
        <v>140</v>
      </c>
      <c r="B139">
        <v>5.0838276440836996</v>
      </c>
      <c r="C139" s="1">
        <v>41670</v>
      </c>
    </row>
    <row r="140" spans="1:3">
      <c r="A140" t="s">
        <v>142</v>
      </c>
      <c r="B140">
        <v>6.3758254056921499</v>
      </c>
      <c r="C140" s="1">
        <v>41670</v>
      </c>
    </row>
    <row r="141" spans="1:3">
      <c r="A141" t="s">
        <v>144</v>
      </c>
      <c r="B141">
        <v>5.7186345830860503</v>
      </c>
      <c r="C141" s="1">
        <v>41670</v>
      </c>
    </row>
    <row r="142" spans="1:3">
      <c r="A142" t="s">
        <v>146</v>
      </c>
      <c r="B142">
        <v>3.0818130945642999</v>
      </c>
      <c r="C142" s="1">
        <v>41670</v>
      </c>
    </row>
    <row r="143" spans="1:3">
      <c r="A143" t="s">
        <v>148</v>
      </c>
      <c r="B143">
        <v>10.4711807498342</v>
      </c>
      <c r="C143" s="1">
        <v>41670</v>
      </c>
    </row>
    <row r="144" spans="1:3">
      <c r="A144" t="s">
        <v>150</v>
      </c>
      <c r="B144">
        <v>4.5976496922102497</v>
      </c>
      <c r="C144" s="1">
        <v>41670</v>
      </c>
    </row>
    <row r="145" spans="1:3">
      <c r="A145" t="s">
        <v>152</v>
      </c>
      <c r="B145">
        <v>14.572803581385401</v>
      </c>
      <c r="C145" s="1">
        <v>41670</v>
      </c>
    </row>
    <row r="146" spans="1:3">
      <c r="A146" t="s">
        <v>154</v>
      </c>
      <c r="B146">
        <v>23.816452154389999</v>
      </c>
      <c r="C146" s="1">
        <v>41670</v>
      </c>
    </row>
    <row r="147" spans="1:3">
      <c r="A147" t="s">
        <v>156</v>
      </c>
      <c r="B147">
        <v>47.747509792831202</v>
      </c>
      <c r="C147" s="1">
        <v>41670</v>
      </c>
    </row>
    <row r="148" spans="1:3">
      <c r="A148" t="s">
        <v>158</v>
      </c>
      <c r="B148">
        <v>39.638276440864601</v>
      </c>
      <c r="C148" s="1">
        <v>41670</v>
      </c>
    </row>
    <row r="149" spans="1:3">
      <c r="A149" t="s">
        <v>160</v>
      </c>
      <c r="B149">
        <v>17.254392837114601</v>
      </c>
      <c r="C149" s="1">
        <v>41670</v>
      </c>
    </row>
    <row r="150" spans="1:3">
      <c r="A150" t="s">
        <v>162</v>
      </c>
      <c r="B150">
        <v>10.335982092867599</v>
      </c>
      <c r="C150" s="1">
        <v>41670</v>
      </c>
    </row>
    <row r="151" spans="1:3">
      <c r="A151" t="s">
        <v>164</v>
      </c>
      <c r="B151">
        <v>3.5142697257887501</v>
      </c>
      <c r="C151" s="1">
        <v>41670</v>
      </c>
    </row>
    <row r="152" spans="1:3">
      <c r="A152" t="s">
        <v>166</v>
      </c>
      <c r="B152">
        <v>9.3412423055169498</v>
      </c>
      <c r="C152" s="1">
        <v>41670</v>
      </c>
    </row>
    <row r="153" spans="1:3">
      <c r="A153" t="s">
        <v>168</v>
      </c>
      <c r="B153">
        <v>19.5688864017424</v>
      </c>
      <c r="C153" s="1">
        <v>41670</v>
      </c>
    </row>
    <row r="154" spans="1:3">
      <c r="A154" t="s">
        <v>4</v>
      </c>
      <c r="B154">
        <v>0.22715106942495999</v>
      </c>
      <c r="C154" s="1">
        <v>41698</v>
      </c>
    </row>
    <row r="155" spans="1:3">
      <c r="A155" t="s">
        <v>8</v>
      </c>
      <c r="B155">
        <v>18.060371913295999</v>
      </c>
      <c r="C155" s="1">
        <v>41698</v>
      </c>
    </row>
    <row r="156" spans="1:3">
      <c r="A156" t="s">
        <v>11</v>
      </c>
      <c r="B156">
        <v>54.148532594683601</v>
      </c>
      <c r="C156" s="1">
        <v>41698</v>
      </c>
    </row>
    <row r="157" spans="1:3">
      <c r="A157" t="s">
        <v>14</v>
      </c>
      <c r="B157">
        <v>7.3740312332586297</v>
      </c>
      <c r="C157" s="1">
        <v>41698</v>
      </c>
    </row>
    <row r="158" spans="1:3">
      <c r="A158" t="s">
        <v>17</v>
      </c>
      <c r="B158">
        <v>9.8782786789682397</v>
      </c>
      <c r="C158" s="1">
        <v>41698</v>
      </c>
    </row>
    <row r="159" spans="1:3">
      <c r="A159" t="s">
        <v>20</v>
      </c>
      <c r="B159">
        <v>1.6524309353660001</v>
      </c>
      <c r="C159" s="1">
        <v>41698</v>
      </c>
    </row>
    <row r="160" spans="1:3">
      <c r="A160" t="s">
        <v>24</v>
      </c>
      <c r="B160">
        <v>2.5777922591709599</v>
      </c>
      <c r="C160" s="1">
        <v>41698</v>
      </c>
    </row>
    <row r="161" spans="1:3">
      <c r="A161" t="s">
        <v>27</v>
      </c>
      <c r="B161">
        <v>25.3655130681224</v>
      </c>
      <c r="C161" s="1">
        <v>41698</v>
      </c>
    </row>
    <row r="162" spans="1:3">
      <c r="A162" t="s">
        <v>29</v>
      </c>
      <c r="B162">
        <v>3.5143249470460001</v>
      </c>
      <c r="C162" s="1">
        <v>41698</v>
      </c>
    </row>
    <row r="163" spans="1:3">
      <c r="A163" t="s">
        <v>32</v>
      </c>
      <c r="B163">
        <v>11.1322642958347</v>
      </c>
      <c r="C163" s="1">
        <v>41698</v>
      </c>
    </row>
    <row r="164" spans="1:3">
      <c r="A164" t="s">
        <v>35</v>
      </c>
      <c r="B164">
        <v>5.6043009751568</v>
      </c>
      <c r="C164" s="1">
        <v>41698</v>
      </c>
    </row>
    <row r="165" spans="1:3">
      <c r="A165" t="s">
        <v>37</v>
      </c>
      <c r="B165">
        <v>0.84716177531439996</v>
      </c>
      <c r="C165" s="1">
        <v>41698</v>
      </c>
    </row>
    <row r="166" spans="1:3">
      <c r="A166" t="s">
        <v>39</v>
      </c>
      <c r="B166">
        <v>2.0327711964959398</v>
      </c>
      <c r="C166" s="1">
        <v>41698</v>
      </c>
    </row>
    <row r="167" spans="1:3">
      <c r="A167" t="s">
        <v>42</v>
      </c>
      <c r="B167">
        <v>1.19999069052776</v>
      </c>
      <c r="C167" s="1">
        <v>41698</v>
      </c>
    </row>
    <row r="168" spans="1:3">
      <c r="A168" t="s">
        <v>44</v>
      </c>
      <c r="B168">
        <v>13.3144040775236</v>
      </c>
      <c r="C168" s="1">
        <v>41698</v>
      </c>
    </row>
    <row r="169" spans="1:3">
      <c r="A169" t="s">
        <v>47</v>
      </c>
      <c r="B169">
        <v>7.8748807224005599</v>
      </c>
      <c r="C169" s="1">
        <v>41698</v>
      </c>
    </row>
    <row r="170" spans="1:3">
      <c r="A170" t="s">
        <v>49</v>
      </c>
      <c r="B170">
        <v>10.5634556752664</v>
      </c>
      <c r="C170" s="1">
        <v>41698</v>
      </c>
    </row>
    <row r="171" spans="1:3">
      <c r="A171" t="s">
        <v>51</v>
      </c>
      <c r="B171">
        <v>1.49230805036152</v>
      </c>
      <c r="C171" s="1">
        <v>41698</v>
      </c>
    </row>
    <row r="172" spans="1:3">
      <c r="A172" t="s">
        <v>53</v>
      </c>
      <c r="B172">
        <v>1.2651569809365599</v>
      </c>
      <c r="C172" s="1">
        <v>41698</v>
      </c>
    </row>
    <row r="173" spans="1:3">
      <c r="A173" t="s">
        <v>55</v>
      </c>
      <c r="B173">
        <v>8.1932645983978407</v>
      </c>
      <c r="C173" s="1">
        <v>41698</v>
      </c>
    </row>
    <row r="174" spans="1:3">
      <c r="A174" t="s">
        <v>57</v>
      </c>
      <c r="B174">
        <v>2.9017618172032802</v>
      </c>
      <c r="C174" s="1">
        <v>41698</v>
      </c>
    </row>
    <row r="175" spans="1:3">
      <c r="A175" t="s">
        <v>59</v>
      </c>
      <c r="B175">
        <v>5.027113831536</v>
      </c>
      <c r="C175" s="1">
        <v>41698</v>
      </c>
    </row>
    <row r="176" spans="1:3">
      <c r="A176" t="s">
        <v>61</v>
      </c>
      <c r="B176">
        <v>17.106151232310001</v>
      </c>
      <c r="C176" s="1">
        <v>41698</v>
      </c>
    </row>
    <row r="177" spans="1:3">
      <c r="A177" t="s">
        <v>63</v>
      </c>
      <c r="B177">
        <v>7.7268601484720003</v>
      </c>
      <c r="C177" s="1">
        <v>41698</v>
      </c>
    </row>
    <row r="178" spans="1:3">
      <c r="A178" t="s">
        <v>65</v>
      </c>
      <c r="B178">
        <v>0.87881397351295998</v>
      </c>
      <c r="C178" s="1">
        <v>41698</v>
      </c>
    </row>
    <row r="179" spans="1:3">
      <c r="A179" t="s">
        <v>67</v>
      </c>
      <c r="B179">
        <v>7.3954430143929599</v>
      </c>
      <c r="C179" s="1">
        <v>41698</v>
      </c>
    </row>
    <row r="180" spans="1:3">
      <c r="A180" t="s">
        <v>69</v>
      </c>
      <c r="B180">
        <v>6.3956059301207997</v>
      </c>
      <c r="C180" s="1">
        <v>41698</v>
      </c>
    </row>
    <row r="181" spans="1:3">
      <c r="A181" t="s">
        <v>71</v>
      </c>
      <c r="B181">
        <v>0.70845067144424001</v>
      </c>
      <c r="C181" s="1">
        <v>41698</v>
      </c>
    </row>
    <row r="182" spans="1:3">
      <c r="A182" t="s">
        <v>73</v>
      </c>
      <c r="B182">
        <v>2.0992854981692002</v>
      </c>
      <c r="C182" s="1">
        <v>41698</v>
      </c>
    </row>
    <row r="183" spans="1:3">
      <c r="A183" t="s">
        <v>75</v>
      </c>
      <c r="B183">
        <v>0.35655270323672</v>
      </c>
      <c r="C183" s="1">
        <v>41698</v>
      </c>
    </row>
    <row r="184" spans="1:3">
      <c r="A184" t="s">
        <v>77</v>
      </c>
      <c r="B184">
        <v>2.187725463724</v>
      </c>
      <c r="C184" s="1">
        <v>41698</v>
      </c>
    </row>
    <row r="185" spans="1:3">
      <c r="A185" t="s">
        <v>79</v>
      </c>
      <c r="B185">
        <v>9.0301859566479994</v>
      </c>
      <c r="C185" s="1">
        <v>41698</v>
      </c>
    </row>
    <row r="186" spans="1:3">
      <c r="A186" t="s">
        <v>81</v>
      </c>
      <c r="B186">
        <v>12.289431424093801</v>
      </c>
      <c r="C186" s="1">
        <v>41698</v>
      </c>
    </row>
    <row r="187" spans="1:3">
      <c r="A187" t="s">
        <v>83</v>
      </c>
      <c r="B187">
        <v>0.35561896338986199</v>
      </c>
      <c r="C187" s="1">
        <v>41698</v>
      </c>
    </row>
    <row r="188" spans="1:3">
      <c r="A188" t="s">
        <v>85</v>
      </c>
      <c r="B188">
        <v>7.1915656201139999</v>
      </c>
      <c r="C188" s="1">
        <v>41698</v>
      </c>
    </row>
    <row r="189" spans="1:3">
      <c r="A189" t="s">
        <v>87</v>
      </c>
      <c r="B189">
        <v>25.414853259432</v>
      </c>
      <c r="C189" s="1">
        <v>41698</v>
      </c>
    </row>
    <row r="190" spans="1:3">
      <c r="A190" t="s">
        <v>89</v>
      </c>
      <c r="B190">
        <v>13.03325808176</v>
      </c>
      <c r="C190" s="1">
        <v>41698</v>
      </c>
    </row>
    <row r="191" spans="1:3">
      <c r="A191" t="s">
        <v>91</v>
      </c>
      <c r="B191">
        <v>16.384667302783999</v>
      </c>
      <c r="C191" s="1">
        <v>41698</v>
      </c>
    </row>
    <row r="192" spans="1:3">
      <c r="A192" t="s">
        <v>93</v>
      </c>
      <c r="B192">
        <v>12.847999627597799</v>
      </c>
      <c r="C192" s="1">
        <v>41698</v>
      </c>
    </row>
    <row r="193" spans="1:3">
      <c r="A193" t="s">
        <v>95</v>
      </c>
      <c r="B193">
        <v>2.397188540038</v>
      </c>
      <c r="C193" s="1">
        <v>41698</v>
      </c>
    </row>
    <row r="194" spans="1:3">
      <c r="A194" t="s">
        <v>97</v>
      </c>
      <c r="B194">
        <v>20.01536062556</v>
      </c>
      <c r="C194" s="1">
        <v>41698</v>
      </c>
    </row>
    <row r="195" spans="1:3">
      <c r="A195" t="s">
        <v>99</v>
      </c>
      <c r="B195">
        <v>7.7268601484720003</v>
      </c>
      <c r="C195" s="1">
        <v>41698</v>
      </c>
    </row>
    <row r="196" spans="1:3">
      <c r="A196" t="s">
        <v>101</v>
      </c>
      <c r="B196">
        <v>10.100775013364</v>
      </c>
      <c r="C196" s="1">
        <v>41698</v>
      </c>
    </row>
    <row r="197" spans="1:3">
      <c r="A197" t="s">
        <v>103</v>
      </c>
      <c r="B197">
        <v>1.3172900132636001</v>
      </c>
      <c r="C197" s="1">
        <v>41698</v>
      </c>
    </row>
    <row r="198" spans="1:3">
      <c r="A198" t="s">
        <v>105</v>
      </c>
      <c r="B198">
        <v>2.7369841971695998</v>
      </c>
      <c r="C198" s="1">
        <v>41698</v>
      </c>
    </row>
    <row r="199" spans="1:3">
      <c r="A199" t="s">
        <v>107</v>
      </c>
      <c r="B199">
        <v>8.8374799264391193</v>
      </c>
      <c r="C199" s="1">
        <v>41698</v>
      </c>
    </row>
    <row r="200" spans="1:3">
      <c r="A200" t="s">
        <v>109</v>
      </c>
      <c r="B200">
        <v>3.23410989828816</v>
      </c>
      <c r="C200" s="1">
        <v>41698</v>
      </c>
    </row>
    <row r="201" spans="1:3">
      <c r="A201" t="s">
        <v>111</v>
      </c>
      <c r="B201">
        <v>12.195405776504</v>
      </c>
      <c r="C201" s="1">
        <v>41698</v>
      </c>
    </row>
    <row r="202" spans="1:3">
      <c r="A202" t="s">
        <v>113</v>
      </c>
      <c r="B202">
        <v>8.3319757022680001</v>
      </c>
      <c r="C202" s="1">
        <v>41698</v>
      </c>
    </row>
    <row r="203" spans="1:3">
      <c r="A203" t="s">
        <v>115</v>
      </c>
      <c r="B203">
        <v>5.9468894733059203</v>
      </c>
      <c r="C203" s="1">
        <v>41698</v>
      </c>
    </row>
    <row r="204" spans="1:3">
      <c r="A204" t="s">
        <v>117</v>
      </c>
      <c r="B204">
        <v>4.2022947843617597</v>
      </c>
      <c r="C204" s="1">
        <v>41698</v>
      </c>
    </row>
    <row r="205" spans="1:3">
      <c r="A205" t="s">
        <v>119</v>
      </c>
      <c r="B205">
        <v>41.482998580230401</v>
      </c>
      <c r="C205" s="1">
        <v>41698</v>
      </c>
    </row>
    <row r="206" spans="1:3">
      <c r="A206" t="s">
        <v>121</v>
      </c>
      <c r="B206">
        <v>17.3053738915597</v>
      </c>
      <c r="C206" s="1">
        <v>41698</v>
      </c>
    </row>
    <row r="207" spans="1:3">
      <c r="A207" t="s">
        <v>123</v>
      </c>
      <c r="B207">
        <v>4.9247096608936003</v>
      </c>
      <c r="C207" s="1">
        <v>41698</v>
      </c>
    </row>
    <row r="208" spans="1:3">
      <c r="A208" t="s">
        <v>125</v>
      </c>
      <c r="B208">
        <v>120.909535224487</v>
      </c>
      <c r="C208" s="1">
        <v>41698</v>
      </c>
    </row>
    <row r="209" spans="1:3">
      <c r="A209" t="s">
        <v>127</v>
      </c>
      <c r="B209">
        <v>18.330346544989599</v>
      </c>
      <c r="C209" s="1">
        <v>41698</v>
      </c>
    </row>
    <row r="210" spans="1:3">
      <c r="A210" t="s">
        <v>129</v>
      </c>
      <c r="B210">
        <v>3.18104591895528</v>
      </c>
      <c r="C210" s="1">
        <v>41698</v>
      </c>
    </row>
    <row r="211" spans="1:3">
      <c r="A211" t="s">
        <v>131</v>
      </c>
      <c r="B211">
        <v>4.3763818744538403</v>
      </c>
      <c r="C211" s="1">
        <v>41698</v>
      </c>
    </row>
    <row r="212" spans="1:3">
      <c r="A212" t="s">
        <v>134</v>
      </c>
      <c r="B212">
        <v>2.5601042660600002</v>
      </c>
      <c r="C212" s="1">
        <v>41698</v>
      </c>
    </row>
    <row r="213" spans="1:3">
      <c r="A213" t="s">
        <v>136</v>
      </c>
      <c r="B213">
        <v>13.115181418273901</v>
      </c>
      <c r="C213" s="1">
        <v>41698</v>
      </c>
    </row>
    <row r="214" spans="1:3">
      <c r="A214" t="s">
        <v>138</v>
      </c>
      <c r="B214">
        <v>23.613470803131602</v>
      </c>
      <c r="C214" s="1">
        <v>41698</v>
      </c>
    </row>
    <row r="215" spans="1:3">
      <c r="A215" t="s">
        <v>140</v>
      </c>
      <c r="B215">
        <v>5.23378406683248</v>
      </c>
      <c r="C215" s="1">
        <v>41698</v>
      </c>
    </row>
    <row r="216" spans="1:3">
      <c r="A216" t="s">
        <v>142</v>
      </c>
      <c r="B216">
        <v>7.3731002862528001</v>
      </c>
      <c r="C216" s="1">
        <v>41698</v>
      </c>
    </row>
    <row r="217" spans="1:3">
      <c r="A217" t="s">
        <v>144</v>
      </c>
      <c r="B217">
        <v>5.8919635999613602</v>
      </c>
      <c r="C217" s="1">
        <v>41698</v>
      </c>
    </row>
    <row r="218" spans="1:3">
      <c r="A218" t="s">
        <v>146</v>
      </c>
      <c r="B218">
        <v>3.2071124351188001</v>
      </c>
      <c r="C218" s="1">
        <v>41698</v>
      </c>
    </row>
    <row r="219" spans="1:3">
      <c r="A219" t="s">
        <v>148</v>
      </c>
      <c r="B219">
        <v>11.470198058954599</v>
      </c>
      <c r="C219" s="1">
        <v>41698</v>
      </c>
    </row>
    <row r="220" spans="1:3">
      <c r="A220" t="s">
        <v>150</v>
      </c>
      <c r="B220">
        <v>4.7692415109183202</v>
      </c>
      <c r="C220" s="1">
        <v>41698</v>
      </c>
    </row>
    <row r="221" spans="1:3">
      <c r="A221" t="s">
        <v>152</v>
      </c>
      <c r="B221">
        <v>17.739195196281202</v>
      </c>
      <c r="C221" s="1">
        <v>41698</v>
      </c>
    </row>
    <row r="222" spans="1:3">
      <c r="A222" t="s">
        <v>154</v>
      </c>
      <c r="B222">
        <v>22.756068610752902</v>
      </c>
      <c r="C222" s="1">
        <v>41698</v>
      </c>
    </row>
    <row r="223" spans="1:3">
      <c r="A223" t="s">
        <v>156</v>
      </c>
      <c r="B223">
        <v>50.836223147904803</v>
      </c>
      <c r="C223" s="1">
        <v>41698</v>
      </c>
    </row>
    <row r="224" spans="1:3">
      <c r="A224" t="s">
        <v>158</v>
      </c>
      <c r="B224">
        <v>42.777014918348002</v>
      </c>
      <c r="C224" s="1">
        <v>41698</v>
      </c>
    </row>
    <row r="225" spans="1:3">
      <c r="A225" t="s">
        <v>160</v>
      </c>
      <c r="B225">
        <v>19.642981823224002</v>
      </c>
      <c r="C225" s="1">
        <v>41698</v>
      </c>
    </row>
    <row r="226" spans="1:3">
      <c r="A226" t="s">
        <v>162</v>
      </c>
      <c r="B226">
        <v>10.612795866576</v>
      </c>
      <c r="C226" s="1">
        <v>41698</v>
      </c>
    </row>
    <row r="227" spans="1:3">
      <c r="A227" t="s">
        <v>164</v>
      </c>
      <c r="B227">
        <v>3.80850420089144</v>
      </c>
      <c r="C227" s="1">
        <v>41698</v>
      </c>
    </row>
    <row r="228" spans="1:3">
      <c r="A228" t="s">
        <v>166</v>
      </c>
      <c r="B228">
        <v>10.013265994815001</v>
      </c>
      <c r="C228" s="1">
        <v>41698</v>
      </c>
    </row>
    <row r="229" spans="1:3">
      <c r="A229" t="s">
        <v>168</v>
      </c>
      <c r="B229">
        <v>20.387739427896001</v>
      </c>
      <c r="C229" s="1">
        <v>41698</v>
      </c>
    </row>
    <row r="230" spans="1:3">
      <c r="A230" t="s">
        <v>4</v>
      </c>
      <c r="B230">
        <v>0.23578851291704001</v>
      </c>
      <c r="C230" s="1">
        <v>41729</v>
      </c>
    </row>
    <row r="231" spans="1:3">
      <c r="A231" t="s">
        <v>8</v>
      </c>
      <c r="B231">
        <v>17.5662442123194</v>
      </c>
      <c r="C231" s="1">
        <v>41729</v>
      </c>
    </row>
    <row r="232" spans="1:3">
      <c r="A232" t="s">
        <v>11</v>
      </c>
      <c r="B232">
        <v>55.874271480276597</v>
      </c>
      <c r="C232" s="1">
        <v>41729</v>
      </c>
    </row>
    <row r="233" spans="1:3">
      <c r="A233" t="s">
        <v>14</v>
      </c>
      <c r="B233">
        <v>8.0624459255503993</v>
      </c>
      <c r="C233" s="1">
        <v>41729</v>
      </c>
    </row>
    <row r="234" spans="1:3">
      <c r="A234" t="s">
        <v>17</v>
      </c>
      <c r="B234">
        <v>9.6007758203075397</v>
      </c>
      <c r="C234" s="1">
        <v>41729</v>
      </c>
    </row>
    <row r="235" spans="1:3">
      <c r="A235" t="s">
        <v>20</v>
      </c>
      <c r="B235">
        <v>1.7113682389139999</v>
      </c>
      <c r="C235" s="1">
        <v>41729</v>
      </c>
    </row>
    <row r="236" spans="1:3">
      <c r="A236" t="s">
        <v>24</v>
      </c>
      <c r="B236">
        <v>2.5534755036756098</v>
      </c>
      <c r="C236" s="1">
        <v>41729</v>
      </c>
    </row>
    <row r="237" spans="1:3">
      <c r="A237" t="s">
        <v>27</v>
      </c>
      <c r="B237">
        <v>25.538367925260498</v>
      </c>
      <c r="C237" s="1">
        <v>41729</v>
      </c>
    </row>
    <row r="238" spans="1:3">
      <c r="A238" t="s">
        <v>29</v>
      </c>
      <c r="B238">
        <v>3.66137727114323</v>
      </c>
      <c r="C238" s="1">
        <v>41729</v>
      </c>
    </row>
    <row r="239" spans="1:3">
      <c r="A239" t="s">
        <v>32</v>
      </c>
      <c r="B239">
        <v>12.358930965357199</v>
      </c>
      <c r="C239" s="1">
        <v>41729</v>
      </c>
    </row>
    <row r="240" spans="1:3">
      <c r="A240" t="s">
        <v>35</v>
      </c>
      <c r="B240">
        <v>5.6094847831069998</v>
      </c>
      <c r="C240" s="1">
        <v>41729</v>
      </c>
    </row>
    <row r="241" spans="1:3">
      <c r="A241" t="s">
        <v>37</v>
      </c>
      <c r="B241">
        <v>0.82716131547509997</v>
      </c>
      <c r="C241" s="1">
        <v>41729</v>
      </c>
    </row>
    <row r="242" spans="1:3">
      <c r="A242" t="s">
        <v>39</v>
      </c>
      <c r="B242">
        <v>2.1097367345278699</v>
      </c>
      <c r="C242" s="1">
        <v>41729</v>
      </c>
    </row>
    <row r="243" spans="1:3">
      <c r="A243" t="s">
        <v>42</v>
      </c>
      <c r="B243">
        <v>1.35007938847659</v>
      </c>
      <c r="C243" s="1">
        <v>41729</v>
      </c>
    </row>
    <row r="244" spans="1:3">
      <c r="A244" t="s">
        <v>44</v>
      </c>
      <c r="B244">
        <v>13.31064185822</v>
      </c>
      <c r="C244" s="1">
        <v>41729</v>
      </c>
    </row>
    <row r="245" spans="1:3">
      <c r="A245" t="s">
        <v>47</v>
      </c>
      <c r="B245">
        <v>9.0597933047841703</v>
      </c>
      <c r="C245" s="1">
        <v>41729</v>
      </c>
    </row>
    <row r="246" spans="1:3">
      <c r="A246" t="s">
        <v>49</v>
      </c>
      <c r="B246">
        <v>11.553637132934901</v>
      </c>
      <c r="C246" s="1">
        <v>41729</v>
      </c>
    </row>
    <row r="247" spans="1:3">
      <c r="A247" t="s">
        <v>51</v>
      </c>
      <c r="B247">
        <v>1.5906217020572899</v>
      </c>
      <c r="C247" s="1">
        <v>41729</v>
      </c>
    </row>
    <row r="248" spans="1:3">
      <c r="A248" t="s">
        <v>53</v>
      </c>
      <c r="B248">
        <v>1.33296570608746</v>
      </c>
      <c r="C248" s="1">
        <v>41729</v>
      </c>
    </row>
    <row r="249" spans="1:3">
      <c r="A249" t="s">
        <v>55</v>
      </c>
      <c r="B249">
        <v>9.4125253140270004</v>
      </c>
      <c r="C249" s="1">
        <v>41729</v>
      </c>
    </row>
    <row r="250" spans="1:3">
      <c r="A250" t="s">
        <v>57</v>
      </c>
      <c r="B250">
        <v>3.19930784663645</v>
      </c>
      <c r="C250" s="1">
        <v>41729</v>
      </c>
    </row>
    <row r="251" spans="1:3">
      <c r="A251" t="s">
        <v>59</v>
      </c>
      <c r="B251">
        <v>5.4041205944373196</v>
      </c>
      <c r="C251" s="1">
        <v>41729</v>
      </c>
    </row>
    <row r="252" spans="1:3">
      <c r="A252" t="s">
        <v>61</v>
      </c>
      <c r="B252">
        <v>18.492284581598501</v>
      </c>
      <c r="C252" s="1">
        <v>41729</v>
      </c>
    </row>
    <row r="253" spans="1:3">
      <c r="A253" t="s">
        <v>63</v>
      </c>
      <c r="B253">
        <v>8.18129094214164</v>
      </c>
      <c r="C253" s="1">
        <v>41729</v>
      </c>
    </row>
    <row r="254" spans="1:3">
      <c r="A254" t="s">
        <v>65</v>
      </c>
      <c r="B254">
        <v>0.90797592675715</v>
      </c>
      <c r="C254" s="1">
        <v>41729</v>
      </c>
    </row>
    <row r="255" spans="1:3">
      <c r="A255" t="s">
        <v>67</v>
      </c>
      <c r="B255">
        <v>8.0215632398430099</v>
      </c>
      <c r="C255" s="1">
        <v>41729</v>
      </c>
    </row>
    <row r="256" spans="1:3">
      <c r="A256" t="s">
        <v>69</v>
      </c>
      <c r="B256">
        <v>7.34462202533925</v>
      </c>
      <c r="C256" s="1">
        <v>41729</v>
      </c>
    </row>
    <row r="257" spans="1:3">
      <c r="A257" t="s">
        <v>71</v>
      </c>
      <c r="B257">
        <v>0.7225777008748</v>
      </c>
      <c r="C257" s="1">
        <v>41729</v>
      </c>
    </row>
    <row r="258" spans="1:3">
      <c r="A258" t="s">
        <v>73</v>
      </c>
      <c r="B258">
        <v>2.2190741497918198</v>
      </c>
      <c r="C258" s="1">
        <v>41729</v>
      </c>
    </row>
    <row r="259" spans="1:3">
      <c r="A259" t="s">
        <v>75</v>
      </c>
      <c r="B259">
        <v>0.38030405309199999</v>
      </c>
      <c r="C259" s="1">
        <v>41729</v>
      </c>
    </row>
    <row r="260" spans="1:3">
      <c r="A260" t="s">
        <v>77</v>
      </c>
      <c r="B260">
        <v>2.31985472386119</v>
      </c>
      <c r="C260" s="1">
        <v>41729</v>
      </c>
    </row>
    <row r="261" spans="1:3">
      <c r="A261" t="s">
        <v>79</v>
      </c>
      <c r="B261">
        <v>9.4372450774779804</v>
      </c>
      <c r="C261" s="1">
        <v>41729</v>
      </c>
    </row>
    <row r="262" spans="1:3">
      <c r="A262" t="s">
        <v>81</v>
      </c>
      <c r="B262">
        <v>13.1014746290194</v>
      </c>
      <c r="C262" s="1">
        <v>41729</v>
      </c>
    </row>
    <row r="263" spans="1:3">
      <c r="A263" t="s">
        <v>83</v>
      </c>
      <c r="B263">
        <v>0.35273200924282999</v>
      </c>
      <c r="C263" s="1">
        <v>41729</v>
      </c>
    </row>
    <row r="264" spans="1:3">
      <c r="A264" t="s">
        <v>85</v>
      </c>
      <c r="B264">
        <v>7.2970840187027397</v>
      </c>
      <c r="C264" s="1">
        <v>41729</v>
      </c>
    </row>
    <row r="265" spans="1:3">
      <c r="A265" t="s">
        <v>87</v>
      </c>
      <c r="B265">
        <v>26.744882533694899</v>
      </c>
      <c r="C265" s="1">
        <v>41729</v>
      </c>
    </row>
    <row r="266" spans="1:3">
      <c r="A266" t="s">
        <v>89</v>
      </c>
      <c r="B266">
        <v>14.2138639843135</v>
      </c>
      <c r="C266" s="1">
        <v>41729</v>
      </c>
    </row>
    <row r="267" spans="1:3">
      <c r="A267" t="s">
        <v>91</v>
      </c>
      <c r="B267">
        <v>18.4742201390766</v>
      </c>
      <c r="C267" s="1">
        <v>41729</v>
      </c>
    </row>
    <row r="268" spans="1:3">
      <c r="A268" t="s">
        <v>93</v>
      </c>
      <c r="B268">
        <v>12.930337805128</v>
      </c>
      <c r="C268" s="1">
        <v>41729</v>
      </c>
    </row>
    <row r="269" spans="1:3">
      <c r="A269" t="s">
        <v>95</v>
      </c>
      <c r="B269">
        <v>2.4244383384615</v>
      </c>
      <c r="C269" s="1">
        <v>41729</v>
      </c>
    </row>
    <row r="270" spans="1:3">
      <c r="A270" t="s">
        <v>97</v>
      </c>
      <c r="B270">
        <v>20.065792601266601</v>
      </c>
      <c r="C270" s="1">
        <v>41729</v>
      </c>
    </row>
    <row r="271" spans="1:3">
      <c r="A271" t="s">
        <v>99</v>
      </c>
      <c r="B271">
        <v>8.6091330018701502</v>
      </c>
      <c r="C271" s="1">
        <v>41729</v>
      </c>
    </row>
    <row r="272" spans="1:3">
      <c r="A272" t="s">
        <v>101</v>
      </c>
      <c r="B272">
        <v>9.9392464275594197</v>
      </c>
      <c r="C272" s="1">
        <v>41729</v>
      </c>
    </row>
    <row r="273" spans="1:3">
      <c r="A273" t="s">
        <v>103</v>
      </c>
      <c r="B273">
        <v>1.5402314150226</v>
      </c>
      <c r="C273" s="1">
        <v>41729</v>
      </c>
    </row>
    <row r="274" spans="1:3">
      <c r="A274" t="s">
        <v>105</v>
      </c>
      <c r="B274">
        <v>2.78002262810252</v>
      </c>
      <c r="C274" s="1">
        <v>41729</v>
      </c>
    </row>
    <row r="275" spans="1:3">
      <c r="A275" t="s">
        <v>107</v>
      </c>
      <c r="B275">
        <v>8.9761264131039198</v>
      </c>
      <c r="C275" s="1">
        <v>41729</v>
      </c>
    </row>
    <row r="276" spans="1:3">
      <c r="A276" t="s">
        <v>109</v>
      </c>
      <c r="B276">
        <v>3.1089856340270998</v>
      </c>
      <c r="C276" s="1">
        <v>41729</v>
      </c>
    </row>
    <row r="277" spans="1:3">
      <c r="A277" t="s">
        <v>111</v>
      </c>
      <c r="B277">
        <v>12.074653685671001</v>
      </c>
      <c r="C277" s="1">
        <v>41729</v>
      </c>
    </row>
    <row r="278" spans="1:3">
      <c r="A278" t="s">
        <v>113</v>
      </c>
      <c r="B278">
        <v>10.187394822201901</v>
      </c>
      <c r="C278" s="1">
        <v>41729</v>
      </c>
    </row>
    <row r="279" spans="1:3">
      <c r="A279" t="s">
        <v>115</v>
      </c>
      <c r="B279">
        <v>6.9766778539727303</v>
      </c>
      <c r="C279" s="1">
        <v>41729</v>
      </c>
    </row>
    <row r="280" spans="1:3">
      <c r="A280" t="s">
        <v>117</v>
      </c>
      <c r="B280">
        <v>4.9059222848867998</v>
      </c>
      <c r="C280" s="1">
        <v>41729</v>
      </c>
    </row>
    <row r="281" spans="1:3">
      <c r="A281" t="s">
        <v>119</v>
      </c>
      <c r="B281">
        <v>35.938733017193996</v>
      </c>
      <c r="C281" s="1">
        <v>41729</v>
      </c>
    </row>
    <row r="282" spans="1:3">
      <c r="A282" t="s">
        <v>121</v>
      </c>
      <c r="B282">
        <v>19.484878160168599</v>
      </c>
      <c r="C282" s="1">
        <v>41729</v>
      </c>
    </row>
    <row r="283" spans="1:3">
      <c r="A283" t="s">
        <v>123</v>
      </c>
      <c r="B283">
        <v>5.4706738037284097</v>
      </c>
      <c r="C283" s="1">
        <v>41729</v>
      </c>
    </row>
    <row r="284" spans="1:3">
      <c r="A284" t="s">
        <v>125</v>
      </c>
      <c r="B284">
        <v>110.41557725446501</v>
      </c>
      <c r="C284" s="1">
        <v>41729</v>
      </c>
    </row>
    <row r="285" spans="1:3">
      <c r="A285" t="s">
        <v>127</v>
      </c>
      <c r="B285">
        <v>20.493634660995099</v>
      </c>
      <c r="C285" s="1">
        <v>41729</v>
      </c>
    </row>
    <row r="286" spans="1:3">
      <c r="A286" t="s">
        <v>129</v>
      </c>
      <c r="B286">
        <v>3.4322440791552999</v>
      </c>
      <c r="C286" s="1">
        <v>41729</v>
      </c>
    </row>
    <row r="287" spans="1:3">
      <c r="A287" t="s">
        <v>131</v>
      </c>
      <c r="B287">
        <v>4.6397094477223897</v>
      </c>
      <c r="C287" s="1">
        <v>41729</v>
      </c>
    </row>
    <row r="288" spans="1:3">
      <c r="A288" t="s">
        <v>134</v>
      </c>
      <c r="B288">
        <v>2.73343538159875</v>
      </c>
      <c r="C288" s="1">
        <v>41729</v>
      </c>
    </row>
    <row r="289" spans="1:3">
      <c r="A289" t="s">
        <v>136</v>
      </c>
      <c r="B289">
        <v>15.1361013130615</v>
      </c>
      <c r="C289" s="1">
        <v>41729</v>
      </c>
    </row>
    <row r="290" spans="1:3">
      <c r="A290" t="s">
        <v>138</v>
      </c>
      <c r="B290">
        <v>26.470112855335898</v>
      </c>
      <c r="C290" s="1">
        <v>41729</v>
      </c>
    </row>
    <row r="291" spans="1:3">
      <c r="A291" t="s">
        <v>140</v>
      </c>
      <c r="B291">
        <v>6.2322326700451498</v>
      </c>
      <c r="C291" s="1">
        <v>41729</v>
      </c>
    </row>
    <row r="292" spans="1:3">
      <c r="A292" t="s">
        <v>142</v>
      </c>
      <c r="B292">
        <v>8.0662489660813197</v>
      </c>
      <c r="C292" s="1">
        <v>41729</v>
      </c>
    </row>
    <row r="293" spans="1:3">
      <c r="A293" t="s">
        <v>144</v>
      </c>
      <c r="B293">
        <v>6.1324028561084898</v>
      </c>
      <c r="C293" s="1">
        <v>41729</v>
      </c>
    </row>
    <row r="294" spans="1:3">
      <c r="A294" t="s">
        <v>146</v>
      </c>
      <c r="B294">
        <v>3.517812491101</v>
      </c>
      <c r="C294" s="1">
        <v>41729</v>
      </c>
    </row>
    <row r="295" spans="1:3">
      <c r="A295" t="s">
        <v>148</v>
      </c>
      <c r="B295">
        <v>13.196550642292401</v>
      </c>
      <c r="C295" s="1">
        <v>41729</v>
      </c>
    </row>
    <row r="296" spans="1:3">
      <c r="A296" t="s">
        <v>150</v>
      </c>
      <c r="B296">
        <v>5.3746470303226896</v>
      </c>
      <c r="C296" s="1">
        <v>41729</v>
      </c>
    </row>
    <row r="297" spans="1:3">
      <c r="A297" t="s">
        <v>152</v>
      </c>
      <c r="B297">
        <v>17.389402827631699</v>
      </c>
      <c r="C297" s="1">
        <v>41729</v>
      </c>
    </row>
    <row r="298" spans="1:3">
      <c r="A298" t="s">
        <v>154</v>
      </c>
      <c r="B298">
        <v>25.886346133839702</v>
      </c>
      <c r="C298" s="1">
        <v>41729</v>
      </c>
    </row>
    <row r="299" spans="1:3">
      <c r="A299" t="s">
        <v>156</v>
      </c>
      <c r="B299">
        <v>56.053965145362596</v>
      </c>
      <c r="C299" s="1">
        <v>41729</v>
      </c>
    </row>
    <row r="300" spans="1:3">
      <c r="A300" t="s">
        <v>158</v>
      </c>
      <c r="B300">
        <v>45.032753686756401</v>
      </c>
      <c r="C300" s="1">
        <v>41729</v>
      </c>
    </row>
    <row r="301" spans="1:3">
      <c r="A301" t="s">
        <v>160</v>
      </c>
      <c r="B301">
        <v>21.300830013682901</v>
      </c>
      <c r="C301" s="1">
        <v>41729</v>
      </c>
    </row>
    <row r="302" spans="1:3">
      <c r="A302" t="s">
        <v>162</v>
      </c>
      <c r="B302">
        <v>11.40912159276</v>
      </c>
      <c r="C302" s="1">
        <v>41729</v>
      </c>
    </row>
    <row r="303" spans="1:3">
      <c r="A303" t="s">
        <v>164</v>
      </c>
      <c r="B303">
        <v>3.8534308179546901</v>
      </c>
      <c r="C303" s="1">
        <v>41729</v>
      </c>
    </row>
    <row r="304" spans="1:3">
      <c r="A304" t="s">
        <v>166</v>
      </c>
      <c r="B304">
        <v>10.484031983613701</v>
      </c>
      <c r="C304" s="1">
        <v>41729</v>
      </c>
    </row>
    <row r="305" spans="1:3">
      <c r="A305" t="s">
        <v>168</v>
      </c>
      <c r="B305">
        <v>19.832856368747699</v>
      </c>
      <c r="C305" s="1">
        <v>41729</v>
      </c>
    </row>
    <row r="306" spans="1:3">
      <c r="A306" t="s">
        <v>4</v>
      </c>
      <c r="B306">
        <v>0.25828138427344</v>
      </c>
      <c r="C306" s="1">
        <v>41759</v>
      </c>
    </row>
    <row r="307" spans="1:3">
      <c r="A307" t="s">
        <v>8</v>
      </c>
      <c r="B307">
        <v>16.617368473475</v>
      </c>
      <c r="C307" s="1">
        <v>41759</v>
      </c>
    </row>
    <row r="308" spans="1:3">
      <c r="A308" t="s">
        <v>11</v>
      </c>
      <c r="B308">
        <v>57.513187068653302</v>
      </c>
      <c r="C308" s="1">
        <v>41759</v>
      </c>
    </row>
    <row r="309" spans="1:3">
      <c r="A309" t="s">
        <v>14</v>
      </c>
      <c r="B309">
        <v>8.7606766592160206</v>
      </c>
      <c r="C309" s="1">
        <v>41759</v>
      </c>
    </row>
    <row r="310" spans="1:3">
      <c r="A310" t="s">
        <v>17</v>
      </c>
      <c r="B310">
        <v>10.1783755809816</v>
      </c>
      <c r="C310" s="1">
        <v>41759</v>
      </c>
    </row>
    <row r="311" spans="1:3">
      <c r="A311" t="s">
        <v>20</v>
      </c>
      <c r="B311">
        <v>1.70921504298599</v>
      </c>
      <c r="C311" s="1">
        <v>41759</v>
      </c>
    </row>
    <row r="312" spans="1:3">
      <c r="A312" t="s">
        <v>24</v>
      </c>
      <c r="B312">
        <v>2.45462271451045</v>
      </c>
      <c r="C312" s="1">
        <v>41759</v>
      </c>
    </row>
    <row r="313" spans="1:3">
      <c r="A313" t="s">
        <v>27</v>
      </c>
      <c r="B313">
        <v>26.635267753198399</v>
      </c>
      <c r="C313" s="1">
        <v>41759</v>
      </c>
    </row>
    <row r="314" spans="1:3">
      <c r="A314" t="s">
        <v>29</v>
      </c>
      <c r="B314">
        <v>3.96632846364029</v>
      </c>
      <c r="C314" s="1">
        <v>41759</v>
      </c>
    </row>
    <row r="315" spans="1:3">
      <c r="A315" t="s">
        <v>32</v>
      </c>
      <c r="B315">
        <v>11.912279285699601</v>
      </c>
      <c r="C315" s="1">
        <v>41759</v>
      </c>
    </row>
    <row r="316" spans="1:3">
      <c r="A316" t="s">
        <v>35</v>
      </c>
      <c r="B316">
        <v>5.7923398678969997</v>
      </c>
      <c r="C316" s="1">
        <v>41759</v>
      </c>
    </row>
    <row r="317" spans="1:3">
      <c r="A317" t="s">
        <v>37</v>
      </c>
      <c r="B317">
        <v>0.86600228844623905</v>
      </c>
      <c r="C317" s="1">
        <v>41759</v>
      </c>
    </row>
    <row r="318" spans="1:3">
      <c r="A318" t="s">
        <v>39</v>
      </c>
      <c r="B318">
        <v>2.0653015102747498</v>
      </c>
      <c r="C318" s="1">
        <v>41759</v>
      </c>
    </row>
    <row r="319" spans="1:3">
      <c r="A319" t="s">
        <v>42</v>
      </c>
      <c r="B319">
        <v>1.48606752348505</v>
      </c>
      <c r="C319" s="1">
        <v>41759</v>
      </c>
    </row>
    <row r="320" spans="1:3">
      <c r="A320" t="s">
        <v>44</v>
      </c>
      <c r="B320">
        <v>13.614847381296199</v>
      </c>
      <c r="C320" s="1">
        <v>41759</v>
      </c>
    </row>
    <row r="321" spans="1:3">
      <c r="A321" t="s">
        <v>47</v>
      </c>
      <c r="B321">
        <v>9.1632917582304998</v>
      </c>
      <c r="C321" s="1">
        <v>41759</v>
      </c>
    </row>
    <row r="322" spans="1:3">
      <c r="A322" t="s">
        <v>49</v>
      </c>
      <c r="B322">
        <v>11.727114322709401</v>
      </c>
      <c r="C322" s="1">
        <v>41759</v>
      </c>
    </row>
    <row r="323" spans="1:3">
      <c r="A323" t="s">
        <v>51</v>
      </c>
      <c r="B323">
        <v>1.5924186817152799</v>
      </c>
      <c r="C323" s="1">
        <v>41759</v>
      </c>
    </row>
    <row r="324" spans="1:3">
      <c r="A324" t="s">
        <v>53</v>
      </c>
      <c r="B324">
        <v>1.37211985395264</v>
      </c>
      <c r="C324" s="1">
        <v>41759</v>
      </c>
    </row>
    <row r="325" spans="1:3">
      <c r="A325" t="s">
        <v>55</v>
      </c>
      <c r="B325">
        <v>9.6371241507027197</v>
      </c>
      <c r="C325" s="1">
        <v>41759</v>
      </c>
    </row>
    <row r="326" spans="1:3">
      <c r="A326" t="s">
        <v>57</v>
      </c>
      <c r="B326">
        <v>3.5703603120151999</v>
      </c>
      <c r="C326" s="1">
        <v>41759</v>
      </c>
    </row>
    <row r="327" spans="1:3">
      <c r="A327" t="s">
        <v>59</v>
      </c>
      <c r="B327">
        <v>5.4681511515660199</v>
      </c>
      <c r="C327" s="1">
        <v>41759</v>
      </c>
    </row>
    <row r="328" spans="1:3">
      <c r="A328" t="s">
        <v>61</v>
      </c>
      <c r="B328">
        <v>21.6006798876919</v>
      </c>
      <c r="C328" s="1">
        <v>41759</v>
      </c>
    </row>
    <row r="329" spans="1:3">
      <c r="A329" t="s">
        <v>63</v>
      </c>
      <c r="B329">
        <v>9.0683353669534998</v>
      </c>
      <c r="C329" s="1">
        <v>41759</v>
      </c>
    </row>
    <row r="330" spans="1:3">
      <c r="A330" t="s">
        <v>65</v>
      </c>
      <c r="B330">
        <v>0.943866529293379</v>
      </c>
      <c r="C330" s="1">
        <v>41759</v>
      </c>
    </row>
    <row r="331" spans="1:3">
      <c r="A331" t="s">
        <v>67</v>
      </c>
      <c r="B331">
        <v>8.6600228844623999</v>
      </c>
      <c r="C331" s="1">
        <v>41759</v>
      </c>
    </row>
    <row r="332" spans="1:3">
      <c r="A332" t="s">
        <v>69</v>
      </c>
      <c r="B332">
        <v>8.0095716042149494</v>
      </c>
      <c r="C332" s="1">
        <v>41759</v>
      </c>
    </row>
    <row r="333" spans="1:3">
      <c r="A333" t="s">
        <v>71</v>
      </c>
      <c r="B333">
        <v>0.81947365672050998</v>
      </c>
      <c r="C333" s="1">
        <v>41759</v>
      </c>
    </row>
    <row r="334" spans="1:3">
      <c r="A334" t="s">
        <v>73</v>
      </c>
      <c r="B334">
        <v>2.4213879775634899</v>
      </c>
      <c r="C334" s="1">
        <v>41759</v>
      </c>
    </row>
    <row r="335" spans="1:3">
      <c r="A335" t="s">
        <v>75</v>
      </c>
      <c r="B335">
        <v>0.39216989597400997</v>
      </c>
      <c r="C335" s="1">
        <v>41759</v>
      </c>
    </row>
    <row r="336" spans="1:3">
      <c r="A336" t="s">
        <v>77</v>
      </c>
      <c r="B336">
        <v>2.3074403080310999</v>
      </c>
      <c r="C336" s="1">
        <v>41759</v>
      </c>
    </row>
    <row r="337" spans="1:3">
      <c r="A337" t="s">
        <v>79</v>
      </c>
      <c r="B337">
        <v>10.017899279723499</v>
      </c>
      <c r="C337" s="1">
        <v>41759</v>
      </c>
    </row>
    <row r="338" spans="1:3">
      <c r="A338" t="s">
        <v>81</v>
      </c>
      <c r="B338">
        <v>12.9121700858464</v>
      </c>
      <c r="C338" s="1">
        <v>41759</v>
      </c>
    </row>
    <row r="339" spans="1:3">
      <c r="A339" t="s">
        <v>83</v>
      </c>
      <c r="B339">
        <v>0.38932120423569899</v>
      </c>
      <c r="C339" s="1">
        <v>41759</v>
      </c>
    </row>
    <row r="340" spans="1:3">
      <c r="A340" t="s">
        <v>85</v>
      </c>
      <c r="B340">
        <v>7.4664210461104998</v>
      </c>
      <c r="C340" s="1">
        <v>41759</v>
      </c>
    </row>
    <row r="341" spans="1:3">
      <c r="A341" t="s">
        <v>87</v>
      </c>
      <c r="B341">
        <v>26.584940865821601</v>
      </c>
      <c r="C341" s="1">
        <v>41759</v>
      </c>
    </row>
    <row r="342" spans="1:3">
      <c r="A342" t="s">
        <v>89</v>
      </c>
      <c r="B342">
        <v>14.24345869155</v>
      </c>
      <c r="C342" s="1">
        <v>41759</v>
      </c>
    </row>
    <row r="343" spans="1:3">
      <c r="A343" t="s">
        <v>91</v>
      </c>
      <c r="B343">
        <v>20.130754950723901</v>
      </c>
      <c r="C343" s="1">
        <v>41759</v>
      </c>
    </row>
    <row r="344" spans="1:3">
      <c r="A344" t="s">
        <v>93</v>
      </c>
      <c r="B344">
        <v>11.917027105263401</v>
      </c>
      <c r="C344" s="1">
        <v>41759</v>
      </c>
    </row>
    <row r="345" spans="1:3">
      <c r="A345" t="s">
        <v>95</v>
      </c>
      <c r="B345">
        <v>2.3644141427972998</v>
      </c>
      <c r="C345" s="1">
        <v>41759</v>
      </c>
    </row>
    <row r="346" spans="1:3">
      <c r="A346" t="s">
        <v>97</v>
      </c>
      <c r="B346">
        <v>21.460144428602</v>
      </c>
      <c r="C346" s="1">
        <v>41759</v>
      </c>
    </row>
    <row r="347" spans="1:3">
      <c r="A347" t="s">
        <v>99</v>
      </c>
      <c r="B347">
        <v>8.5460752149299992</v>
      </c>
      <c r="C347" s="1">
        <v>41759</v>
      </c>
    </row>
    <row r="348" spans="1:3">
      <c r="A348" t="s">
        <v>101</v>
      </c>
      <c r="B348">
        <v>9.9599758810445298</v>
      </c>
      <c r="C348" s="1">
        <v>41759</v>
      </c>
    </row>
    <row r="349" spans="1:3">
      <c r="A349" t="s">
        <v>103</v>
      </c>
      <c r="B349">
        <v>1.4623284256658</v>
      </c>
      <c r="C349" s="1">
        <v>41759</v>
      </c>
    </row>
    <row r="350" spans="1:3">
      <c r="A350" t="s">
        <v>105</v>
      </c>
      <c r="B350">
        <v>2.90566557307619</v>
      </c>
      <c r="C350" s="1">
        <v>41759</v>
      </c>
    </row>
    <row r="351" spans="1:3">
      <c r="A351" t="s">
        <v>107</v>
      </c>
      <c r="B351">
        <v>9.8754646928079897</v>
      </c>
      <c r="C351" s="1">
        <v>41759</v>
      </c>
    </row>
    <row r="352" spans="1:3">
      <c r="A352" t="s">
        <v>109</v>
      </c>
      <c r="B352">
        <v>3.30258328861406</v>
      </c>
      <c r="C352" s="1">
        <v>41759</v>
      </c>
    </row>
    <row r="353" spans="1:3">
      <c r="A353" t="s">
        <v>111</v>
      </c>
      <c r="B353">
        <v>11.157375975047399</v>
      </c>
      <c r="C353" s="1">
        <v>41759</v>
      </c>
    </row>
    <row r="354" spans="1:3">
      <c r="A354" t="s">
        <v>113</v>
      </c>
      <c r="B354">
        <v>10.302768453554499</v>
      </c>
      <c r="C354" s="1">
        <v>41759</v>
      </c>
    </row>
    <row r="355" spans="1:3">
      <c r="A355" t="s">
        <v>115</v>
      </c>
      <c r="B355">
        <v>6.7893819763054903</v>
      </c>
      <c r="C355" s="1">
        <v>41759</v>
      </c>
    </row>
    <row r="356" spans="1:3">
      <c r="A356" t="s">
        <v>117</v>
      </c>
      <c r="B356">
        <v>5.6964339127072297</v>
      </c>
      <c r="C356" s="1">
        <v>41759</v>
      </c>
    </row>
    <row r="357" spans="1:3">
      <c r="A357" t="s">
        <v>119</v>
      </c>
      <c r="B357">
        <v>35.526984232376698</v>
      </c>
      <c r="C357" s="1">
        <v>41759</v>
      </c>
    </row>
    <row r="358" spans="1:3">
      <c r="A358" t="s">
        <v>121</v>
      </c>
      <c r="B358">
        <v>20.097520213776999</v>
      </c>
      <c r="C358" s="1">
        <v>41759</v>
      </c>
    </row>
    <row r="359" spans="1:3">
      <c r="A359" t="s">
        <v>123</v>
      </c>
      <c r="B359">
        <v>5.3412970093312397</v>
      </c>
      <c r="C359" s="1">
        <v>41759</v>
      </c>
    </row>
    <row r="360" spans="1:3">
      <c r="A360" t="s">
        <v>125</v>
      </c>
      <c r="B360">
        <v>94.196740146783995</v>
      </c>
      <c r="C360" s="1">
        <v>41759</v>
      </c>
    </row>
    <row r="361" spans="1:3">
      <c r="A361" t="s">
        <v>127</v>
      </c>
      <c r="B361">
        <v>20.017756845104302</v>
      </c>
      <c r="C361" s="1">
        <v>41759</v>
      </c>
    </row>
    <row r="362" spans="1:3">
      <c r="A362" t="s">
        <v>129</v>
      </c>
      <c r="B362">
        <v>3.6710140867688099</v>
      </c>
      <c r="C362" s="1">
        <v>41759</v>
      </c>
    </row>
    <row r="363" spans="1:3">
      <c r="A363" t="s">
        <v>131</v>
      </c>
      <c r="B363">
        <v>5.0222435346405296</v>
      </c>
      <c r="C363" s="1">
        <v>41759</v>
      </c>
    </row>
    <row r="364" spans="1:3">
      <c r="A364" t="s">
        <v>134</v>
      </c>
      <c r="B364">
        <v>2.6901145648773999</v>
      </c>
      <c r="C364" s="1">
        <v>41759</v>
      </c>
    </row>
    <row r="365" spans="1:3">
      <c r="A365" t="s">
        <v>136</v>
      </c>
      <c r="B365">
        <v>16.682888383456099</v>
      </c>
      <c r="C365" s="1">
        <v>41759</v>
      </c>
    </row>
    <row r="366" spans="1:3">
      <c r="A366" t="s">
        <v>138</v>
      </c>
      <c r="B366">
        <v>27.394918883414402</v>
      </c>
      <c r="C366" s="1">
        <v>41759</v>
      </c>
    </row>
    <row r="367" spans="1:3">
      <c r="A367" t="s">
        <v>140</v>
      </c>
      <c r="B367">
        <v>6.0914525004195497</v>
      </c>
      <c r="C367" s="1">
        <v>41759</v>
      </c>
    </row>
    <row r="368" spans="1:3">
      <c r="A368" t="s">
        <v>142</v>
      </c>
      <c r="B368">
        <v>8.7749201179075698</v>
      </c>
      <c r="C368" s="1">
        <v>41759</v>
      </c>
    </row>
    <row r="369" spans="1:3">
      <c r="A369" t="s">
        <v>144</v>
      </c>
      <c r="B369">
        <v>6.5519909981129896</v>
      </c>
      <c r="C369" s="1">
        <v>41759</v>
      </c>
    </row>
    <row r="370" spans="1:3">
      <c r="A370" t="s">
        <v>146</v>
      </c>
      <c r="B370">
        <v>3.16299739343687</v>
      </c>
      <c r="C370" s="1">
        <v>41759</v>
      </c>
    </row>
    <row r="371" spans="1:3">
      <c r="A371" t="s">
        <v>148</v>
      </c>
      <c r="B371">
        <v>13.111578507528099</v>
      </c>
      <c r="C371" s="1">
        <v>41759</v>
      </c>
    </row>
    <row r="372" spans="1:3">
      <c r="A372" t="s">
        <v>150</v>
      </c>
      <c r="B372">
        <v>5.5084202579787602</v>
      </c>
      <c r="C372" s="1">
        <v>41759</v>
      </c>
    </row>
    <row r="373" spans="1:3">
      <c r="A373" t="s">
        <v>152</v>
      </c>
      <c r="B373">
        <v>18.029370011763898</v>
      </c>
      <c r="C373" s="1">
        <v>41759</v>
      </c>
    </row>
    <row r="374" spans="1:3">
      <c r="A374" t="s">
        <v>154</v>
      </c>
      <c r="B374">
        <v>26.696039843615701</v>
      </c>
      <c r="C374" s="1">
        <v>41759</v>
      </c>
    </row>
    <row r="375" spans="1:3">
      <c r="A375" t="s">
        <v>156</v>
      </c>
      <c r="B375">
        <v>56.051808206900297</v>
      </c>
      <c r="C375" s="1">
        <v>41759</v>
      </c>
    </row>
    <row r="376" spans="1:3">
      <c r="A376" t="s">
        <v>158</v>
      </c>
      <c r="B376">
        <v>47.478195638499997</v>
      </c>
      <c r="C376" s="1">
        <v>41759</v>
      </c>
    </row>
    <row r="377" spans="1:3">
      <c r="A377" t="s">
        <v>160</v>
      </c>
      <c r="B377">
        <v>21.379431496016501</v>
      </c>
      <c r="C377" s="1">
        <v>41759</v>
      </c>
    </row>
    <row r="378" spans="1:3">
      <c r="A378" t="s">
        <v>162</v>
      </c>
      <c r="B378">
        <v>11.242836727196799</v>
      </c>
      <c r="C378" s="1">
        <v>41759</v>
      </c>
    </row>
    <row r="379" spans="1:3">
      <c r="A379" t="s">
        <v>164</v>
      </c>
      <c r="B379">
        <v>4.1885264192284604</v>
      </c>
      <c r="C379" s="1">
        <v>41759</v>
      </c>
    </row>
    <row r="380" spans="1:3">
      <c r="A380" t="s">
        <v>166</v>
      </c>
      <c r="B380">
        <v>10.8829520042569</v>
      </c>
      <c r="C380" s="1">
        <v>41759</v>
      </c>
    </row>
    <row r="381" spans="1:3">
      <c r="A381" t="s">
        <v>168</v>
      </c>
      <c r="B381">
        <v>18.773828119375601</v>
      </c>
      <c r="C381" s="1">
        <v>41759</v>
      </c>
    </row>
    <row r="382" spans="1:3">
      <c r="A382" t="s">
        <v>4</v>
      </c>
      <c r="B382">
        <v>0.24565961969899999</v>
      </c>
      <c r="C382" s="1">
        <v>41790</v>
      </c>
    </row>
    <row r="383" spans="1:3">
      <c r="A383" t="s">
        <v>8</v>
      </c>
      <c r="B383">
        <v>17.950159442467601</v>
      </c>
      <c r="C383" s="1">
        <v>41790</v>
      </c>
    </row>
    <row r="384" spans="1:3">
      <c r="A384" t="s">
        <v>11</v>
      </c>
      <c r="B384">
        <v>60.693988425402502</v>
      </c>
      <c r="C384" s="1">
        <v>41790</v>
      </c>
    </row>
    <row r="385" spans="1:3">
      <c r="A385" t="s">
        <v>14</v>
      </c>
      <c r="B385">
        <v>8.6084799810676493</v>
      </c>
      <c r="C385" s="1">
        <v>41790</v>
      </c>
    </row>
    <row r="386" spans="1:3">
      <c r="A386" t="s">
        <v>17</v>
      </c>
      <c r="B386">
        <v>10.5047832762057</v>
      </c>
      <c r="C386" s="1">
        <v>41790</v>
      </c>
    </row>
    <row r="387" spans="1:3">
      <c r="A387" t="s">
        <v>20</v>
      </c>
      <c r="B387">
        <v>1.7101688909815</v>
      </c>
      <c r="C387" s="1">
        <v>41790</v>
      </c>
    </row>
    <row r="388" spans="1:3">
      <c r="A388" t="s">
        <v>24</v>
      </c>
      <c r="B388">
        <v>2.8061887327155</v>
      </c>
      <c r="C388" s="1">
        <v>41790</v>
      </c>
    </row>
    <row r="389" spans="1:3">
      <c r="A389" t="s">
        <v>27</v>
      </c>
      <c r="B389">
        <v>24.565961969899998</v>
      </c>
      <c r="C389" s="1">
        <v>41790</v>
      </c>
    </row>
    <row r="390" spans="1:3">
      <c r="A390" t="s">
        <v>29</v>
      </c>
      <c r="B390">
        <v>3.9258296917282398</v>
      </c>
      <c r="C390" s="1">
        <v>41790</v>
      </c>
    </row>
    <row r="391" spans="1:3">
      <c r="A391" t="s">
        <v>32</v>
      </c>
      <c r="B391">
        <v>12.124247076836699</v>
      </c>
      <c r="C391" s="1">
        <v>41790</v>
      </c>
    </row>
    <row r="392" spans="1:3">
      <c r="A392" t="s">
        <v>35</v>
      </c>
      <c r="B392">
        <v>5.1975906460161498</v>
      </c>
      <c r="C392" s="1">
        <v>41790</v>
      </c>
    </row>
    <row r="393" spans="1:3">
      <c r="A393" t="s">
        <v>37</v>
      </c>
      <c r="B393">
        <v>0.88342978622524904</v>
      </c>
      <c r="C393" s="1">
        <v>41790</v>
      </c>
    </row>
    <row r="394" spans="1:3">
      <c r="A394" t="s">
        <v>39</v>
      </c>
      <c r="B394">
        <v>2.0314160859724999</v>
      </c>
      <c r="C394" s="1">
        <v>41790</v>
      </c>
    </row>
    <row r="395" spans="1:3">
      <c r="A395" t="s">
        <v>42</v>
      </c>
      <c r="B395">
        <v>1.4928546120170001</v>
      </c>
      <c r="C395" s="1">
        <v>41790</v>
      </c>
    </row>
    <row r="396" spans="1:3">
      <c r="A396" t="s">
        <v>44</v>
      </c>
      <c r="B396">
        <v>13.083264438354</v>
      </c>
      <c r="C396" s="1">
        <v>41790</v>
      </c>
    </row>
    <row r="397" spans="1:3">
      <c r="A397" t="s">
        <v>47</v>
      </c>
      <c r="B397">
        <v>9.1649935041549995</v>
      </c>
      <c r="C397" s="1">
        <v>41790</v>
      </c>
    </row>
    <row r="398" spans="1:3">
      <c r="A398" t="s">
        <v>49</v>
      </c>
      <c r="B398">
        <v>11.90504310849</v>
      </c>
      <c r="C398" s="1">
        <v>41790</v>
      </c>
    </row>
    <row r="399" spans="1:3">
      <c r="A399" t="s">
        <v>51</v>
      </c>
      <c r="B399">
        <v>1.61851895593994</v>
      </c>
      <c r="C399" s="1">
        <v>41790</v>
      </c>
    </row>
    <row r="400" spans="1:3">
      <c r="A400" t="s">
        <v>53</v>
      </c>
      <c r="B400">
        <v>1.3473485295798999</v>
      </c>
      <c r="C400" s="1">
        <v>41790</v>
      </c>
    </row>
    <row r="401" spans="1:3">
      <c r="A401" t="s">
        <v>55</v>
      </c>
      <c r="B401">
        <v>9.5674973425849004</v>
      </c>
      <c r="C401" s="1">
        <v>41790</v>
      </c>
    </row>
    <row r="402" spans="1:3">
      <c r="A402" t="s">
        <v>57</v>
      </c>
      <c r="B402">
        <v>3.6565489547504999</v>
      </c>
      <c r="C402" s="1">
        <v>41790</v>
      </c>
    </row>
    <row r="403" spans="1:3">
      <c r="A403" t="s">
        <v>59</v>
      </c>
      <c r="B403">
        <v>5.3667178457319897</v>
      </c>
      <c r="C403" s="1">
        <v>41790</v>
      </c>
    </row>
    <row r="404" spans="1:3">
      <c r="A404" t="s">
        <v>61</v>
      </c>
      <c r="B404">
        <v>20.975552143529999</v>
      </c>
      <c r="C404" s="1">
        <v>41790</v>
      </c>
    </row>
    <row r="405" spans="1:3">
      <c r="A405" t="s">
        <v>63</v>
      </c>
      <c r="B405">
        <v>11.0074406518975</v>
      </c>
      <c r="C405" s="1">
        <v>41790</v>
      </c>
    </row>
    <row r="406" spans="1:3">
      <c r="A406" t="s">
        <v>65</v>
      </c>
      <c r="B406">
        <v>0.87870556276949996</v>
      </c>
      <c r="C406" s="1">
        <v>41790</v>
      </c>
    </row>
    <row r="407" spans="1:3">
      <c r="A407" t="s">
        <v>67</v>
      </c>
      <c r="B407">
        <v>8.6453289240225004</v>
      </c>
      <c r="C407" s="1">
        <v>41790</v>
      </c>
    </row>
    <row r="408" spans="1:3">
      <c r="A408" t="s">
        <v>69</v>
      </c>
      <c r="B408">
        <v>7.46521790477615</v>
      </c>
      <c r="C408" s="1">
        <v>41790</v>
      </c>
    </row>
    <row r="409" spans="1:3">
      <c r="A409" t="s">
        <v>71</v>
      </c>
      <c r="B409">
        <v>0.84563599857924898</v>
      </c>
      <c r="C409" s="1">
        <v>41790</v>
      </c>
    </row>
    <row r="410" spans="1:3">
      <c r="A410" t="s">
        <v>73</v>
      </c>
      <c r="B410">
        <v>2.7022558166890001</v>
      </c>
      <c r="C410" s="1">
        <v>41790</v>
      </c>
    </row>
    <row r="411" spans="1:3">
      <c r="A411" t="s">
        <v>75</v>
      </c>
      <c r="B411">
        <v>0.386441478680349</v>
      </c>
      <c r="C411" s="1">
        <v>41790</v>
      </c>
    </row>
    <row r="412" spans="1:3">
      <c r="A412" t="s">
        <v>77</v>
      </c>
      <c r="B412">
        <v>2.2203850242024998</v>
      </c>
      <c r="C412" s="1">
        <v>41790</v>
      </c>
    </row>
    <row r="413" spans="1:3">
      <c r="A413" t="s">
        <v>79</v>
      </c>
      <c r="B413">
        <v>9.8169363410484998</v>
      </c>
      <c r="C413" s="1">
        <v>41790</v>
      </c>
    </row>
    <row r="414" spans="1:3">
      <c r="A414" t="s">
        <v>81</v>
      </c>
      <c r="B414">
        <v>12.6618637061011</v>
      </c>
      <c r="C414" s="1">
        <v>41790</v>
      </c>
    </row>
    <row r="415" spans="1:3">
      <c r="A415" t="s">
        <v>83</v>
      </c>
      <c r="B415">
        <v>0.37321365300425002</v>
      </c>
      <c r="C415" s="1">
        <v>41790</v>
      </c>
    </row>
    <row r="416" spans="1:3">
      <c r="A416" t="s">
        <v>85</v>
      </c>
      <c r="B416">
        <v>7.4671075941584499</v>
      </c>
      <c r="C416" s="1">
        <v>41790</v>
      </c>
    </row>
    <row r="417" spans="1:3">
      <c r="A417" t="s">
        <v>87</v>
      </c>
      <c r="B417">
        <v>25.8084327387622</v>
      </c>
      <c r="C417" s="1">
        <v>41790</v>
      </c>
    </row>
    <row r="418" spans="1:3">
      <c r="A418" t="s">
        <v>89</v>
      </c>
      <c r="B418">
        <v>15.372623125010399</v>
      </c>
      <c r="C418" s="1">
        <v>41790</v>
      </c>
    </row>
    <row r="419" spans="1:3">
      <c r="A419" t="s">
        <v>91</v>
      </c>
      <c r="B419">
        <v>20.219676390610001</v>
      </c>
      <c r="C419" s="1">
        <v>41790</v>
      </c>
    </row>
    <row r="420" spans="1:3">
      <c r="A420" t="s">
        <v>93</v>
      </c>
      <c r="B420">
        <v>13.133341206985</v>
      </c>
      <c r="C420" s="1">
        <v>41790</v>
      </c>
    </row>
    <row r="421" spans="1:3">
      <c r="A421" t="s">
        <v>95</v>
      </c>
      <c r="B421">
        <v>2.6502893586757499</v>
      </c>
      <c r="C421" s="1">
        <v>41790</v>
      </c>
    </row>
    <row r="422" spans="1:3">
      <c r="A422" t="s">
        <v>97</v>
      </c>
      <c r="B422">
        <v>21.976142671457801</v>
      </c>
      <c r="C422" s="1">
        <v>41790</v>
      </c>
    </row>
    <row r="423" spans="1:3">
      <c r="A423" t="s">
        <v>99</v>
      </c>
      <c r="B423">
        <v>8.5130506672614992</v>
      </c>
      <c r="C423" s="1">
        <v>41790</v>
      </c>
    </row>
    <row r="424" spans="1:3">
      <c r="A424" t="s">
        <v>101</v>
      </c>
      <c r="B424">
        <v>9.8263847879600004</v>
      </c>
      <c r="C424" s="1">
        <v>41790</v>
      </c>
    </row>
    <row r="425" spans="1:3">
      <c r="A425" t="s">
        <v>103</v>
      </c>
      <c r="B425">
        <v>1.5589937403975</v>
      </c>
      <c r="C425" s="1">
        <v>41790</v>
      </c>
    </row>
    <row r="426" spans="1:3">
      <c r="A426" t="s">
        <v>105</v>
      </c>
      <c r="B426">
        <v>3.0707452462374998</v>
      </c>
      <c r="C426" s="1">
        <v>41790</v>
      </c>
    </row>
    <row r="427" spans="1:3">
      <c r="A427" t="s">
        <v>107</v>
      </c>
      <c r="B427">
        <v>10.01535372619</v>
      </c>
      <c r="C427" s="1">
        <v>41790</v>
      </c>
    </row>
    <row r="428" spans="1:3">
      <c r="A428" t="s">
        <v>109</v>
      </c>
      <c r="B428">
        <v>2.6285579307793001</v>
      </c>
      <c r="C428" s="1">
        <v>41790</v>
      </c>
    </row>
    <row r="429" spans="1:3">
      <c r="A429" t="s">
        <v>111</v>
      </c>
      <c r="B429">
        <v>10.8666587929161</v>
      </c>
      <c r="C429" s="1">
        <v>41790</v>
      </c>
    </row>
    <row r="430" spans="1:3">
      <c r="A430" t="s">
        <v>113</v>
      </c>
      <c r="B430">
        <v>10.6758001653038</v>
      </c>
      <c r="C430" s="1">
        <v>41790</v>
      </c>
    </row>
    <row r="431" spans="1:3">
      <c r="A431" t="s">
        <v>115</v>
      </c>
      <c r="B431">
        <v>7.0806661154780999</v>
      </c>
      <c r="C431" s="1">
        <v>41790</v>
      </c>
    </row>
    <row r="432" spans="1:3">
      <c r="A432" t="s">
        <v>117</v>
      </c>
      <c r="B432">
        <v>5.4857682768169003</v>
      </c>
      <c r="C432" s="1">
        <v>41790</v>
      </c>
    </row>
    <row r="433" spans="1:3">
      <c r="A433" t="s">
        <v>119</v>
      </c>
      <c r="B433">
        <v>30.516593834762698</v>
      </c>
      <c r="C433" s="1">
        <v>41790</v>
      </c>
    </row>
    <row r="434" spans="1:3">
      <c r="A434" t="s">
        <v>121</v>
      </c>
      <c r="B434">
        <v>20.719499232228301</v>
      </c>
      <c r="C434" s="1">
        <v>41790</v>
      </c>
    </row>
    <row r="435" spans="1:3">
      <c r="A435" t="s">
        <v>123</v>
      </c>
      <c r="B435">
        <v>5.5849769693876397</v>
      </c>
      <c r="C435" s="1">
        <v>41790</v>
      </c>
    </row>
    <row r="436" spans="1:3">
      <c r="A436" t="s">
        <v>125</v>
      </c>
      <c r="B436">
        <v>110.237864650543</v>
      </c>
      <c r="C436" s="1">
        <v>41790</v>
      </c>
    </row>
    <row r="437" spans="1:3">
      <c r="A437" t="s">
        <v>127</v>
      </c>
      <c r="B437">
        <v>21.075705680791899</v>
      </c>
      <c r="C437" s="1">
        <v>41790</v>
      </c>
    </row>
    <row r="438" spans="1:3">
      <c r="A438" t="s">
        <v>129</v>
      </c>
      <c r="B438">
        <v>3.7633164048504399</v>
      </c>
      <c r="C438" s="1">
        <v>41790</v>
      </c>
    </row>
    <row r="439" spans="1:3">
      <c r="A439" t="s">
        <v>131</v>
      </c>
      <c r="B439">
        <v>4.8942955001569999</v>
      </c>
      <c r="C439" s="1">
        <v>41790</v>
      </c>
    </row>
    <row r="440" spans="1:3">
      <c r="A440" t="s">
        <v>134</v>
      </c>
      <c r="B440">
        <v>2.7778433919809999</v>
      </c>
      <c r="C440" s="1">
        <v>41790</v>
      </c>
    </row>
    <row r="441" spans="1:3">
      <c r="A441" t="s">
        <v>136</v>
      </c>
      <c r="B441">
        <v>15.589937403975</v>
      </c>
      <c r="C441" s="1">
        <v>41790</v>
      </c>
    </row>
    <row r="442" spans="1:3">
      <c r="A442" t="s">
        <v>138</v>
      </c>
      <c r="B442">
        <v>27.790716900794902</v>
      </c>
      <c r="C442" s="1">
        <v>41790</v>
      </c>
    </row>
    <row r="443" spans="1:3">
      <c r="A443" t="s">
        <v>140</v>
      </c>
      <c r="B443">
        <v>6.0044880122582498</v>
      </c>
      <c r="C443" s="1">
        <v>41790</v>
      </c>
    </row>
    <row r="444" spans="1:3">
      <c r="A444" t="s">
        <v>142</v>
      </c>
      <c r="B444">
        <v>8.58107948502429</v>
      </c>
      <c r="C444" s="1">
        <v>41790</v>
      </c>
    </row>
    <row r="445" spans="1:3">
      <c r="A445" t="s">
        <v>144</v>
      </c>
      <c r="B445">
        <v>6.2454234085014901</v>
      </c>
      <c r="C445" s="1">
        <v>41790</v>
      </c>
    </row>
    <row r="446" spans="1:3">
      <c r="A446" t="s">
        <v>146</v>
      </c>
      <c r="B446">
        <v>3.4864769103434998</v>
      </c>
      <c r="C446" s="1">
        <v>41790</v>
      </c>
    </row>
    <row r="447" spans="1:3">
      <c r="A447" t="s">
        <v>148</v>
      </c>
      <c r="B447">
        <v>13.3837250501397</v>
      </c>
      <c r="C447" s="1">
        <v>41790</v>
      </c>
    </row>
    <row r="448" spans="1:3">
      <c r="A448" t="s">
        <v>150</v>
      </c>
      <c r="B448">
        <v>5.4876579661991904</v>
      </c>
      <c r="C448" s="1">
        <v>41790</v>
      </c>
    </row>
    <row r="449" spans="1:3">
      <c r="A449" t="s">
        <v>152</v>
      </c>
      <c r="B449">
        <v>15.5795441123723</v>
      </c>
      <c r="C449" s="1">
        <v>41790</v>
      </c>
    </row>
    <row r="450" spans="1:3">
      <c r="A450" t="s">
        <v>154</v>
      </c>
      <c r="B450">
        <v>28.345340734499999</v>
      </c>
      <c r="C450" s="1">
        <v>41790</v>
      </c>
    </row>
    <row r="451" spans="1:3">
      <c r="A451" t="s">
        <v>156</v>
      </c>
      <c r="B451">
        <v>56.242825085394898</v>
      </c>
      <c r="C451" s="1">
        <v>41790</v>
      </c>
    </row>
    <row r="452" spans="1:3">
      <c r="A452" t="s">
        <v>158</v>
      </c>
      <c r="B452">
        <v>42.612495570865001</v>
      </c>
      <c r="C452" s="1">
        <v>41790</v>
      </c>
    </row>
    <row r="453" spans="1:3">
      <c r="A453" t="s">
        <v>160</v>
      </c>
      <c r="B453">
        <v>20.963269162545</v>
      </c>
      <c r="C453" s="1">
        <v>41790</v>
      </c>
    </row>
    <row r="454" spans="1:3">
      <c r="A454" t="s">
        <v>162</v>
      </c>
      <c r="B454">
        <v>10.4650997991774</v>
      </c>
      <c r="C454" s="1">
        <v>41790</v>
      </c>
    </row>
    <row r="455" spans="1:3">
      <c r="A455" t="s">
        <v>164</v>
      </c>
      <c r="B455">
        <v>3.5100980276222402</v>
      </c>
      <c r="C455" s="1">
        <v>41790</v>
      </c>
    </row>
    <row r="456" spans="1:3">
      <c r="A456" t="s">
        <v>166</v>
      </c>
      <c r="B456">
        <v>9.5183654186451001</v>
      </c>
      <c r="C456" s="1">
        <v>41790</v>
      </c>
    </row>
    <row r="457" spans="1:3">
      <c r="A457" t="s">
        <v>168</v>
      </c>
      <c r="B457">
        <v>17.564662808478499</v>
      </c>
      <c r="C457" s="1">
        <v>41790</v>
      </c>
    </row>
    <row r="458" spans="1:3">
      <c r="A458" t="s">
        <v>4</v>
      </c>
      <c r="B458">
        <v>0.25002937375220002</v>
      </c>
      <c r="C458" s="1">
        <v>41820</v>
      </c>
    </row>
    <row r="459" spans="1:3">
      <c r="A459" t="s">
        <v>8</v>
      </c>
      <c r="B459">
        <v>18.206086241377299</v>
      </c>
      <c r="C459" s="1">
        <v>41820</v>
      </c>
    </row>
    <row r="460" spans="1:3">
      <c r="A460" t="s">
        <v>11</v>
      </c>
      <c r="B460">
        <v>59.6169662790724</v>
      </c>
      <c r="C460" s="1">
        <v>41820</v>
      </c>
    </row>
    <row r="461" spans="1:3">
      <c r="A461" t="s">
        <v>14</v>
      </c>
      <c r="B461">
        <v>9.1918693455743004</v>
      </c>
      <c r="C461" s="1">
        <v>41820</v>
      </c>
    </row>
    <row r="462" spans="1:3">
      <c r="A462" t="s">
        <v>17</v>
      </c>
      <c r="B462">
        <v>10.515333098367901</v>
      </c>
      <c r="C462" s="1">
        <v>41820</v>
      </c>
    </row>
    <row r="463" spans="1:3">
      <c r="A463" t="s">
        <v>20</v>
      </c>
      <c r="B463">
        <v>1.66560921161239</v>
      </c>
      <c r="C463" s="1">
        <v>41820</v>
      </c>
    </row>
    <row r="464" spans="1:3">
      <c r="A464" t="s">
        <v>24</v>
      </c>
      <c r="B464">
        <v>2.6309481847082998</v>
      </c>
      <c r="C464" s="1">
        <v>41820</v>
      </c>
    </row>
    <row r="465" spans="1:3">
      <c r="A465" t="s">
        <v>27</v>
      </c>
      <c r="B465">
        <v>24.462460345492499</v>
      </c>
      <c r="C465" s="1">
        <v>41820</v>
      </c>
    </row>
    <row r="466" spans="1:3">
      <c r="A466" t="s">
        <v>29</v>
      </c>
      <c r="B466">
        <v>3.8998942545033</v>
      </c>
      <c r="C466" s="1">
        <v>41820</v>
      </c>
    </row>
    <row r="467" spans="1:3">
      <c r="A467" t="s">
        <v>32</v>
      </c>
      <c r="B467">
        <v>12.3557748795964</v>
      </c>
      <c r="C467" s="1">
        <v>41820</v>
      </c>
    </row>
    <row r="468" spans="1:3">
      <c r="A468" t="s">
        <v>35</v>
      </c>
      <c r="B468">
        <v>4.9949477147337999</v>
      </c>
      <c r="C468" s="1">
        <v>41820</v>
      </c>
    </row>
    <row r="469" spans="1:3">
      <c r="A469" t="s">
        <v>37</v>
      </c>
      <c r="B469">
        <v>0.80460580425520001</v>
      </c>
      <c r="C469" s="1">
        <v>41820</v>
      </c>
    </row>
    <row r="470" spans="1:3">
      <c r="A470" t="s">
        <v>39</v>
      </c>
      <c r="B470">
        <v>2.1290095171004899</v>
      </c>
      <c r="C470" s="1">
        <v>41820</v>
      </c>
    </row>
    <row r="471" spans="1:3">
      <c r="A471" t="s">
        <v>42</v>
      </c>
      <c r="B471">
        <v>1.4381388791009999</v>
      </c>
      <c r="C471" s="1">
        <v>41820</v>
      </c>
    </row>
    <row r="472" spans="1:3">
      <c r="A472" t="s">
        <v>44</v>
      </c>
      <c r="B472">
        <v>13.018446716044901</v>
      </c>
      <c r="C472" s="1">
        <v>41820</v>
      </c>
    </row>
    <row r="473" spans="1:3">
      <c r="A473" t="s">
        <v>47</v>
      </c>
      <c r="B473">
        <v>9.0142168958029991</v>
      </c>
      <c r="C473" s="1">
        <v>41820</v>
      </c>
    </row>
    <row r="474" spans="1:3">
      <c r="A474" t="s">
        <v>49</v>
      </c>
      <c r="B474">
        <v>11.694043003199599</v>
      </c>
      <c r="C474" s="1">
        <v>41820</v>
      </c>
    </row>
    <row r="475" spans="1:3">
      <c r="A475" t="s">
        <v>51</v>
      </c>
      <c r="B475">
        <v>1.6007519680450999</v>
      </c>
      <c r="C475" s="1">
        <v>41820</v>
      </c>
    </row>
    <row r="476" spans="1:3">
      <c r="A476" t="s">
        <v>53</v>
      </c>
      <c r="B476">
        <v>1.38174127599899</v>
      </c>
      <c r="C476" s="1">
        <v>41820</v>
      </c>
    </row>
    <row r="477" spans="1:3">
      <c r="A477" t="s">
        <v>55</v>
      </c>
      <c r="B477">
        <v>8.9775584537866902</v>
      </c>
      <c r="C477" s="1">
        <v>41820</v>
      </c>
    </row>
    <row r="478" spans="1:3">
      <c r="A478" t="s">
        <v>57</v>
      </c>
      <c r="B478">
        <v>4.2956174362689996</v>
      </c>
      <c r="C478" s="1">
        <v>41820</v>
      </c>
    </row>
    <row r="479" spans="1:3">
      <c r="A479" t="s">
        <v>59</v>
      </c>
      <c r="B479">
        <v>5.6444601104584997</v>
      </c>
      <c r="C479" s="1">
        <v>41820</v>
      </c>
    </row>
    <row r="480" spans="1:3">
      <c r="A480" t="s">
        <v>61</v>
      </c>
      <c r="B480">
        <v>20.9131711902733</v>
      </c>
      <c r="C480" s="1">
        <v>41820</v>
      </c>
    </row>
    <row r="481" spans="1:3">
      <c r="A481" t="s">
        <v>63</v>
      </c>
      <c r="B481">
        <v>11.46751263074</v>
      </c>
      <c r="C481" s="1">
        <v>41820</v>
      </c>
    </row>
    <row r="482" spans="1:3">
      <c r="A482" t="s">
        <v>65</v>
      </c>
      <c r="B482">
        <v>0.901421689580299</v>
      </c>
      <c r="C482" s="1">
        <v>41820</v>
      </c>
    </row>
    <row r="483" spans="1:3">
      <c r="A483" t="s">
        <v>67</v>
      </c>
      <c r="B483">
        <v>9.1317119022655007</v>
      </c>
      <c r="C483" s="1">
        <v>41820</v>
      </c>
    </row>
    <row r="484" spans="1:3">
      <c r="A484" t="s">
        <v>69</v>
      </c>
      <c r="B484">
        <v>7.0487604276982898</v>
      </c>
      <c r="C484" s="1">
        <v>41820</v>
      </c>
    </row>
    <row r="485" spans="1:3">
      <c r="A485" t="s">
        <v>71</v>
      </c>
      <c r="B485">
        <v>0.80366584420349996</v>
      </c>
      <c r="C485" s="1">
        <v>41820</v>
      </c>
    </row>
    <row r="486" spans="1:3">
      <c r="A486" t="s">
        <v>73</v>
      </c>
      <c r="B486">
        <v>2.69768534837899</v>
      </c>
      <c r="C486" s="1">
        <v>41820</v>
      </c>
    </row>
    <row r="487" spans="1:3">
      <c r="A487" t="s">
        <v>75</v>
      </c>
      <c r="B487">
        <v>0.38538362119699898</v>
      </c>
      <c r="C487" s="1">
        <v>41820</v>
      </c>
    </row>
    <row r="488" spans="1:3">
      <c r="A488" t="s">
        <v>77</v>
      </c>
      <c r="B488">
        <v>2.3245212078541</v>
      </c>
      <c r="C488" s="1">
        <v>41820</v>
      </c>
    </row>
    <row r="489" spans="1:3">
      <c r="A489" t="s">
        <v>79</v>
      </c>
      <c r="B489">
        <v>9.0706144989049999</v>
      </c>
      <c r="C489" s="1">
        <v>41820</v>
      </c>
    </row>
    <row r="490" spans="1:3">
      <c r="A490" t="s">
        <v>81</v>
      </c>
      <c r="B490">
        <v>11.9374926565899</v>
      </c>
      <c r="C490" s="1">
        <v>41820</v>
      </c>
    </row>
    <row r="491" spans="1:3">
      <c r="A491" t="s">
        <v>83</v>
      </c>
      <c r="B491">
        <v>0.36940430031810001</v>
      </c>
      <c r="C491" s="1">
        <v>41820</v>
      </c>
    </row>
    <row r="492" spans="1:3">
      <c r="A492" t="s">
        <v>85</v>
      </c>
      <c r="B492">
        <v>7.5121607331863904</v>
      </c>
      <c r="C492" s="1">
        <v>41820</v>
      </c>
    </row>
    <row r="493" spans="1:3">
      <c r="A493" t="s">
        <v>87</v>
      </c>
      <c r="B493">
        <v>28.094465985261198</v>
      </c>
      <c r="C493" s="1">
        <v>41820</v>
      </c>
    </row>
    <row r="494" spans="1:3">
      <c r="A494" t="s">
        <v>89</v>
      </c>
      <c r="B494">
        <v>15.979320878899999</v>
      </c>
      <c r="C494" s="1">
        <v>41820</v>
      </c>
    </row>
    <row r="495" spans="1:3">
      <c r="A495" t="s">
        <v>91</v>
      </c>
      <c r="B495">
        <v>18.32922100815</v>
      </c>
      <c r="C495" s="1">
        <v>41820</v>
      </c>
    </row>
    <row r="496" spans="1:3">
      <c r="A496" t="s">
        <v>93</v>
      </c>
      <c r="B496">
        <v>11.749500646249899</v>
      </c>
      <c r="C496" s="1">
        <v>41820</v>
      </c>
    </row>
    <row r="497" spans="1:3">
      <c r="A497" t="s">
        <v>95</v>
      </c>
      <c r="B497">
        <v>2.4984138174185899</v>
      </c>
      <c r="C497" s="1">
        <v>41820</v>
      </c>
    </row>
    <row r="498" spans="1:3">
      <c r="A498" t="s">
        <v>97</v>
      </c>
      <c r="B498">
        <v>21.669839031891701</v>
      </c>
      <c r="C498" s="1">
        <v>41820</v>
      </c>
    </row>
    <row r="499" spans="1:3">
      <c r="A499" t="s">
        <v>99</v>
      </c>
      <c r="B499">
        <v>8.1776524497899992</v>
      </c>
      <c r="C499" s="1">
        <v>41820</v>
      </c>
    </row>
    <row r="500" spans="1:3">
      <c r="A500" t="s">
        <v>101</v>
      </c>
      <c r="B500">
        <v>8.9540594524941994</v>
      </c>
      <c r="C500" s="1">
        <v>41820</v>
      </c>
    </row>
    <row r="501" spans="1:3">
      <c r="A501" t="s">
        <v>103</v>
      </c>
      <c r="B501">
        <v>1.485136881686</v>
      </c>
      <c r="C501" s="1">
        <v>41820</v>
      </c>
    </row>
    <row r="502" spans="1:3">
      <c r="A502" t="s">
        <v>105</v>
      </c>
      <c r="B502">
        <v>2.9467747620795</v>
      </c>
      <c r="C502" s="1">
        <v>41820</v>
      </c>
    </row>
    <row r="503" spans="1:3">
      <c r="A503" t="s">
        <v>107</v>
      </c>
      <c r="B503">
        <v>10.3395605687</v>
      </c>
      <c r="C503" s="1">
        <v>41820</v>
      </c>
    </row>
    <row r="504" spans="1:3">
      <c r="A504" t="s">
        <v>109</v>
      </c>
      <c r="B504">
        <v>2.9279755610454998</v>
      </c>
      <c r="C504" s="1">
        <v>41820</v>
      </c>
    </row>
    <row r="505" spans="1:3">
      <c r="A505" t="s">
        <v>111</v>
      </c>
      <c r="B505">
        <v>11.810598049610499</v>
      </c>
      <c r="C505" s="1">
        <v>41820</v>
      </c>
    </row>
    <row r="506" spans="1:3">
      <c r="A506" t="s">
        <v>113</v>
      </c>
      <c r="B506">
        <v>10.4805545764549</v>
      </c>
      <c r="C506" s="1">
        <v>41820</v>
      </c>
    </row>
    <row r="507" spans="1:3">
      <c r="A507" t="s">
        <v>115</v>
      </c>
      <c r="B507">
        <v>7.3457878040355</v>
      </c>
      <c r="C507" s="1">
        <v>41820</v>
      </c>
    </row>
    <row r="508" spans="1:3">
      <c r="A508" t="s">
        <v>117</v>
      </c>
      <c r="B508">
        <v>5.4733873810490996</v>
      </c>
      <c r="C508" s="1">
        <v>41820</v>
      </c>
    </row>
    <row r="509" spans="1:3">
      <c r="A509" t="s">
        <v>119</v>
      </c>
      <c r="B509">
        <v>31.864645752629901</v>
      </c>
      <c r="C509" s="1">
        <v>41820</v>
      </c>
    </row>
    <row r="510" spans="1:3">
      <c r="A510" t="s">
        <v>121</v>
      </c>
      <c r="B510">
        <v>21.619081189099902</v>
      </c>
      <c r="C510" s="1">
        <v>41820</v>
      </c>
    </row>
    <row r="511" spans="1:3">
      <c r="A511" t="s">
        <v>123</v>
      </c>
      <c r="B511">
        <v>5.8042533192474997</v>
      </c>
      <c r="C511" s="1">
        <v>41820</v>
      </c>
    </row>
    <row r="512" spans="1:3">
      <c r="A512" t="s">
        <v>125</v>
      </c>
      <c r="B512">
        <v>117.68299847284</v>
      </c>
      <c r="C512" s="1">
        <v>41820</v>
      </c>
    </row>
    <row r="513" spans="1:3">
      <c r="A513" t="s">
        <v>127</v>
      </c>
      <c r="B513">
        <v>21.054165198028301</v>
      </c>
      <c r="C513" s="1">
        <v>41820</v>
      </c>
    </row>
    <row r="514" spans="1:3">
      <c r="A514" t="s">
        <v>129</v>
      </c>
      <c r="B514">
        <v>3.8303372106774898</v>
      </c>
      <c r="C514" s="1">
        <v>41820</v>
      </c>
    </row>
    <row r="515" spans="1:3">
      <c r="A515" t="s">
        <v>131</v>
      </c>
      <c r="B515">
        <v>5.0569850781459902</v>
      </c>
      <c r="C515" s="1">
        <v>41820</v>
      </c>
    </row>
    <row r="516" spans="1:3">
      <c r="A516" t="s">
        <v>134</v>
      </c>
      <c r="B516">
        <v>2.8621783574264898</v>
      </c>
      <c r="C516" s="1">
        <v>41820</v>
      </c>
    </row>
    <row r="517" spans="1:3">
      <c r="A517" t="s">
        <v>136</v>
      </c>
      <c r="B517">
        <v>14.475384796179901</v>
      </c>
      <c r="C517" s="1">
        <v>41820</v>
      </c>
    </row>
    <row r="518" spans="1:3">
      <c r="A518" t="s">
        <v>138</v>
      </c>
      <c r="B518">
        <v>26.5613911409385</v>
      </c>
      <c r="C518" s="1">
        <v>41820</v>
      </c>
    </row>
    <row r="519" spans="1:3">
      <c r="A519" t="s">
        <v>140</v>
      </c>
      <c r="B519">
        <v>5.9687463282949897</v>
      </c>
      <c r="C519" s="1">
        <v>41820</v>
      </c>
    </row>
    <row r="520" spans="1:3">
      <c r="A520" t="s">
        <v>142</v>
      </c>
      <c r="B520">
        <v>9.1627305839715998</v>
      </c>
      <c r="C520" s="1">
        <v>41820</v>
      </c>
    </row>
    <row r="521" spans="1:3">
      <c r="A521" t="s">
        <v>144</v>
      </c>
      <c r="B521">
        <v>6.0965808953261904</v>
      </c>
      <c r="C521" s="1">
        <v>41820</v>
      </c>
    </row>
    <row r="522" spans="1:3">
      <c r="A522" t="s">
        <v>146</v>
      </c>
      <c r="B522">
        <v>3.5972271178558999</v>
      </c>
      <c r="C522" s="1">
        <v>41820</v>
      </c>
    </row>
    <row r="523" spans="1:3">
      <c r="A523" t="s">
        <v>148</v>
      </c>
      <c r="B523">
        <v>13.629420749649899</v>
      </c>
      <c r="C523" s="1">
        <v>41820</v>
      </c>
    </row>
    <row r="524" spans="1:3">
      <c r="A524" t="s">
        <v>150</v>
      </c>
      <c r="B524">
        <v>5.7572553166624996</v>
      </c>
      <c r="C524" s="1">
        <v>41820</v>
      </c>
    </row>
    <row r="525" spans="1:3">
      <c r="A525" t="s">
        <v>152</v>
      </c>
      <c r="B525">
        <v>16.717189519484499</v>
      </c>
      <c r="C525" s="1">
        <v>41820</v>
      </c>
    </row>
    <row r="526" spans="1:3">
      <c r="A526" t="s">
        <v>154</v>
      </c>
      <c r="B526">
        <v>28.8229350253287</v>
      </c>
      <c r="C526" s="1">
        <v>41820</v>
      </c>
    </row>
    <row r="527" spans="1:3">
      <c r="A527" t="s">
        <v>156</v>
      </c>
      <c r="B527">
        <v>59.439313829301199</v>
      </c>
      <c r="C527" s="1">
        <v>41820</v>
      </c>
    </row>
    <row r="528" spans="1:3">
      <c r="A528" t="s">
        <v>158</v>
      </c>
      <c r="B528">
        <v>43.338738103731899</v>
      </c>
      <c r="C528" s="1">
        <v>41820</v>
      </c>
    </row>
    <row r="529" spans="1:3">
      <c r="A529" t="s">
        <v>160</v>
      </c>
      <c r="B529">
        <v>21.541064504808801</v>
      </c>
      <c r="C529" s="1">
        <v>41820</v>
      </c>
    </row>
    <row r="530" spans="1:3">
      <c r="A530" t="s">
        <v>162</v>
      </c>
      <c r="B530">
        <v>10.046293032569499</v>
      </c>
      <c r="C530" s="1">
        <v>41820</v>
      </c>
    </row>
    <row r="531" spans="1:3">
      <c r="A531" t="s">
        <v>164</v>
      </c>
      <c r="B531">
        <v>3.60944659852799</v>
      </c>
      <c r="C531" s="1">
        <v>41820</v>
      </c>
    </row>
    <row r="532" spans="1:3">
      <c r="A532" t="s">
        <v>166</v>
      </c>
      <c r="B532">
        <v>9.5170955234624994</v>
      </c>
      <c r="C532" s="1">
        <v>41820</v>
      </c>
    </row>
    <row r="533" spans="1:3">
      <c r="A533" t="s">
        <v>168</v>
      </c>
      <c r="B533">
        <v>17.5800728469451</v>
      </c>
      <c r="C533" s="1">
        <v>41820</v>
      </c>
    </row>
    <row r="534" spans="1:3">
      <c r="A534" t="s">
        <v>4</v>
      </c>
      <c r="B534">
        <v>0.2472822283395</v>
      </c>
      <c r="C534" s="1">
        <v>41851</v>
      </c>
    </row>
    <row r="535" spans="1:3">
      <c r="A535" t="s">
        <v>8</v>
      </c>
      <c r="B535">
        <v>17.579433583727699</v>
      </c>
      <c r="C535" s="1">
        <v>41851</v>
      </c>
    </row>
    <row r="536" spans="1:3">
      <c r="A536" t="s">
        <v>11</v>
      </c>
      <c r="B536">
        <v>58.817711006397602</v>
      </c>
      <c r="C536" s="1">
        <v>41851</v>
      </c>
    </row>
    <row r="537" spans="1:3">
      <c r="A537" t="s">
        <v>14</v>
      </c>
      <c r="B537">
        <v>8.6492791489766994</v>
      </c>
      <c r="C537" s="1">
        <v>41851</v>
      </c>
    </row>
    <row r="538" spans="1:3">
      <c r="A538" t="s">
        <v>17</v>
      </c>
      <c r="B538">
        <v>9.5254980637343998</v>
      </c>
      <c r="C538" s="1">
        <v>41851</v>
      </c>
    </row>
    <row r="539" spans="1:3">
      <c r="A539" t="s">
        <v>20</v>
      </c>
      <c r="B539">
        <v>1.7169784911119901</v>
      </c>
      <c r="C539" s="1">
        <v>41851</v>
      </c>
    </row>
    <row r="540" spans="1:3">
      <c r="A540" t="s">
        <v>24</v>
      </c>
      <c r="B540">
        <v>2.3141884010639999</v>
      </c>
      <c r="C540" s="1">
        <v>41851</v>
      </c>
    </row>
    <row r="541" spans="1:3">
      <c r="A541" t="s">
        <v>27</v>
      </c>
      <c r="B541">
        <v>27.025614706296601</v>
      </c>
      <c r="C541" s="1">
        <v>41851</v>
      </c>
    </row>
    <row r="542" spans="1:3">
      <c r="A542" t="s">
        <v>29</v>
      </c>
      <c r="B542">
        <v>4.1151495357629999</v>
      </c>
      <c r="C542" s="1">
        <v>41851</v>
      </c>
    </row>
    <row r="543" spans="1:3">
      <c r="A543" t="s">
        <v>32</v>
      </c>
      <c r="B543">
        <v>11.7127793589336</v>
      </c>
      <c r="C543" s="1">
        <v>41851</v>
      </c>
    </row>
    <row r="544" spans="1:3">
      <c r="A544" t="s">
        <v>35</v>
      </c>
      <c r="B544">
        <v>4.9344468809783999</v>
      </c>
      <c r="C544" s="1">
        <v>41851</v>
      </c>
    </row>
    <row r="545" spans="1:3">
      <c r="A545" t="s">
        <v>37</v>
      </c>
      <c r="B545">
        <v>0.74651238744000004</v>
      </c>
      <c r="C545" s="1">
        <v>41851</v>
      </c>
    </row>
    <row r="546" spans="1:3">
      <c r="A546" t="s">
        <v>39</v>
      </c>
      <c r="B546">
        <v>2.1452899734057</v>
      </c>
      <c r="C546" s="1">
        <v>41851</v>
      </c>
    </row>
    <row r="547" spans="1:3">
      <c r="A547" t="s">
        <v>42</v>
      </c>
      <c r="B547">
        <v>1.5228852703775999</v>
      </c>
      <c r="C547" s="1">
        <v>41851</v>
      </c>
    </row>
    <row r="548" spans="1:3">
      <c r="A548" t="s">
        <v>44</v>
      </c>
      <c r="B548">
        <v>13.577194046564999</v>
      </c>
      <c r="C548" s="1">
        <v>41851</v>
      </c>
    </row>
    <row r="549" spans="1:3">
      <c r="A549" t="s">
        <v>47</v>
      </c>
      <c r="B549">
        <v>9.2660850090989992</v>
      </c>
      <c r="C549" s="1">
        <v>41851</v>
      </c>
    </row>
    <row r="550" spans="1:3">
      <c r="A550" t="s">
        <v>49</v>
      </c>
      <c r="B550">
        <v>11.570942005319999</v>
      </c>
      <c r="C550" s="1">
        <v>41851</v>
      </c>
    </row>
    <row r="551" spans="1:3">
      <c r="A551" t="s">
        <v>51</v>
      </c>
      <c r="B551">
        <v>1.549013203938</v>
      </c>
      <c r="C551" s="1">
        <v>41851</v>
      </c>
    </row>
    <row r="552" spans="1:3">
      <c r="A552" t="s">
        <v>53</v>
      </c>
      <c r="B552">
        <v>1.3549199832036001</v>
      </c>
      <c r="C552" s="1">
        <v>41851</v>
      </c>
    </row>
    <row r="553" spans="1:3">
      <c r="A553" t="s">
        <v>55</v>
      </c>
      <c r="B553">
        <v>9.1401110437185</v>
      </c>
      <c r="C553" s="1">
        <v>41851</v>
      </c>
    </row>
    <row r="554" spans="1:3">
      <c r="A554" t="s">
        <v>57</v>
      </c>
      <c r="B554">
        <v>4.6349087855180997</v>
      </c>
      <c r="C554" s="1">
        <v>41851</v>
      </c>
    </row>
    <row r="555" spans="1:3">
      <c r="A555" t="s">
        <v>59</v>
      </c>
      <c r="B555">
        <v>5.9814305043629998</v>
      </c>
      <c r="C555" s="1">
        <v>41851</v>
      </c>
    </row>
    <row r="556" spans="1:3">
      <c r="A556" t="s">
        <v>61</v>
      </c>
      <c r="B556">
        <v>22.727569635610799</v>
      </c>
      <c r="C556" s="1">
        <v>41851</v>
      </c>
    </row>
    <row r="557" spans="1:3">
      <c r="A557" t="s">
        <v>63</v>
      </c>
      <c r="B557">
        <v>13.437222973920001</v>
      </c>
      <c r="C557" s="1">
        <v>41851</v>
      </c>
    </row>
    <row r="558" spans="1:3">
      <c r="A558" t="s">
        <v>65</v>
      </c>
      <c r="B558">
        <v>0.89768114589659997</v>
      </c>
      <c r="C558" s="1">
        <v>41851</v>
      </c>
    </row>
    <row r="559" spans="1:3">
      <c r="A559" t="s">
        <v>67</v>
      </c>
      <c r="B559">
        <v>8.7715205524200002</v>
      </c>
      <c r="C559" s="1">
        <v>41851</v>
      </c>
    </row>
    <row r="560" spans="1:3">
      <c r="A560" t="s">
        <v>69</v>
      </c>
      <c r="B560">
        <v>7.0209490038731897</v>
      </c>
      <c r="C560" s="1">
        <v>41851</v>
      </c>
    </row>
    <row r="561" spans="1:3">
      <c r="A561" t="s">
        <v>71</v>
      </c>
      <c r="B561">
        <v>0.71855083282794996</v>
      </c>
      <c r="C561" s="1">
        <v>41851</v>
      </c>
    </row>
    <row r="562" spans="1:3">
      <c r="A562" t="s">
        <v>73</v>
      </c>
      <c r="B562">
        <v>2.8834040964869998</v>
      </c>
      <c r="C562" s="1">
        <v>41851</v>
      </c>
    </row>
    <row r="563" spans="1:3">
      <c r="A563" t="s">
        <v>75</v>
      </c>
      <c r="B563">
        <v>0.391919003406</v>
      </c>
      <c r="C563" s="1">
        <v>41851</v>
      </c>
    </row>
    <row r="564" spans="1:3">
      <c r="A564" t="s">
        <v>77</v>
      </c>
      <c r="B564">
        <v>2.3160546820326</v>
      </c>
      <c r="C564" s="1">
        <v>41851</v>
      </c>
    </row>
    <row r="565" spans="1:3">
      <c r="A565" t="s">
        <v>79</v>
      </c>
      <c r="B565">
        <v>9.2474221994130001</v>
      </c>
      <c r="C565" s="1">
        <v>41851</v>
      </c>
    </row>
    <row r="566" spans="1:3">
      <c r="A566" t="s">
        <v>81</v>
      </c>
      <c r="B566">
        <v>11.952596463398701</v>
      </c>
      <c r="C566" s="1">
        <v>41851</v>
      </c>
    </row>
    <row r="567" spans="1:3">
      <c r="A567" t="s">
        <v>83</v>
      </c>
      <c r="B567">
        <v>0.37325619372000002</v>
      </c>
      <c r="C567" s="1">
        <v>41851</v>
      </c>
    </row>
    <row r="568" spans="1:3">
      <c r="A568" t="s">
        <v>85</v>
      </c>
      <c r="B568">
        <v>7.7404003172684996</v>
      </c>
      <c r="C568" s="1">
        <v>41851</v>
      </c>
    </row>
    <row r="569" spans="1:3">
      <c r="A569" t="s">
        <v>87</v>
      </c>
      <c r="B569">
        <v>27.112396771336499</v>
      </c>
      <c r="C569" s="1">
        <v>41851</v>
      </c>
    </row>
    <row r="570" spans="1:3">
      <c r="A570" t="s">
        <v>89</v>
      </c>
      <c r="B570">
        <v>15.8587225306785</v>
      </c>
      <c r="C570" s="1">
        <v>41851</v>
      </c>
    </row>
    <row r="571" spans="1:3">
      <c r="A571" t="s">
        <v>91</v>
      </c>
      <c r="B571">
        <v>18.6516120001884</v>
      </c>
      <c r="C571" s="1">
        <v>41851</v>
      </c>
    </row>
    <row r="572" spans="1:3">
      <c r="A572" t="s">
        <v>93</v>
      </c>
      <c r="B572">
        <v>12.784024634910001</v>
      </c>
      <c r="C572" s="1">
        <v>41851</v>
      </c>
    </row>
    <row r="573" spans="1:3">
      <c r="A573" t="s">
        <v>95</v>
      </c>
      <c r="B573">
        <v>2.4392292259602</v>
      </c>
      <c r="C573" s="1">
        <v>41851</v>
      </c>
    </row>
    <row r="574" spans="1:3">
      <c r="A574" t="s">
        <v>97</v>
      </c>
      <c r="B574">
        <v>21.64885923576</v>
      </c>
      <c r="C574" s="1">
        <v>41851</v>
      </c>
    </row>
    <row r="575" spans="1:3">
      <c r="A575" t="s">
        <v>99</v>
      </c>
      <c r="B575">
        <v>7.7469323006586004</v>
      </c>
      <c r="C575" s="1">
        <v>41851</v>
      </c>
    </row>
    <row r="576" spans="1:3">
      <c r="A576" t="s">
        <v>101</v>
      </c>
      <c r="B576">
        <v>8.4542527877579996</v>
      </c>
      <c r="C576" s="1">
        <v>41851</v>
      </c>
    </row>
    <row r="577" spans="1:3">
      <c r="A577" t="s">
        <v>103</v>
      </c>
      <c r="B577">
        <v>1.53479120981678</v>
      </c>
      <c r="C577" s="1">
        <v>41851</v>
      </c>
    </row>
    <row r="578" spans="1:3">
      <c r="A578" t="s">
        <v>105</v>
      </c>
      <c r="B578">
        <v>3.0009797975088</v>
      </c>
      <c r="C578" s="1">
        <v>41851</v>
      </c>
    </row>
    <row r="579" spans="1:3">
      <c r="A579" t="s">
        <v>107</v>
      </c>
      <c r="B579">
        <v>10.003265991696001</v>
      </c>
      <c r="C579" s="1">
        <v>41851</v>
      </c>
    </row>
    <row r="580" spans="1:3">
      <c r="A580" t="s">
        <v>109</v>
      </c>
      <c r="B580">
        <v>3.0905612840016001</v>
      </c>
      <c r="C580" s="1">
        <v>41851</v>
      </c>
    </row>
    <row r="581" spans="1:3">
      <c r="A581" t="s">
        <v>111</v>
      </c>
      <c r="B581">
        <v>11.440302337518</v>
      </c>
      <c r="C581" s="1">
        <v>41851</v>
      </c>
    </row>
    <row r="582" spans="1:3">
      <c r="A582" t="s">
        <v>113</v>
      </c>
      <c r="B582">
        <v>10.9616012690721</v>
      </c>
      <c r="C582" s="1">
        <v>41851</v>
      </c>
    </row>
    <row r="583" spans="1:3">
      <c r="A583" t="s">
        <v>115</v>
      </c>
      <c r="B583">
        <v>7.7366677553313004</v>
      </c>
      <c r="C583" s="1">
        <v>41851</v>
      </c>
    </row>
    <row r="584" spans="1:3">
      <c r="A584" t="s">
        <v>117</v>
      </c>
      <c r="B584">
        <v>5.4654038165451002</v>
      </c>
      <c r="C584" s="1">
        <v>41851</v>
      </c>
    </row>
    <row r="585" spans="1:3">
      <c r="A585" t="s">
        <v>119</v>
      </c>
      <c r="B585">
        <v>34.996500723187197</v>
      </c>
      <c r="C585" s="1">
        <v>41851</v>
      </c>
    </row>
    <row r="586" spans="1:3">
      <c r="A586" t="s">
        <v>121</v>
      </c>
      <c r="B586">
        <v>21.638594690432701</v>
      </c>
      <c r="C586" s="1">
        <v>41851</v>
      </c>
    </row>
    <row r="587" spans="1:3">
      <c r="A587" t="s">
        <v>123</v>
      </c>
      <c r="B587">
        <v>5.7014883590730001</v>
      </c>
      <c r="C587" s="1">
        <v>41851</v>
      </c>
    </row>
    <row r="588" spans="1:3">
      <c r="A588" t="s">
        <v>125</v>
      </c>
      <c r="B588">
        <v>124.171137964832</v>
      </c>
      <c r="C588" s="1">
        <v>41851</v>
      </c>
    </row>
    <row r="589" spans="1:3">
      <c r="A589" t="s">
        <v>127</v>
      </c>
      <c r="B589">
        <v>20.753044370832001</v>
      </c>
      <c r="C589" s="1">
        <v>41851</v>
      </c>
    </row>
    <row r="590" spans="1:3">
      <c r="A590" t="s">
        <v>129</v>
      </c>
      <c r="B590">
        <v>4.0358325945975002</v>
      </c>
      <c r="C590" s="1">
        <v>41851</v>
      </c>
    </row>
    <row r="591" spans="1:3">
      <c r="A591" t="s">
        <v>131</v>
      </c>
      <c r="B591">
        <v>5.2255867120800001</v>
      </c>
      <c r="C591" s="1">
        <v>41851</v>
      </c>
    </row>
    <row r="592" spans="1:3">
      <c r="A592" t="s">
        <v>134</v>
      </c>
      <c r="B592">
        <v>2.8040871553215001</v>
      </c>
      <c r="C592" s="1">
        <v>41851</v>
      </c>
    </row>
    <row r="593" spans="1:3">
      <c r="A593" t="s">
        <v>136</v>
      </c>
      <c r="B593">
        <v>15.1159427051757</v>
      </c>
      <c r="C593" s="1">
        <v>41851</v>
      </c>
    </row>
    <row r="594" spans="1:3">
      <c r="A594" t="s">
        <v>138</v>
      </c>
      <c r="B594">
        <v>26.9612280128799</v>
      </c>
      <c r="C594" s="1">
        <v>41851</v>
      </c>
    </row>
    <row r="595" spans="1:3">
      <c r="A595" t="s">
        <v>140</v>
      </c>
      <c r="B595">
        <v>6.1288667008823996</v>
      </c>
      <c r="C595" s="1">
        <v>41851</v>
      </c>
    </row>
    <row r="596" spans="1:3">
      <c r="A596" t="s">
        <v>142</v>
      </c>
      <c r="B596">
        <v>8.6371483226807992</v>
      </c>
      <c r="C596" s="1">
        <v>41851</v>
      </c>
    </row>
    <row r="597" spans="1:3">
      <c r="A597" t="s">
        <v>144</v>
      </c>
      <c r="B597">
        <v>5.9991601735647002</v>
      </c>
      <c r="C597" s="1">
        <v>41851</v>
      </c>
    </row>
    <row r="598" spans="1:3">
      <c r="A598" t="s">
        <v>146</v>
      </c>
      <c r="B598">
        <v>3.7969486306167002</v>
      </c>
      <c r="C598" s="1">
        <v>41851</v>
      </c>
    </row>
    <row r="599" spans="1:3">
      <c r="A599" t="s">
        <v>148</v>
      </c>
      <c r="B599">
        <v>13.5062753697582</v>
      </c>
      <c r="C599" s="1">
        <v>41851</v>
      </c>
    </row>
    <row r="600" spans="1:3">
      <c r="A600" t="s">
        <v>150</v>
      </c>
      <c r="B600">
        <v>5.6641627397010001</v>
      </c>
      <c r="C600" s="1">
        <v>41851</v>
      </c>
    </row>
    <row r="601" spans="1:3">
      <c r="A601" t="s">
        <v>152</v>
      </c>
      <c r="B601">
        <v>17.0811365651115</v>
      </c>
      <c r="C601" s="1">
        <v>41851</v>
      </c>
    </row>
    <row r="602" spans="1:3">
      <c r="A602" t="s">
        <v>154</v>
      </c>
      <c r="B602">
        <v>28.810712452762498</v>
      </c>
      <c r="C602" s="1">
        <v>41851</v>
      </c>
    </row>
    <row r="603" spans="1:3">
      <c r="A603" t="s">
        <v>156</v>
      </c>
      <c r="B603">
        <v>57.820183828680896</v>
      </c>
      <c r="C603" s="1">
        <v>41851</v>
      </c>
    </row>
    <row r="604" spans="1:3">
      <c r="A604" t="s">
        <v>158</v>
      </c>
      <c r="B604">
        <v>43.980777306027598</v>
      </c>
      <c r="C604" s="1">
        <v>41851</v>
      </c>
    </row>
    <row r="605" spans="1:3">
      <c r="A605" t="s">
        <v>160</v>
      </c>
      <c r="B605">
        <v>21.835487332620001</v>
      </c>
      <c r="C605" s="1">
        <v>41851</v>
      </c>
    </row>
    <row r="606" spans="1:3">
      <c r="A606" t="s">
        <v>162</v>
      </c>
      <c r="B606">
        <v>9.9220827695619001</v>
      </c>
      <c r="C606" s="1">
        <v>41851</v>
      </c>
    </row>
    <row r="607" spans="1:3">
      <c r="A607" t="s">
        <v>164</v>
      </c>
      <c r="B607">
        <v>3.9378528437460001</v>
      </c>
      <c r="C607" s="1">
        <v>41851</v>
      </c>
    </row>
    <row r="608" spans="1:3">
      <c r="A608" t="s">
        <v>166</v>
      </c>
      <c r="B608">
        <v>9.5180329398599994</v>
      </c>
      <c r="C608" s="1">
        <v>41851</v>
      </c>
    </row>
    <row r="609" spans="1:3">
      <c r="A609" t="s">
        <v>168</v>
      </c>
      <c r="B609">
        <v>18.6124200998478</v>
      </c>
      <c r="C609" s="1">
        <v>41851</v>
      </c>
    </row>
    <row r="610" spans="1:3">
      <c r="A610" t="s">
        <v>4</v>
      </c>
      <c r="B610">
        <v>0.23600428756826899</v>
      </c>
      <c r="C610" s="1">
        <v>41882</v>
      </c>
    </row>
    <row r="611" spans="1:3">
      <c r="A611" t="s">
        <v>8</v>
      </c>
      <c r="B611">
        <v>17.064708426599701</v>
      </c>
      <c r="C611" s="1">
        <v>41882</v>
      </c>
    </row>
    <row r="612" spans="1:3">
      <c r="A612" t="s">
        <v>11</v>
      </c>
      <c r="B612">
        <v>58.861913985453498</v>
      </c>
      <c r="C612" s="1">
        <v>41882</v>
      </c>
    </row>
    <row r="613" spans="1:3">
      <c r="A613" t="s">
        <v>14</v>
      </c>
      <c r="B613">
        <v>9.0415029054043199</v>
      </c>
      <c r="C613" s="1">
        <v>41882</v>
      </c>
    </row>
    <row r="614" spans="1:3">
      <c r="A614" t="s">
        <v>17</v>
      </c>
      <c r="B614">
        <v>9.5426594204397297</v>
      </c>
      <c r="C614" s="1">
        <v>41882</v>
      </c>
    </row>
    <row r="615" spans="1:3">
      <c r="A615" t="s">
        <v>20</v>
      </c>
      <c r="B615">
        <v>1.73853357654872</v>
      </c>
      <c r="C615" s="1">
        <v>41882</v>
      </c>
    </row>
    <row r="616" spans="1:3">
      <c r="A616" t="s">
        <v>24</v>
      </c>
      <c r="B616">
        <v>2.4343231096185298</v>
      </c>
      <c r="C616" s="1">
        <v>41882</v>
      </c>
    </row>
    <row r="617" spans="1:3">
      <c r="A617" t="s">
        <v>27</v>
      </c>
      <c r="B617">
        <v>25.284427478081</v>
      </c>
      <c r="C617" s="1">
        <v>41882</v>
      </c>
    </row>
    <row r="618" spans="1:3">
      <c r="A618" t="s">
        <v>29</v>
      </c>
      <c r="B618">
        <v>4.2104669311980603</v>
      </c>
      <c r="C618" s="1">
        <v>41882</v>
      </c>
    </row>
    <row r="619" spans="1:3">
      <c r="A619" t="s">
        <v>32</v>
      </c>
      <c r="B619">
        <v>12.068187374257899</v>
      </c>
      <c r="C619" s="1">
        <v>41882</v>
      </c>
    </row>
    <row r="620" spans="1:3">
      <c r="A620" t="s">
        <v>35</v>
      </c>
      <c r="B620">
        <v>4.8517216089732003</v>
      </c>
      <c r="C620" s="1">
        <v>41882</v>
      </c>
    </row>
    <row r="621" spans="1:3">
      <c r="A621" t="s">
        <v>37</v>
      </c>
      <c r="B621">
        <v>0.83682795193530002</v>
      </c>
      <c r="C621" s="1">
        <v>41882</v>
      </c>
    </row>
    <row r="622" spans="1:3">
      <c r="A622" t="s">
        <v>39</v>
      </c>
      <c r="B622">
        <v>2.2754198243634001</v>
      </c>
      <c r="C622" s="1">
        <v>41882</v>
      </c>
    </row>
    <row r="623" spans="1:3">
      <c r="A623" t="s">
        <v>42</v>
      </c>
      <c r="B623">
        <v>1.5486018391431899</v>
      </c>
      <c r="C623" s="1">
        <v>41882</v>
      </c>
    </row>
    <row r="624" spans="1:3">
      <c r="A624" t="s">
        <v>44</v>
      </c>
      <c r="B624">
        <v>14.186584425617699</v>
      </c>
      <c r="C624" s="1">
        <v>41882</v>
      </c>
    </row>
    <row r="625" spans="1:3">
      <c r="A625" t="s">
        <v>47</v>
      </c>
      <c r="B625">
        <v>9.52761532242741</v>
      </c>
      <c r="C625" s="1">
        <v>41882</v>
      </c>
    </row>
    <row r="626" spans="1:3">
      <c r="A626" t="s">
        <v>49</v>
      </c>
      <c r="B626">
        <v>12.258119111663399</v>
      </c>
      <c r="C626" s="1">
        <v>41882</v>
      </c>
    </row>
    <row r="627" spans="1:3">
      <c r="A627" t="s">
        <v>51</v>
      </c>
      <c r="B627">
        <v>1.5711679861616701</v>
      </c>
      <c r="C627" s="1">
        <v>41882</v>
      </c>
    </row>
    <row r="628" spans="1:3">
      <c r="A628" t="s">
        <v>53</v>
      </c>
      <c r="B628">
        <v>1.4197867499126999</v>
      </c>
      <c r="C628" s="1">
        <v>41882</v>
      </c>
    </row>
    <row r="629" spans="1:3">
      <c r="A629" t="s">
        <v>55</v>
      </c>
      <c r="B629">
        <v>9.4025612577000004</v>
      </c>
      <c r="C629" s="1">
        <v>41882</v>
      </c>
    </row>
    <row r="630" spans="1:3">
      <c r="A630" t="s">
        <v>57</v>
      </c>
      <c r="B630">
        <v>5.3735637587755498</v>
      </c>
      <c r="C630" s="1">
        <v>41882</v>
      </c>
    </row>
    <row r="631" spans="1:3">
      <c r="A631" t="s">
        <v>59</v>
      </c>
      <c r="B631">
        <v>6.6100005641630997</v>
      </c>
      <c r="C631" s="1">
        <v>41882</v>
      </c>
    </row>
    <row r="632" spans="1:3">
      <c r="A632" t="s">
        <v>61</v>
      </c>
      <c r="B632">
        <v>19.938131146952799</v>
      </c>
      <c r="C632" s="1">
        <v>41882</v>
      </c>
    </row>
    <row r="633" spans="1:3">
      <c r="A633" t="s">
        <v>63</v>
      </c>
      <c r="B633">
        <v>13.445662598510999</v>
      </c>
      <c r="C633" s="1">
        <v>41882</v>
      </c>
    </row>
    <row r="634" spans="1:3">
      <c r="A634" t="s">
        <v>65</v>
      </c>
      <c r="B634">
        <v>0.89888485623612002</v>
      </c>
      <c r="C634" s="1">
        <v>41882</v>
      </c>
    </row>
    <row r="635" spans="1:3">
      <c r="A635" t="s">
        <v>67</v>
      </c>
      <c r="B635">
        <v>9.2286138744325505</v>
      </c>
      <c r="C635" s="1">
        <v>41882</v>
      </c>
    </row>
    <row r="636" spans="1:3">
      <c r="A636" t="s">
        <v>69</v>
      </c>
      <c r="B636">
        <v>6.9955055757288003</v>
      </c>
      <c r="C636" s="1">
        <v>41882</v>
      </c>
    </row>
    <row r="637" spans="1:3">
      <c r="A637" t="s">
        <v>71</v>
      </c>
      <c r="B637">
        <v>0.75314515674176996</v>
      </c>
      <c r="C637" s="1">
        <v>41882</v>
      </c>
    </row>
    <row r="638" spans="1:3">
      <c r="A638" t="s">
        <v>73</v>
      </c>
      <c r="B638">
        <v>3.0370272862370902</v>
      </c>
      <c r="C638" s="1">
        <v>41882</v>
      </c>
    </row>
    <row r="639" spans="1:3">
      <c r="A639" t="s">
        <v>75</v>
      </c>
      <c r="B639">
        <v>0.39866859732648002</v>
      </c>
      <c r="C639" s="1">
        <v>41882</v>
      </c>
    </row>
    <row r="640" spans="1:3">
      <c r="A640" t="s">
        <v>77</v>
      </c>
      <c r="B640">
        <v>2.3694454369403899</v>
      </c>
      <c r="C640" s="1">
        <v>41882</v>
      </c>
    </row>
    <row r="641" spans="1:3">
      <c r="A641" t="s">
        <v>79</v>
      </c>
      <c r="B641">
        <v>9.2944318032364492</v>
      </c>
      <c r="C641" s="1">
        <v>41882</v>
      </c>
    </row>
    <row r="642" spans="1:3">
      <c r="A642" t="s">
        <v>81</v>
      </c>
      <c r="B642">
        <v>13.011264268405199</v>
      </c>
      <c r="C642" s="1">
        <v>41882</v>
      </c>
    </row>
    <row r="643" spans="1:3">
      <c r="A643" t="s">
        <v>83</v>
      </c>
      <c r="B643">
        <v>0.39960885345225</v>
      </c>
      <c r="C643" s="1">
        <v>41882</v>
      </c>
    </row>
    <row r="644" spans="1:3">
      <c r="A644" t="s">
        <v>85</v>
      </c>
      <c r="B644">
        <v>8.1191116460239492</v>
      </c>
      <c r="C644" s="1">
        <v>41882</v>
      </c>
    </row>
    <row r="645" spans="1:3">
      <c r="A645" t="s">
        <v>87</v>
      </c>
      <c r="B645">
        <v>28.738928484159999</v>
      </c>
      <c r="C645" s="1">
        <v>41882</v>
      </c>
    </row>
    <row r="646" spans="1:3">
      <c r="A646" t="s">
        <v>89</v>
      </c>
      <c r="B646">
        <v>15.8019444496906</v>
      </c>
      <c r="C646" s="1">
        <v>41882</v>
      </c>
    </row>
    <row r="647" spans="1:3">
      <c r="A647" t="s">
        <v>91</v>
      </c>
      <c r="B647">
        <v>20.685634766939899</v>
      </c>
      <c r="C647" s="1">
        <v>41882</v>
      </c>
    </row>
    <row r="648" spans="1:3">
      <c r="A648" t="s">
        <v>93</v>
      </c>
      <c r="B648">
        <v>12.429245726553599</v>
      </c>
      <c r="C648" s="1">
        <v>41882</v>
      </c>
    </row>
    <row r="649" spans="1:3">
      <c r="A649" t="s">
        <v>95</v>
      </c>
      <c r="B649">
        <v>2.3280741674065202</v>
      </c>
      <c r="C649" s="1">
        <v>41882</v>
      </c>
    </row>
    <row r="650" spans="1:3">
      <c r="A650" t="s">
        <v>97</v>
      </c>
      <c r="B650">
        <v>21.2732948455462</v>
      </c>
      <c r="C650" s="1">
        <v>41882</v>
      </c>
    </row>
    <row r="651" spans="1:3">
      <c r="A651" t="s">
        <v>99</v>
      </c>
      <c r="B651">
        <v>7.36502623315641</v>
      </c>
      <c r="C651" s="1">
        <v>41882</v>
      </c>
    </row>
    <row r="652" spans="1:3">
      <c r="A652" t="s">
        <v>101</v>
      </c>
      <c r="B652">
        <v>8.7913947759495006</v>
      </c>
      <c r="C652" s="1">
        <v>41882</v>
      </c>
    </row>
    <row r="653" spans="1:3">
      <c r="A653" t="s">
        <v>103</v>
      </c>
      <c r="B653">
        <v>1.4950072399743</v>
      </c>
      <c r="C653" s="1">
        <v>41882</v>
      </c>
    </row>
    <row r="654" spans="1:3">
      <c r="A654" t="s">
        <v>105</v>
      </c>
      <c r="B654">
        <v>3.1131880324244698</v>
      </c>
      <c r="C654" s="1">
        <v>41882</v>
      </c>
    </row>
    <row r="655" spans="1:3">
      <c r="A655" t="s">
        <v>107</v>
      </c>
      <c r="B655">
        <v>11.000996671509</v>
      </c>
      <c r="C655" s="1">
        <v>41882</v>
      </c>
    </row>
    <row r="656" spans="1:3">
      <c r="A656" t="s">
        <v>109</v>
      </c>
      <c r="B656">
        <v>3.0304454933567002</v>
      </c>
      <c r="C656" s="1">
        <v>41882</v>
      </c>
    </row>
    <row r="657" spans="1:3">
      <c r="A657" t="s">
        <v>111</v>
      </c>
      <c r="B657">
        <v>11.565150346971</v>
      </c>
      <c r="C657" s="1">
        <v>41882</v>
      </c>
    </row>
    <row r="658" spans="1:3">
      <c r="A658" t="s">
        <v>113</v>
      </c>
      <c r="B658">
        <v>10.824228519864199</v>
      </c>
      <c r="C658" s="1">
        <v>41882</v>
      </c>
    </row>
    <row r="659" spans="1:3">
      <c r="A659" t="s">
        <v>115</v>
      </c>
      <c r="B659">
        <v>7.4712751753684197</v>
      </c>
      <c r="C659" s="1">
        <v>41882</v>
      </c>
    </row>
    <row r="660" spans="1:3">
      <c r="A660" t="s">
        <v>117</v>
      </c>
      <c r="B660">
        <v>5.3124471106005</v>
      </c>
      <c r="C660" s="1">
        <v>41882</v>
      </c>
    </row>
    <row r="661" spans="1:3">
      <c r="A661" t="s">
        <v>119</v>
      </c>
      <c r="B661">
        <v>29.9471576057745</v>
      </c>
      <c r="C661" s="1">
        <v>41882</v>
      </c>
    </row>
    <row r="662" spans="1:3">
      <c r="A662" t="s">
        <v>121</v>
      </c>
      <c r="B662">
        <v>22.895236662499499</v>
      </c>
      <c r="C662" s="1">
        <v>41882</v>
      </c>
    </row>
    <row r="663" spans="1:3">
      <c r="A663" t="s">
        <v>123</v>
      </c>
      <c r="B663">
        <v>6.2056904300819999</v>
      </c>
      <c r="C663" s="1">
        <v>41882</v>
      </c>
    </row>
    <row r="664" spans="1:3">
      <c r="A664" t="s">
        <v>125</v>
      </c>
      <c r="B664">
        <v>127.453598360375</v>
      </c>
      <c r="C664" s="1">
        <v>41882</v>
      </c>
    </row>
    <row r="665" spans="1:3">
      <c r="A665" t="s">
        <v>127</v>
      </c>
      <c r="B665">
        <v>22.663933655560001</v>
      </c>
      <c r="C665" s="1">
        <v>41882</v>
      </c>
    </row>
    <row r="666" spans="1:3">
      <c r="A666" t="s">
        <v>129</v>
      </c>
      <c r="B666">
        <v>4.0666077439552497</v>
      </c>
      <c r="C666" s="1">
        <v>41882</v>
      </c>
    </row>
    <row r="667" spans="1:3">
      <c r="A667" t="s">
        <v>131</v>
      </c>
      <c r="B667">
        <v>5.0538766760137497</v>
      </c>
      <c r="C667" s="1">
        <v>41882</v>
      </c>
    </row>
    <row r="668" spans="1:3">
      <c r="A668" t="s">
        <v>134</v>
      </c>
      <c r="B668">
        <v>2.9383003930312501</v>
      </c>
      <c r="C668" s="1">
        <v>41882</v>
      </c>
    </row>
    <row r="669" spans="1:3">
      <c r="A669" t="s">
        <v>136</v>
      </c>
      <c r="B669">
        <v>13.864076574478601</v>
      </c>
      <c r="C669" s="1">
        <v>41882</v>
      </c>
    </row>
    <row r="670" spans="1:3">
      <c r="A670" t="s">
        <v>138</v>
      </c>
      <c r="B670">
        <v>26.4512853301616</v>
      </c>
      <c r="C670" s="1">
        <v>41882</v>
      </c>
    </row>
    <row r="671" spans="1:3">
      <c r="A671" t="s">
        <v>140</v>
      </c>
      <c r="B671">
        <v>6.5018711096995503</v>
      </c>
      <c r="C671" s="1">
        <v>41882</v>
      </c>
    </row>
    <row r="672" spans="1:3">
      <c r="A672" t="s">
        <v>142</v>
      </c>
      <c r="B672">
        <v>9.0452639299073994</v>
      </c>
      <c r="C672" s="1">
        <v>41882</v>
      </c>
    </row>
    <row r="673" spans="1:3">
      <c r="A673" t="s">
        <v>144</v>
      </c>
      <c r="B673">
        <v>6.2056904300819999</v>
      </c>
      <c r="C673" s="1">
        <v>41882</v>
      </c>
    </row>
    <row r="674" spans="1:3">
      <c r="A674" t="s">
        <v>146</v>
      </c>
      <c r="B674">
        <v>4.137126953388</v>
      </c>
      <c r="C674" s="1">
        <v>41882</v>
      </c>
    </row>
    <row r="675" spans="1:3">
      <c r="A675" t="s">
        <v>148</v>
      </c>
      <c r="B675">
        <v>12.975534535626</v>
      </c>
      <c r="C675" s="1">
        <v>41882</v>
      </c>
    </row>
    <row r="676" spans="1:3">
      <c r="A676" t="s">
        <v>150</v>
      </c>
      <c r="B676">
        <v>5.7327415988196897</v>
      </c>
      <c r="C676" s="1">
        <v>41882</v>
      </c>
    </row>
    <row r="677" spans="1:3">
      <c r="A677" t="s">
        <v>152</v>
      </c>
      <c r="B677">
        <v>17.0233371570658</v>
      </c>
      <c r="C677" s="1">
        <v>41882</v>
      </c>
    </row>
    <row r="678" spans="1:3">
      <c r="A678" t="s">
        <v>154</v>
      </c>
      <c r="B678">
        <v>28.865863061138999</v>
      </c>
      <c r="C678" s="1">
        <v>41882</v>
      </c>
    </row>
    <row r="679" spans="1:3">
      <c r="A679" t="s">
        <v>156</v>
      </c>
      <c r="B679">
        <v>58.134155744107503</v>
      </c>
      <c r="C679" s="1">
        <v>41882</v>
      </c>
    </row>
    <row r="680" spans="1:3">
      <c r="A680" t="s">
        <v>158</v>
      </c>
      <c r="B680">
        <v>41.662748932868702</v>
      </c>
      <c r="C680" s="1">
        <v>41882</v>
      </c>
    </row>
    <row r="681" spans="1:3">
      <c r="A681" t="s">
        <v>160</v>
      </c>
      <c r="B681">
        <v>21.503657596359801</v>
      </c>
      <c r="C681" s="1">
        <v>41882</v>
      </c>
    </row>
    <row r="682" spans="1:3">
      <c r="A682" t="s">
        <v>162</v>
      </c>
      <c r="B682">
        <v>9.04996521053625</v>
      </c>
      <c r="C682" s="1">
        <v>41882</v>
      </c>
    </row>
    <row r="683" spans="1:3">
      <c r="A683" t="s">
        <v>164</v>
      </c>
      <c r="B683">
        <v>4.7398311300065696</v>
      </c>
      <c r="C683" s="1">
        <v>41882</v>
      </c>
    </row>
    <row r="684" spans="1:3">
      <c r="A684" t="s">
        <v>166</v>
      </c>
      <c r="B684">
        <v>9.5304360908047201</v>
      </c>
      <c r="C684" s="1">
        <v>41882</v>
      </c>
    </row>
    <row r="685" spans="1:3">
      <c r="A685" t="s">
        <v>168</v>
      </c>
      <c r="B685">
        <v>17.079752524612001</v>
      </c>
      <c r="C685" s="1">
        <v>41882</v>
      </c>
    </row>
    <row r="686" spans="1:3">
      <c r="A686" t="s">
        <v>4</v>
      </c>
      <c r="B686">
        <v>0.19029495718365</v>
      </c>
      <c r="C686" s="1">
        <v>41912</v>
      </c>
    </row>
    <row r="687" spans="1:3">
      <c r="A687" t="s">
        <v>8</v>
      </c>
      <c r="B687">
        <v>16.395459473813599</v>
      </c>
      <c r="C687" s="1">
        <v>41912</v>
      </c>
    </row>
    <row r="688" spans="1:3">
      <c r="A688" t="s">
        <v>11</v>
      </c>
      <c r="B688">
        <v>56.410506051826701</v>
      </c>
      <c r="C688" s="1">
        <v>41912</v>
      </c>
    </row>
    <row r="689" spans="1:3">
      <c r="A689" t="s">
        <v>14</v>
      </c>
      <c r="B689">
        <v>8.4136923859896608</v>
      </c>
      <c r="C689" s="1">
        <v>41912</v>
      </c>
    </row>
    <row r="690" spans="1:3">
      <c r="A690" t="s">
        <v>17</v>
      </c>
      <c r="B690">
        <v>8.1605558382942007</v>
      </c>
      <c r="C690" s="1">
        <v>41912</v>
      </c>
    </row>
    <row r="691" spans="1:3">
      <c r="A691" t="s">
        <v>20</v>
      </c>
      <c r="B691">
        <v>1.77018564822</v>
      </c>
      <c r="C691" s="1">
        <v>41912</v>
      </c>
    </row>
    <row r="692" spans="1:3">
      <c r="A692" t="s">
        <v>24</v>
      </c>
      <c r="B692">
        <v>2.1684774190695002</v>
      </c>
      <c r="C692" s="1">
        <v>41912</v>
      </c>
    </row>
    <row r="693" spans="1:3">
      <c r="A693" t="s">
        <v>27</v>
      </c>
      <c r="B693">
        <v>22.3415130661846</v>
      </c>
      <c r="C693" s="1">
        <v>41912</v>
      </c>
    </row>
    <row r="694" spans="1:3">
      <c r="A694" t="s">
        <v>29</v>
      </c>
      <c r="B694">
        <v>3.9422034385859401</v>
      </c>
      <c r="C694" s="1">
        <v>41912</v>
      </c>
    </row>
    <row r="695" spans="1:3">
      <c r="A695" t="s">
        <v>32</v>
      </c>
      <c r="B695">
        <v>11.50620671343</v>
      </c>
      <c r="C695" s="1">
        <v>41912</v>
      </c>
    </row>
    <row r="696" spans="1:3">
      <c r="A696" t="s">
        <v>35</v>
      </c>
      <c r="B696">
        <v>4.2679175978584203</v>
      </c>
      <c r="C696" s="1">
        <v>41912</v>
      </c>
    </row>
    <row r="697" spans="1:3">
      <c r="A697" t="s">
        <v>37</v>
      </c>
      <c r="B697">
        <v>0.80720465558832</v>
      </c>
      <c r="C697" s="1">
        <v>41912</v>
      </c>
    </row>
    <row r="698" spans="1:3">
      <c r="A698" t="s">
        <v>39</v>
      </c>
      <c r="B698">
        <v>1.9622507910518701</v>
      </c>
      <c r="C698" s="1">
        <v>41912</v>
      </c>
    </row>
    <row r="699" spans="1:3">
      <c r="A699" t="s">
        <v>42</v>
      </c>
      <c r="B699">
        <v>1.5400615139514</v>
      </c>
      <c r="C699" s="1">
        <v>41912</v>
      </c>
    </row>
    <row r="700" spans="1:3">
      <c r="A700" t="s">
        <v>44</v>
      </c>
      <c r="B700">
        <v>11.357511118979501</v>
      </c>
      <c r="C700" s="1">
        <v>41912</v>
      </c>
    </row>
    <row r="701" spans="1:3">
      <c r="A701" t="s">
        <v>47</v>
      </c>
      <c r="B701">
        <v>8.7172792246593893</v>
      </c>
      <c r="C701" s="1">
        <v>41912</v>
      </c>
    </row>
    <row r="702" spans="1:3">
      <c r="A702" t="s">
        <v>49</v>
      </c>
      <c r="B702">
        <v>11.1149956851733</v>
      </c>
      <c r="C702" s="1">
        <v>41912</v>
      </c>
    </row>
    <row r="703" spans="1:3">
      <c r="A703" t="s">
        <v>51</v>
      </c>
      <c r="B703">
        <v>1.4727944593190401</v>
      </c>
      <c r="C703" s="1">
        <v>41912</v>
      </c>
    </row>
    <row r="704" spans="1:3">
      <c r="A704" t="s">
        <v>53</v>
      </c>
      <c r="B704">
        <v>1.3895957338527001</v>
      </c>
      <c r="C704" s="1">
        <v>41912</v>
      </c>
    </row>
    <row r="705" spans="1:3">
      <c r="A705" t="s">
        <v>55</v>
      </c>
      <c r="B705">
        <v>8.5544221450231497</v>
      </c>
      <c r="C705" s="1">
        <v>41912</v>
      </c>
    </row>
    <row r="706" spans="1:3">
      <c r="A706" t="s">
        <v>57</v>
      </c>
      <c r="B706">
        <v>4.8352620981129304</v>
      </c>
      <c r="C706" s="1">
        <v>41912</v>
      </c>
    </row>
    <row r="707" spans="1:3">
      <c r="A707" t="s">
        <v>59</v>
      </c>
      <c r="B707">
        <v>6.45586705905834</v>
      </c>
      <c r="C707" s="1">
        <v>41912</v>
      </c>
    </row>
    <row r="708" spans="1:3">
      <c r="A708" t="s">
        <v>61</v>
      </c>
      <c r="B708">
        <v>21.649370477730599</v>
      </c>
      <c r="C708" s="1">
        <v>41912</v>
      </c>
    </row>
    <row r="709" spans="1:3">
      <c r="A709" t="s">
        <v>63</v>
      </c>
      <c r="B709">
        <v>13.4755382470747</v>
      </c>
      <c r="C709" s="1">
        <v>41912</v>
      </c>
    </row>
    <row r="710" spans="1:3">
      <c r="A710" t="s">
        <v>65</v>
      </c>
      <c r="B710">
        <v>0.86031022503492005</v>
      </c>
      <c r="C710" s="1">
        <v>41912</v>
      </c>
    </row>
    <row r="711" spans="1:3">
      <c r="A711" t="s">
        <v>67</v>
      </c>
      <c r="B711">
        <v>8.7031177394736297</v>
      </c>
      <c r="C711" s="1">
        <v>41912</v>
      </c>
    </row>
    <row r="712" spans="1:3">
      <c r="A712" t="s">
        <v>69</v>
      </c>
      <c r="B712">
        <v>6.0142057398274504</v>
      </c>
      <c r="C712" s="1">
        <v>41912</v>
      </c>
    </row>
    <row r="713" spans="1:3">
      <c r="A713" t="s">
        <v>71</v>
      </c>
      <c r="B713">
        <v>0.73197176553897003</v>
      </c>
      <c r="C713" s="1">
        <v>41912</v>
      </c>
    </row>
    <row r="714" spans="1:3">
      <c r="A714" t="s">
        <v>73</v>
      </c>
      <c r="B714">
        <v>2.7977784170117102</v>
      </c>
      <c r="C714" s="1">
        <v>41912</v>
      </c>
    </row>
    <row r="715" spans="1:3">
      <c r="A715" t="s">
        <v>75</v>
      </c>
      <c r="B715">
        <v>0.39121102825662002</v>
      </c>
      <c r="C715" s="1">
        <v>41912</v>
      </c>
    </row>
    <row r="716" spans="1:3">
      <c r="A716" t="s">
        <v>77</v>
      </c>
      <c r="B716">
        <v>2.1808687186070399</v>
      </c>
      <c r="C716" s="1">
        <v>41912</v>
      </c>
    </row>
    <row r="717" spans="1:3">
      <c r="A717" t="s">
        <v>79</v>
      </c>
      <c r="B717">
        <v>8.6924966255843099</v>
      </c>
      <c r="C717" s="1">
        <v>41912</v>
      </c>
    </row>
    <row r="718" spans="1:3">
      <c r="A718" t="s">
        <v>81</v>
      </c>
      <c r="B718">
        <v>12.3904144447158</v>
      </c>
      <c r="C718" s="1">
        <v>41912</v>
      </c>
    </row>
    <row r="719" spans="1:3">
      <c r="A719" t="s">
        <v>83</v>
      </c>
      <c r="B719">
        <v>0.35757750094044</v>
      </c>
      <c r="C719" s="1">
        <v>41912</v>
      </c>
    </row>
    <row r="720" spans="1:3">
      <c r="A720" t="s">
        <v>85</v>
      </c>
      <c r="B720">
        <v>7.6799504348024703</v>
      </c>
      <c r="C720" s="1">
        <v>41912</v>
      </c>
    </row>
    <row r="721" spans="1:3">
      <c r="A721" t="s">
        <v>87</v>
      </c>
      <c r="B721">
        <v>29.7833735313015</v>
      </c>
      <c r="C721" s="1">
        <v>41912</v>
      </c>
    </row>
    <row r="722" spans="1:3">
      <c r="A722" t="s">
        <v>89</v>
      </c>
      <c r="B722">
        <v>13.727789701946101</v>
      </c>
      <c r="C722" s="1">
        <v>41912</v>
      </c>
    </row>
    <row r="723" spans="1:3">
      <c r="A723" t="s">
        <v>91</v>
      </c>
      <c r="B723">
        <v>18.634744318811901</v>
      </c>
      <c r="C723" s="1">
        <v>41912</v>
      </c>
    </row>
    <row r="724" spans="1:3">
      <c r="A724" t="s">
        <v>93</v>
      </c>
      <c r="B724">
        <v>12.4806939127751</v>
      </c>
      <c r="C724" s="1">
        <v>41912</v>
      </c>
    </row>
    <row r="725" spans="1:3">
      <c r="A725" t="s">
        <v>95</v>
      </c>
      <c r="B725">
        <v>1.9976545040162701</v>
      </c>
      <c r="C725" s="1">
        <v>41912</v>
      </c>
    </row>
    <row r="726" spans="1:3">
      <c r="A726" t="s">
        <v>97</v>
      </c>
      <c r="B726">
        <v>20.410240523976601</v>
      </c>
      <c r="C726" s="1">
        <v>41912</v>
      </c>
    </row>
    <row r="727" spans="1:3">
      <c r="A727" t="s">
        <v>99</v>
      </c>
      <c r="B727">
        <v>6.5496868984140004</v>
      </c>
      <c r="C727" s="1">
        <v>41912</v>
      </c>
    </row>
    <row r="728" spans="1:3">
      <c r="A728" t="s">
        <v>101</v>
      </c>
      <c r="B728">
        <v>8.6385059633135999</v>
      </c>
      <c r="C728" s="1">
        <v>41912</v>
      </c>
    </row>
    <row r="729" spans="1:3">
      <c r="A729" t="s">
        <v>103</v>
      </c>
      <c r="B729">
        <v>1.40287212621435</v>
      </c>
      <c r="C729" s="1">
        <v>41912</v>
      </c>
    </row>
    <row r="730" spans="1:3">
      <c r="A730" t="s">
        <v>105</v>
      </c>
      <c r="B730">
        <v>2.6163343880691601</v>
      </c>
      <c r="C730" s="1">
        <v>41912</v>
      </c>
    </row>
    <row r="731" spans="1:3">
      <c r="A731" t="s">
        <v>107</v>
      </c>
      <c r="B731">
        <v>10.5945611045967</v>
      </c>
      <c r="C731" s="1">
        <v>41912</v>
      </c>
    </row>
    <row r="732" spans="1:3">
      <c r="A732" t="s">
        <v>109</v>
      </c>
      <c r="B732">
        <v>2.1861792755517002</v>
      </c>
      <c r="C732" s="1">
        <v>41912</v>
      </c>
    </row>
    <row r="733" spans="1:3">
      <c r="A733" t="s">
        <v>111</v>
      </c>
      <c r="B733">
        <v>10.5768592481145</v>
      </c>
      <c r="C733" s="1">
        <v>41912</v>
      </c>
    </row>
    <row r="734" spans="1:3">
      <c r="A734" t="s">
        <v>113</v>
      </c>
      <c r="B734">
        <v>10.373287898569201</v>
      </c>
      <c r="C734" s="1">
        <v>41912</v>
      </c>
    </row>
    <row r="735" spans="1:3">
      <c r="A735" t="s">
        <v>115</v>
      </c>
      <c r="B735">
        <v>6.1876839333530098</v>
      </c>
      <c r="C735" s="1">
        <v>41912</v>
      </c>
    </row>
    <row r="736" spans="1:3">
      <c r="A736" t="s">
        <v>117</v>
      </c>
      <c r="B736">
        <v>4.6715199256525803</v>
      </c>
      <c r="C736" s="1">
        <v>41912</v>
      </c>
    </row>
    <row r="737" spans="1:3">
      <c r="A737" t="s">
        <v>119</v>
      </c>
      <c r="B737">
        <v>23.5903790410038</v>
      </c>
      <c r="C737" s="1">
        <v>41912</v>
      </c>
    </row>
    <row r="738" spans="1:3">
      <c r="A738" t="s">
        <v>121</v>
      </c>
      <c r="B738">
        <v>20.181886575356199</v>
      </c>
      <c r="C738" s="1">
        <v>41912</v>
      </c>
    </row>
    <row r="739" spans="1:3">
      <c r="A739" t="s">
        <v>123</v>
      </c>
      <c r="B739">
        <v>5.7796561414383003</v>
      </c>
      <c r="C739" s="1">
        <v>41912</v>
      </c>
    </row>
    <row r="740" spans="1:3">
      <c r="A740" t="s">
        <v>125</v>
      </c>
      <c r="B740">
        <v>110.194056601695</v>
      </c>
      <c r="C740" s="1">
        <v>41912</v>
      </c>
    </row>
    <row r="741" spans="1:3">
      <c r="A741" t="s">
        <v>127</v>
      </c>
      <c r="B741">
        <v>21.093532184189499</v>
      </c>
      <c r="C741" s="1">
        <v>41912</v>
      </c>
    </row>
    <row r="742" spans="1:3">
      <c r="A742" t="s">
        <v>129</v>
      </c>
      <c r="B742">
        <v>3.8076693293212198</v>
      </c>
      <c r="C742" s="1">
        <v>41912</v>
      </c>
    </row>
    <row r="743" spans="1:3">
      <c r="A743" t="s">
        <v>131</v>
      </c>
      <c r="B743">
        <v>4.7485230013501498</v>
      </c>
      <c r="C743" s="1">
        <v>41912</v>
      </c>
    </row>
    <row r="744" spans="1:3">
      <c r="A744" t="s">
        <v>134</v>
      </c>
      <c r="B744">
        <v>2.7384771977963398</v>
      </c>
      <c r="C744" s="1">
        <v>41912</v>
      </c>
    </row>
    <row r="745" spans="1:3">
      <c r="A745" t="s">
        <v>136</v>
      </c>
      <c r="B745">
        <v>12.3886442590676</v>
      </c>
      <c r="C745" s="1">
        <v>41912</v>
      </c>
    </row>
    <row r="746" spans="1:3">
      <c r="A746" t="s">
        <v>138</v>
      </c>
      <c r="B746">
        <v>25.2959529130638</v>
      </c>
      <c r="C746" s="1">
        <v>41912</v>
      </c>
    </row>
    <row r="747" spans="1:3">
      <c r="A747" t="s">
        <v>140</v>
      </c>
      <c r="B747">
        <v>5.9301219215370002</v>
      </c>
      <c r="C747" s="1">
        <v>41912</v>
      </c>
    </row>
    <row r="748" spans="1:3">
      <c r="A748" t="s">
        <v>142</v>
      </c>
      <c r="B748">
        <v>8.3986458079797899</v>
      </c>
      <c r="C748" s="1">
        <v>41912</v>
      </c>
    </row>
    <row r="749" spans="1:3">
      <c r="A749" t="s">
        <v>144</v>
      </c>
      <c r="B749">
        <v>5.2636470249821699</v>
      </c>
      <c r="C749" s="1">
        <v>41912</v>
      </c>
    </row>
    <row r="750" spans="1:3">
      <c r="A750" t="s">
        <v>146</v>
      </c>
      <c r="B750">
        <v>3.9368928816412798</v>
      </c>
      <c r="C750" s="1">
        <v>41912</v>
      </c>
    </row>
    <row r="751" spans="1:3">
      <c r="A751" t="s">
        <v>148</v>
      </c>
      <c r="B751">
        <v>11.5637377469971</v>
      </c>
      <c r="C751" s="1">
        <v>41912</v>
      </c>
    </row>
    <row r="752" spans="1:3">
      <c r="A752" t="s">
        <v>150</v>
      </c>
      <c r="B752">
        <v>6.1867988405289003</v>
      </c>
      <c r="C752" s="1">
        <v>41912</v>
      </c>
    </row>
    <row r="753" spans="1:3">
      <c r="A753" t="s">
        <v>152</v>
      </c>
      <c r="B753">
        <v>12.257650521099301</v>
      </c>
      <c r="C753" s="1">
        <v>41912</v>
      </c>
    </row>
    <row r="754" spans="1:3">
      <c r="A754" t="s">
        <v>154</v>
      </c>
      <c r="B754">
        <v>27.918482950901701</v>
      </c>
      <c r="C754" s="1">
        <v>41912</v>
      </c>
    </row>
    <row r="755" spans="1:3">
      <c r="A755" t="s">
        <v>156</v>
      </c>
      <c r="B755">
        <v>54.287168366786801</v>
      </c>
      <c r="C755" s="1">
        <v>41912</v>
      </c>
    </row>
    <row r="756" spans="1:3">
      <c r="A756" t="s">
        <v>158</v>
      </c>
      <c r="B756">
        <v>32.402363197842902</v>
      </c>
      <c r="C756" s="1">
        <v>41912</v>
      </c>
    </row>
    <row r="757" spans="1:3">
      <c r="A757" t="s">
        <v>160</v>
      </c>
      <c r="B757">
        <v>19.372911734119601</v>
      </c>
      <c r="C757" s="1">
        <v>41912</v>
      </c>
    </row>
    <row r="758" spans="1:3">
      <c r="A758" t="s">
        <v>162</v>
      </c>
      <c r="B758">
        <v>7.7003075697570003</v>
      </c>
      <c r="C758" s="1">
        <v>41912</v>
      </c>
    </row>
    <row r="759" spans="1:3">
      <c r="A759" t="s">
        <v>164</v>
      </c>
      <c r="B759">
        <v>3.9129953753903099</v>
      </c>
      <c r="C759" s="1">
        <v>41912</v>
      </c>
    </row>
    <row r="760" spans="1:3">
      <c r="A760" t="s">
        <v>166</v>
      </c>
      <c r="B760">
        <v>8.1871086230174992</v>
      </c>
      <c r="C760" s="1">
        <v>41912</v>
      </c>
    </row>
    <row r="761" spans="1:3">
      <c r="A761" t="s">
        <v>168</v>
      </c>
      <c r="B761">
        <v>12.681609983848</v>
      </c>
      <c r="C761" s="1">
        <v>41912</v>
      </c>
    </row>
    <row r="762" spans="1:3">
      <c r="A762" t="s">
        <v>4</v>
      </c>
      <c r="B762">
        <v>0.19281252828749901</v>
      </c>
      <c r="C762" s="1">
        <v>41943</v>
      </c>
    </row>
    <row r="763" spans="1:3">
      <c r="A763" t="s">
        <v>8</v>
      </c>
      <c r="B763">
        <v>16.843486919462499</v>
      </c>
      <c r="C763" s="1">
        <v>41943</v>
      </c>
    </row>
    <row r="764" spans="1:3">
      <c r="A764" t="s">
        <v>11</v>
      </c>
      <c r="B764">
        <v>56.566488639237498</v>
      </c>
      <c r="C764" s="1">
        <v>41943</v>
      </c>
    </row>
    <row r="765" spans="1:3">
      <c r="A765" t="s">
        <v>14</v>
      </c>
      <c r="B765">
        <v>9.0504209287249999</v>
      </c>
      <c r="C765" s="1">
        <v>41943</v>
      </c>
    </row>
    <row r="766" spans="1:3">
      <c r="A766" t="s">
        <v>17</v>
      </c>
      <c r="B766">
        <v>8.3887028152125005</v>
      </c>
      <c r="C766" s="1">
        <v>41943</v>
      </c>
    </row>
    <row r="767" spans="1:3">
      <c r="A767" t="s">
        <v>20</v>
      </c>
      <c r="B767">
        <v>1.94532452248749</v>
      </c>
      <c r="C767" s="1">
        <v>41943</v>
      </c>
    </row>
    <row r="768" spans="1:3">
      <c r="A768" t="s">
        <v>24</v>
      </c>
      <c r="B768">
        <v>2.3354756947499999</v>
      </c>
      <c r="C768" s="1">
        <v>41943</v>
      </c>
    </row>
    <row r="769" spans="1:3">
      <c r="A769" t="s">
        <v>27</v>
      </c>
      <c r="B769">
        <v>20.986693219799999</v>
      </c>
      <c r="C769" s="1">
        <v>41943</v>
      </c>
    </row>
    <row r="770" spans="1:3">
      <c r="A770" t="s">
        <v>29</v>
      </c>
      <c r="B770">
        <v>3.7747804833749998</v>
      </c>
      <c r="C770" s="1">
        <v>41943</v>
      </c>
    </row>
    <row r="771" spans="1:3">
      <c r="A771" t="s">
        <v>32</v>
      </c>
      <c r="B771">
        <v>12.114601249162501</v>
      </c>
      <c r="C771" s="1">
        <v>41943</v>
      </c>
    </row>
    <row r="772" spans="1:3">
      <c r="A772" t="s">
        <v>35</v>
      </c>
      <c r="B772">
        <v>4.4808545306249998</v>
      </c>
      <c r="C772" s="1">
        <v>41943</v>
      </c>
    </row>
    <row r="773" spans="1:3">
      <c r="A773" t="s">
        <v>37</v>
      </c>
      <c r="B773">
        <v>0.8825925590625</v>
      </c>
      <c r="C773" s="1">
        <v>41943</v>
      </c>
    </row>
    <row r="774" spans="1:3">
      <c r="A774" t="s">
        <v>39</v>
      </c>
      <c r="B774">
        <v>2.0186475966250002</v>
      </c>
      <c r="C774" s="1">
        <v>41943</v>
      </c>
    </row>
    <row r="775" spans="1:3">
      <c r="A775" t="s">
        <v>42</v>
      </c>
      <c r="B775">
        <v>1.48369783651113</v>
      </c>
      <c r="C775" s="1">
        <v>41943</v>
      </c>
    </row>
    <row r="776" spans="1:3">
      <c r="A776" t="s">
        <v>44</v>
      </c>
      <c r="B776">
        <v>10.410066081249999</v>
      </c>
      <c r="C776" s="1">
        <v>41943</v>
      </c>
    </row>
    <row r="777" spans="1:3">
      <c r="A777" t="s">
        <v>47</v>
      </c>
      <c r="B777">
        <v>9.7220964967499999</v>
      </c>
      <c r="C777" s="1">
        <v>41943</v>
      </c>
    </row>
    <row r="778" spans="1:3">
      <c r="A778" t="s">
        <v>49</v>
      </c>
      <c r="B778">
        <v>11.676473250612499</v>
      </c>
      <c r="C778" s="1">
        <v>41943</v>
      </c>
    </row>
    <row r="779" spans="1:3">
      <c r="A779" t="s">
        <v>51</v>
      </c>
      <c r="B779">
        <v>1.656558341625</v>
      </c>
      <c r="C779" s="1">
        <v>41943</v>
      </c>
    </row>
    <row r="780" spans="1:3">
      <c r="A780" t="s">
        <v>53</v>
      </c>
      <c r="B780">
        <v>1.44835702</v>
      </c>
      <c r="C780" s="1">
        <v>41943</v>
      </c>
    </row>
    <row r="781" spans="1:3">
      <c r="A781" t="s">
        <v>55</v>
      </c>
      <c r="B781">
        <v>8.6448809631250008</v>
      </c>
      <c r="C781" s="1">
        <v>41943</v>
      </c>
    </row>
    <row r="782" spans="1:3">
      <c r="A782" t="s">
        <v>57</v>
      </c>
      <c r="B782">
        <v>5.3009866931999996</v>
      </c>
      <c r="C782" s="1">
        <v>41943</v>
      </c>
    </row>
    <row r="783" spans="1:3">
      <c r="A783" t="s">
        <v>59</v>
      </c>
      <c r="B783">
        <v>7.3757581243499999</v>
      </c>
      <c r="C783" s="1">
        <v>41943</v>
      </c>
    </row>
    <row r="784" spans="1:3">
      <c r="A784" t="s">
        <v>61</v>
      </c>
      <c r="B784">
        <v>26.337467185562499</v>
      </c>
      <c r="C784" s="1">
        <v>41943</v>
      </c>
    </row>
    <row r="785" spans="1:3">
      <c r="A785" t="s">
        <v>63</v>
      </c>
      <c r="B785">
        <v>13.7204670950875</v>
      </c>
      <c r="C785" s="1">
        <v>41943</v>
      </c>
    </row>
    <row r="786" spans="1:3">
      <c r="A786" t="s">
        <v>65</v>
      </c>
      <c r="B786">
        <v>0.90431791436249997</v>
      </c>
      <c r="C786" s="1">
        <v>41943</v>
      </c>
    </row>
    <row r="787" spans="1:3">
      <c r="A787" t="s">
        <v>67</v>
      </c>
      <c r="B787">
        <v>9.0821037385374996</v>
      </c>
      <c r="C787" s="1">
        <v>41943</v>
      </c>
    </row>
    <row r="788" spans="1:3">
      <c r="A788" t="s">
        <v>69</v>
      </c>
      <c r="B788">
        <v>6.8344346881249898</v>
      </c>
      <c r="C788" s="1">
        <v>41943</v>
      </c>
    </row>
    <row r="789" spans="1:3">
      <c r="A789" t="s">
        <v>71</v>
      </c>
      <c r="B789">
        <v>0.74680908843750005</v>
      </c>
      <c r="C789" s="1">
        <v>41943</v>
      </c>
    </row>
    <row r="790" spans="1:3">
      <c r="A790" t="s">
        <v>73</v>
      </c>
      <c r="B790">
        <v>3.0189191635624999</v>
      </c>
      <c r="C790" s="1">
        <v>41943</v>
      </c>
    </row>
    <row r="791" spans="1:3">
      <c r="A791" t="s">
        <v>75</v>
      </c>
      <c r="B791">
        <v>0.41911831266249999</v>
      </c>
      <c r="C791" s="1">
        <v>41943</v>
      </c>
    </row>
    <row r="792" spans="1:3">
      <c r="A792" t="s">
        <v>77</v>
      </c>
      <c r="B792">
        <v>2.4214718928124999</v>
      </c>
      <c r="C792" s="1">
        <v>41943</v>
      </c>
    </row>
    <row r="793" spans="1:3">
      <c r="A793" t="s">
        <v>79</v>
      </c>
      <c r="B793">
        <v>9.8216710418749997</v>
      </c>
      <c r="C793" s="1">
        <v>41943</v>
      </c>
    </row>
    <row r="794" spans="1:3">
      <c r="A794" t="s">
        <v>81</v>
      </c>
      <c r="B794">
        <v>11.768806010637499</v>
      </c>
      <c r="C794" s="1">
        <v>41943</v>
      </c>
    </row>
    <row r="795" spans="1:3">
      <c r="A795" t="s">
        <v>83</v>
      </c>
      <c r="B795">
        <v>0.40463474246249997</v>
      </c>
      <c r="C795" s="1">
        <v>41943</v>
      </c>
    </row>
    <row r="796" spans="1:3">
      <c r="A796" t="s">
        <v>85</v>
      </c>
      <c r="B796">
        <v>8.7163935909875008</v>
      </c>
      <c r="C796" s="1">
        <v>41943</v>
      </c>
    </row>
    <row r="797" spans="1:3">
      <c r="A797" t="s">
        <v>87</v>
      </c>
      <c r="B797">
        <v>35.6150991218</v>
      </c>
      <c r="C797" s="1">
        <v>41943</v>
      </c>
    </row>
    <row r="798" spans="1:3">
      <c r="A798" t="s">
        <v>89</v>
      </c>
      <c r="B798">
        <v>13.507739657775</v>
      </c>
      <c r="C798" s="1">
        <v>41943</v>
      </c>
    </row>
    <row r="799" spans="1:3">
      <c r="A799" t="s">
        <v>91</v>
      </c>
      <c r="B799">
        <v>18.493708699125001</v>
      </c>
      <c r="C799" s="1">
        <v>41943</v>
      </c>
    </row>
    <row r="800" spans="1:3">
      <c r="A800" t="s">
        <v>93</v>
      </c>
      <c r="B800">
        <v>14.03095863125</v>
      </c>
      <c r="C800" s="1">
        <v>41943</v>
      </c>
    </row>
    <row r="801" spans="1:3">
      <c r="A801" t="s">
        <v>95</v>
      </c>
      <c r="B801">
        <v>2.04580429075</v>
      </c>
      <c r="C801" s="1">
        <v>41943</v>
      </c>
    </row>
    <row r="802" spans="1:3">
      <c r="A802" t="s">
        <v>97</v>
      </c>
      <c r="B802">
        <v>19.914909025</v>
      </c>
      <c r="C802" s="1">
        <v>41943</v>
      </c>
    </row>
    <row r="803" spans="1:3">
      <c r="A803" t="s">
        <v>99</v>
      </c>
      <c r="B803">
        <v>6.8615913822499897</v>
      </c>
      <c r="C803" s="1">
        <v>41943</v>
      </c>
    </row>
    <row r="804" spans="1:3">
      <c r="A804" t="s">
        <v>101</v>
      </c>
      <c r="B804">
        <v>8.7797592106125002</v>
      </c>
      <c r="C804" s="1">
        <v>41943</v>
      </c>
    </row>
    <row r="805" spans="1:3">
      <c r="A805" t="s">
        <v>103</v>
      </c>
      <c r="B805">
        <v>1.4473694215569799</v>
      </c>
      <c r="C805" s="1">
        <v>41943</v>
      </c>
    </row>
    <row r="806" spans="1:3">
      <c r="A806" t="s">
        <v>105</v>
      </c>
      <c r="B806">
        <v>2.6794604870000001</v>
      </c>
      <c r="C806" s="1">
        <v>41943</v>
      </c>
    </row>
    <row r="807" spans="1:3">
      <c r="A807" t="s">
        <v>107</v>
      </c>
      <c r="B807">
        <v>11.1795057481249</v>
      </c>
      <c r="C807" s="1">
        <v>41943</v>
      </c>
    </row>
    <row r="808" spans="1:3">
      <c r="A808" t="s">
        <v>109</v>
      </c>
      <c r="B808">
        <v>1.6294016474999999</v>
      </c>
      <c r="C808" s="1">
        <v>41943</v>
      </c>
    </row>
    <row r="809" spans="1:3">
      <c r="A809" t="s">
        <v>111</v>
      </c>
      <c r="B809">
        <v>11.1840318638125</v>
      </c>
      <c r="C809" s="1">
        <v>41943</v>
      </c>
    </row>
    <row r="810" spans="1:3">
      <c r="A810" t="s">
        <v>113</v>
      </c>
      <c r="B810">
        <v>11.282701185800001</v>
      </c>
      <c r="C810" s="1">
        <v>41943</v>
      </c>
    </row>
    <row r="811" spans="1:3">
      <c r="A811" t="s">
        <v>115</v>
      </c>
      <c r="B811">
        <v>7.0960441748624996</v>
      </c>
      <c r="C811" s="1">
        <v>41943</v>
      </c>
    </row>
    <row r="812" spans="1:3">
      <c r="A812" t="s">
        <v>117</v>
      </c>
      <c r="B812">
        <v>4.8275549922874896</v>
      </c>
      <c r="C812" s="1">
        <v>41943</v>
      </c>
    </row>
    <row r="813" spans="1:3">
      <c r="A813" t="s">
        <v>119</v>
      </c>
      <c r="B813">
        <v>24.934371322437499</v>
      </c>
      <c r="C813" s="1">
        <v>41943</v>
      </c>
    </row>
    <row r="814" spans="1:3">
      <c r="A814" t="s">
        <v>121</v>
      </c>
      <c r="B814">
        <v>22.900334932474902</v>
      </c>
      <c r="C814" s="1">
        <v>41943</v>
      </c>
    </row>
    <row r="815" spans="1:3">
      <c r="A815" t="s">
        <v>123</v>
      </c>
      <c r="B815">
        <v>6.3048791526874997</v>
      </c>
      <c r="C815" s="1">
        <v>41943</v>
      </c>
    </row>
    <row r="816" spans="1:3">
      <c r="A816" t="s">
        <v>125</v>
      </c>
      <c r="B816">
        <v>124.25454874579999</v>
      </c>
      <c r="C816" s="1">
        <v>41943</v>
      </c>
    </row>
    <row r="817" spans="1:3">
      <c r="A817" t="s">
        <v>127</v>
      </c>
      <c r="B817">
        <v>22.087444555000001</v>
      </c>
      <c r="C817" s="1">
        <v>41943</v>
      </c>
    </row>
    <row r="818" spans="1:3">
      <c r="A818" t="s">
        <v>129</v>
      </c>
      <c r="B818">
        <v>4.2726532089999996</v>
      </c>
      <c r="C818" s="1">
        <v>41943</v>
      </c>
    </row>
    <row r="819" spans="1:3">
      <c r="A819" t="s">
        <v>131</v>
      </c>
      <c r="B819">
        <v>5.0239884131250001</v>
      </c>
      <c r="C819" s="1">
        <v>41943</v>
      </c>
    </row>
    <row r="820" spans="1:3">
      <c r="A820" t="s">
        <v>134</v>
      </c>
      <c r="B820">
        <v>2.8577894450875001</v>
      </c>
      <c r="C820" s="1">
        <v>41943</v>
      </c>
    </row>
    <row r="821" spans="1:3">
      <c r="A821" t="s">
        <v>136</v>
      </c>
      <c r="B821">
        <v>14.463655290975</v>
      </c>
      <c r="C821" s="1">
        <v>41943</v>
      </c>
    </row>
    <row r="822" spans="1:3">
      <c r="A822" t="s">
        <v>138</v>
      </c>
      <c r="B822">
        <v>27.461754322337502</v>
      </c>
      <c r="C822" s="1">
        <v>41943</v>
      </c>
    </row>
    <row r="823" spans="1:3">
      <c r="A823" t="s">
        <v>140</v>
      </c>
      <c r="B823">
        <v>6.7982257626249902</v>
      </c>
      <c r="C823" s="1">
        <v>41943</v>
      </c>
    </row>
    <row r="824" spans="1:3">
      <c r="A824" t="s">
        <v>142</v>
      </c>
      <c r="B824">
        <v>9.1155969946249993</v>
      </c>
      <c r="C824" s="1">
        <v>41943</v>
      </c>
    </row>
    <row r="825" spans="1:3">
      <c r="A825" t="s">
        <v>144</v>
      </c>
      <c r="B825">
        <v>5.2693038833874999</v>
      </c>
      <c r="C825" s="1">
        <v>41943</v>
      </c>
    </row>
    <row r="826" spans="1:3">
      <c r="A826" t="s">
        <v>146</v>
      </c>
      <c r="B826">
        <v>3.9440572100875002</v>
      </c>
      <c r="C826" s="1">
        <v>41943</v>
      </c>
    </row>
    <row r="827" spans="1:3">
      <c r="A827" t="s">
        <v>148</v>
      </c>
      <c r="B827">
        <v>12.5599710328125</v>
      </c>
      <c r="C827" s="1">
        <v>41943</v>
      </c>
    </row>
    <row r="828" spans="1:3">
      <c r="A828" t="s">
        <v>150</v>
      </c>
      <c r="B828">
        <v>6.5085543586250001</v>
      </c>
      <c r="C828" s="1">
        <v>41943</v>
      </c>
    </row>
    <row r="829" spans="1:3">
      <c r="A829" t="s">
        <v>152</v>
      </c>
      <c r="B829">
        <v>8.4638363356250004</v>
      </c>
      <c r="C829" s="1">
        <v>41943</v>
      </c>
    </row>
    <row r="830" spans="1:3">
      <c r="A830" t="s">
        <v>154</v>
      </c>
      <c r="B830">
        <v>30.018104462637499</v>
      </c>
      <c r="C830" s="1">
        <v>41943</v>
      </c>
    </row>
    <row r="831" spans="1:3">
      <c r="A831" t="s">
        <v>156</v>
      </c>
      <c r="B831">
        <v>49.713949488362502</v>
      </c>
      <c r="C831" s="1">
        <v>41943</v>
      </c>
    </row>
    <row r="832" spans="1:3">
      <c r="A832" t="s">
        <v>158</v>
      </c>
      <c r="B832">
        <v>31.498144292449901</v>
      </c>
      <c r="C832" s="1">
        <v>41943</v>
      </c>
    </row>
    <row r="833" spans="1:3">
      <c r="A833" t="s">
        <v>160</v>
      </c>
      <c r="B833">
        <v>21.7470806553</v>
      </c>
      <c r="C833" s="1">
        <v>41943</v>
      </c>
    </row>
    <row r="834" spans="1:3">
      <c r="A834" t="s">
        <v>162</v>
      </c>
      <c r="B834">
        <v>7.2680365709875003</v>
      </c>
      <c r="C834" s="1">
        <v>41943</v>
      </c>
    </row>
    <row r="835" spans="1:3">
      <c r="A835" t="s">
        <v>164</v>
      </c>
      <c r="B835">
        <v>3.2950122204999999</v>
      </c>
      <c r="C835" s="1">
        <v>41943</v>
      </c>
    </row>
    <row r="836" spans="1:3">
      <c r="A836" t="s">
        <v>166</v>
      </c>
      <c r="B836">
        <v>8.6693219878374901</v>
      </c>
      <c r="C836" s="1">
        <v>41943</v>
      </c>
    </row>
    <row r="837" spans="1:3">
      <c r="A837" t="s">
        <v>168</v>
      </c>
      <c r="B837">
        <v>12.301982438625</v>
      </c>
      <c r="C837" s="1">
        <v>41943</v>
      </c>
    </row>
    <row r="838" spans="1:3">
      <c r="A838" t="s">
        <v>4</v>
      </c>
      <c r="B838">
        <v>0.19644231204359999</v>
      </c>
      <c r="C838" s="1">
        <v>41973</v>
      </c>
    </row>
    <row r="839" spans="1:3">
      <c r="A839" t="s">
        <v>8</v>
      </c>
      <c r="B839">
        <v>17.129407504557498</v>
      </c>
      <c r="C839" s="1">
        <v>41973</v>
      </c>
    </row>
    <row r="840" spans="1:3">
      <c r="A840" t="s">
        <v>11</v>
      </c>
      <c r="B840">
        <v>58.875661974099501</v>
      </c>
      <c r="C840" s="1">
        <v>41973</v>
      </c>
    </row>
    <row r="841" spans="1:3">
      <c r="A841" t="s">
        <v>14</v>
      </c>
      <c r="B841">
        <v>9.2617571175947901</v>
      </c>
      <c r="C841" s="1">
        <v>41973</v>
      </c>
    </row>
    <row r="842" spans="1:3">
      <c r="A842" t="s">
        <v>17</v>
      </c>
      <c r="B842">
        <v>9.3405150952343998</v>
      </c>
      <c r="C842" s="1">
        <v>41973</v>
      </c>
    </row>
    <row r="843" spans="1:3">
      <c r="A843" t="s">
        <v>20</v>
      </c>
      <c r="B843">
        <v>2.05042321096199</v>
      </c>
      <c r="C843" s="1">
        <v>41973</v>
      </c>
    </row>
    <row r="844" spans="1:3">
      <c r="A844" t="s">
        <v>24</v>
      </c>
      <c r="B844">
        <v>2.3310550853100001</v>
      </c>
      <c r="C844" s="1">
        <v>41973</v>
      </c>
    </row>
    <row r="845" spans="1:3">
      <c r="A845" t="s">
        <v>27</v>
      </c>
      <c r="B845">
        <v>20.7151586474364</v>
      </c>
      <c r="C845" s="1">
        <v>41973</v>
      </c>
    </row>
    <row r="846" spans="1:3">
      <c r="A846" t="s">
        <v>29</v>
      </c>
      <c r="B846">
        <v>3.78400398314399</v>
      </c>
      <c r="C846" s="1">
        <v>41973</v>
      </c>
    </row>
    <row r="847" spans="1:3">
      <c r="A847" t="s">
        <v>32</v>
      </c>
      <c r="B847">
        <v>12.037296881307499</v>
      </c>
      <c r="C847" s="1">
        <v>41973</v>
      </c>
    </row>
    <row r="848" spans="1:3">
      <c r="A848" t="s">
        <v>35</v>
      </c>
      <c r="B848">
        <v>4.6847417733899999</v>
      </c>
      <c r="C848" s="1">
        <v>41973</v>
      </c>
    </row>
    <row r="849" spans="1:3">
      <c r="A849" t="s">
        <v>37</v>
      </c>
      <c r="B849">
        <v>0.862716697592399</v>
      </c>
      <c r="C849" s="1">
        <v>41973</v>
      </c>
    </row>
    <row r="850" spans="1:3">
      <c r="A850" t="s">
        <v>39</v>
      </c>
      <c r="B850">
        <v>1.9915810437599999</v>
      </c>
      <c r="C850" s="1">
        <v>41973</v>
      </c>
    </row>
    <row r="851" spans="1:3">
      <c r="A851" t="s">
        <v>42</v>
      </c>
      <c r="B851">
        <v>1.3859593536348001</v>
      </c>
      <c r="C851" s="1">
        <v>41973</v>
      </c>
    </row>
    <row r="852" spans="1:3">
      <c r="A852" t="s">
        <v>44</v>
      </c>
      <c r="B852">
        <v>10.081021137868699</v>
      </c>
      <c r="C852" s="1">
        <v>41973</v>
      </c>
    </row>
    <row r="853" spans="1:3">
      <c r="A853" t="s">
        <v>47</v>
      </c>
      <c r="B853">
        <v>9.7161997012163894</v>
      </c>
      <c r="C853" s="1">
        <v>41973</v>
      </c>
    </row>
    <row r="854" spans="1:3">
      <c r="A854" t="s">
        <v>49</v>
      </c>
      <c r="B854">
        <v>14.2633413297647</v>
      </c>
      <c r="C854" s="1">
        <v>41973</v>
      </c>
    </row>
    <row r="855" spans="1:3">
      <c r="A855" t="s">
        <v>51</v>
      </c>
      <c r="B855">
        <v>1.64577015343439</v>
      </c>
      <c r="C855" s="1">
        <v>41973</v>
      </c>
    </row>
    <row r="856" spans="1:3">
      <c r="A856" t="s">
        <v>53</v>
      </c>
      <c r="B856">
        <v>1.5108858009252</v>
      </c>
      <c r="C856" s="1">
        <v>41973</v>
      </c>
    </row>
    <row r="857" spans="1:3">
      <c r="A857" t="s">
        <v>55</v>
      </c>
      <c r="B857">
        <v>10.0086000090048</v>
      </c>
      <c r="C857" s="1">
        <v>41973</v>
      </c>
    </row>
    <row r="858" spans="1:3">
      <c r="A858" t="s">
        <v>57</v>
      </c>
      <c r="B858">
        <v>6.2200697053067904</v>
      </c>
      <c r="C858" s="1">
        <v>41973</v>
      </c>
    </row>
    <row r="859" spans="1:3">
      <c r="A859" t="s">
        <v>59</v>
      </c>
      <c r="B859">
        <v>7.95817679804279</v>
      </c>
      <c r="C859" s="1">
        <v>41973</v>
      </c>
    </row>
    <row r="860" spans="1:3">
      <c r="A860" t="s">
        <v>61</v>
      </c>
      <c r="B860">
        <v>28.629882768160702</v>
      </c>
      <c r="C860" s="1">
        <v>41973</v>
      </c>
    </row>
    <row r="861" spans="1:3">
      <c r="A861" t="s">
        <v>63</v>
      </c>
      <c r="B861">
        <v>15.561490064652</v>
      </c>
      <c r="C861" s="1">
        <v>41973</v>
      </c>
    </row>
    <row r="862" spans="1:3">
      <c r="A862" t="s">
        <v>65</v>
      </c>
      <c r="B862">
        <v>0.91431675190799899</v>
      </c>
      <c r="C862" s="1">
        <v>41973</v>
      </c>
    </row>
    <row r="863" spans="1:3">
      <c r="A863" t="s">
        <v>67</v>
      </c>
      <c r="B863">
        <v>10.093694835419999</v>
      </c>
      <c r="C863" s="1">
        <v>41973</v>
      </c>
    </row>
    <row r="864" spans="1:3">
      <c r="A864" t="s">
        <v>69</v>
      </c>
      <c r="B864">
        <v>7.1968496808599998</v>
      </c>
      <c r="C864" s="1">
        <v>41973</v>
      </c>
    </row>
    <row r="865" spans="1:3">
      <c r="A865" t="s">
        <v>71</v>
      </c>
      <c r="B865">
        <v>0.81473769971999999</v>
      </c>
      <c r="C865" s="1">
        <v>41973</v>
      </c>
    </row>
    <row r="866" spans="1:3">
      <c r="A866" t="s">
        <v>73</v>
      </c>
      <c r="B866">
        <v>3.2951613633119998</v>
      </c>
      <c r="C866" s="1">
        <v>41973</v>
      </c>
    </row>
    <row r="867" spans="1:3">
      <c r="A867" t="s">
        <v>75</v>
      </c>
      <c r="B867">
        <v>0.41551622685719902</v>
      </c>
      <c r="C867" s="1">
        <v>41973</v>
      </c>
    </row>
    <row r="868" spans="1:3">
      <c r="A868" t="s">
        <v>77</v>
      </c>
      <c r="B868">
        <v>2.5066763228052</v>
      </c>
      <c r="C868" s="1">
        <v>41973</v>
      </c>
    </row>
    <row r="869" spans="1:3">
      <c r="A869" t="s">
        <v>79</v>
      </c>
      <c r="B869">
        <v>9.3133571719103898</v>
      </c>
      <c r="C869" s="1">
        <v>41973</v>
      </c>
    </row>
    <row r="870" spans="1:3">
      <c r="A870" t="s">
        <v>81</v>
      </c>
      <c r="B870">
        <v>10.890327252923999</v>
      </c>
      <c r="C870" s="1">
        <v>41973</v>
      </c>
    </row>
    <row r="871" spans="1:3">
      <c r="A871" t="s">
        <v>83</v>
      </c>
      <c r="B871">
        <v>0.39016883175479899</v>
      </c>
      <c r="C871" s="1">
        <v>41973</v>
      </c>
    </row>
    <row r="872" spans="1:3">
      <c r="A872" t="s">
        <v>85</v>
      </c>
      <c r="B872">
        <v>8.8172724391919992</v>
      </c>
      <c r="C872" s="1">
        <v>41973</v>
      </c>
    </row>
    <row r="873" spans="1:3">
      <c r="A873" t="s">
        <v>87</v>
      </c>
      <c r="B873">
        <v>36.210564431999998</v>
      </c>
      <c r="C873" s="1">
        <v>41973</v>
      </c>
    </row>
    <row r="874" spans="1:3">
      <c r="A874" t="s">
        <v>89</v>
      </c>
      <c r="B874">
        <v>14.380120400057899</v>
      </c>
      <c r="C874" s="1">
        <v>41973</v>
      </c>
    </row>
    <row r="875" spans="1:3">
      <c r="A875" t="s">
        <v>91</v>
      </c>
      <c r="B875">
        <v>19.37265197112</v>
      </c>
      <c r="C875" s="1">
        <v>41973</v>
      </c>
    </row>
    <row r="876" spans="1:3">
      <c r="A876" t="s">
        <v>93</v>
      </c>
      <c r="B876">
        <v>13.760014484159999</v>
      </c>
      <c r="C876" s="1">
        <v>41973</v>
      </c>
    </row>
    <row r="877" spans="1:3">
      <c r="A877" t="s">
        <v>95</v>
      </c>
      <c r="B877">
        <v>2.077581134286</v>
      </c>
      <c r="C877" s="1">
        <v>41973</v>
      </c>
    </row>
    <row r="878" spans="1:3">
      <c r="A878" t="s">
        <v>97</v>
      </c>
      <c r="B878">
        <v>17.562123749519898</v>
      </c>
      <c r="C878" s="1">
        <v>41973</v>
      </c>
    </row>
    <row r="879" spans="1:3">
      <c r="A879" t="s">
        <v>99</v>
      </c>
      <c r="B879">
        <v>9.4509573167519996</v>
      </c>
      <c r="C879" s="1">
        <v>41973</v>
      </c>
    </row>
    <row r="880" spans="1:3">
      <c r="A880" t="s">
        <v>101</v>
      </c>
      <c r="B880">
        <v>8.6814828225720007</v>
      </c>
      <c r="C880" s="1">
        <v>41973</v>
      </c>
    </row>
    <row r="881" spans="1:3">
      <c r="A881" t="s">
        <v>103</v>
      </c>
      <c r="B881">
        <v>1.611370117224</v>
      </c>
      <c r="C881" s="1">
        <v>41973</v>
      </c>
    </row>
    <row r="882" spans="1:3">
      <c r="A882" t="s">
        <v>105</v>
      </c>
      <c r="B882">
        <v>2.3147603313156</v>
      </c>
      <c r="C882" s="1">
        <v>41973</v>
      </c>
    </row>
    <row r="883" spans="1:3">
      <c r="A883" t="s">
        <v>107</v>
      </c>
      <c r="B883">
        <v>11.102159054851199</v>
      </c>
      <c r="C883" s="1">
        <v>41973</v>
      </c>
    </row>
    <row r="884" spans="1:3">
      <c r="A884" t="s">
        <v>109</v>
      </c>
      <c r="B884">
        <v>1.7037070565255901</v>
      </c>
      <c r="C884" s="1">
        <v>41973</v>
      </c>
    </row>
    <row r="885" spans="1:3">
      <c r="A885" t="s">
        <v>111</v>
      </c>
      <c r="B885">
        <v>11.994749468099901</v>
      </c>
      <c r="C885" s="1">
        <v>41973</v>
      </c>
    </row>
    <row r="886" spans="1:3">
      <c r="A886" t="s">
        <v>113</v>
      </c>
      <c r="B886">
        <v>13.180645453247999</v>
      </c>
      <c r="C886" s="1">
        <v>41973</v>
      </c>
    </row>
    <row r="887" spans="1:3">
      <c r="A887" t="s">
        <v>115</v>
      </c>
      <c r="B887">
        <v>7.2194812836299898</v>
      </c>
      <c r="C887" s="1">
        <v>41973</v>
      </c>
    </row>
    <row r="888" spans="1:3">
      <c r="A888" t="s">
        <v>117</v>
      </c>
      <c r="B888">
        <v>4.9653736477379997</v>
      </c>
      <c r="C888" s="1">
        <v>41973</v>
      </c>
    </row>
    <row r="889" spans="1:3">
      <c r="A889" t="s">
        <v>119</v>
      </c>
      <c r="B889">
        <v>23.329561399426701</v>
      </c>
      <c r="C889" s="1">
        <v>41973</v>
      </c>
    </row>
    <row r="890" spans="1:3">
      <c r="A890" t="s">
        <v>121</v>
      </c>
      <c r="B890">
        <v>22.890508305688801</v>
      </c>
      <c r="C890" s="1">
        <v>41973</v>
      </c>
    </row>
    <row r="891" spans="1:3">
      <c r="A891" t="s">
        <v>123</v>
      </c>
      <c r="B891">
        <v>6.626533291056</v>
      </c>
      <c r="C891" s="1">
        <v>41973</v>
      </c>
    </row>
    <row r="892" spans="1:3">
      <c r="A892" t="s">
        <v>125</v>
      </c>
      <c r="B892">
        <v>129.81125243227601</v>
      </c>
      <c r="C892" s="1">
        <v>41973</v>
      </c>
    </row>
    <row r="893" spans="1:3">
      <c r="A893" t="s">
        <v>127</v>
      </c>
      <c r="B893">
        <v>19.750147105323599</v>
      </c>
      <c r="C893" s="1">
        <v>41973</v>
      </c>
    </row>
    <row r="894" spans="1:3">
      <c r="A894" t="s">
        <v>129</v>
      </c>
      <c r="B894">
        <v>4.4991626306759898</v>
      </c>
      <c r="C894" s="1">
        <v>41973</v>
      </c>
    </row>
    <row r="895" spans="1:3">
      <c r="A895" t="s">
        <v>131</v>
      </c>
      <c r="B895">
        <v>4.8033313719048003</v>
      </c>
      <c r="C895" s="1">
        <v>41973</v>
      </c>
    </row>
    <row r="896" spans="1:3">
      <c r="A896" t="s">
        <v>134</v>
      </c>
      <c r="B896">
        <v>2.9692662834239898</v>
      </c>
      <c r="C896" s="1">
        <v>41973</v>
      </c>
    </row>
    <row r="897" spans="1:3">
      <c r="A897" t="s">
        <v>136</v>
      </c>
      <c r="B897">
        <v>15.345131942170701</v>
      </c>
      <c r="C897" s="1">
        <v>41973</v>
      </c>
    </row>
    <row r="898" spans="1:3">
      <c r="A898" t="s">
        <v>138</v>
      </c>
      <c r="B898">
        <v>26.526954238772301</v>
      </c>
      <c r="C898" s="1">
        <v>41973</v>
      </c>
    </row>
    <row r="899" spans="1:3">
      <c r="A899" t="s">
        <v>140</v>
      </c>
      <c r="B899">
        <v>7.2059023219679901</v>
      </c>
      <c r="C899" s="1">
        <v>41973</v>
      </c>
    </row>
    <row r="900" spans="1:3">
      <c r="A900" t="s">
        <v>142</v>
      </c>
      <c r="B900">
        <v>9.3233150771291893</v>
      </c>
      <c r="C900" s="1">
        <v>41973</v>
      </c>
    </row>
    <row r="901" spans="1:3">
      <c r="A901" t="s">
        <v>144</v>
      </c>
      <c r="B901">
        <v>5.5329742452095996</v>
      </c>
      <c r="C901" s="1">
        <v>41973</v>
      </c>
    </row>
    <row r="902" spans="1:3">
      <c r="A902" t="s">
        <v>146</v>
      </c>
      <c r="B902">
        <v>3.73874077760399</v>
      </c>
      <c r="C902" s="1">
        <v>41973</v>
      </c>
    </row>
    <row r="903" spans="1:3">
      <c r="A903" t="s">
        <v>148</v>
      </c>
      <c r="B903">
        <v>12.329697189095899</v>
      </c>
      <c r="C903" s="1">
        <v>41973</v>
      </c>
    </row>
    <row r="904" spans="1:3">
      <c r="A904" t="s">
        <v>150</v>
      </c>
      <c r="B904">
        <v>6.9533336350547996</v>
      </c>
      <c r="C904" s="1">
        <v>41973</v>
      </c>
    </row>
    <row r="905" spans="1:3">
      <c r="A905" t="s">
        <v>152</v>
      </c>
      <c r="B905">
        <v>8.9431041505932001</v>
      </c>
      <c r="C905" s="1">
        <v>41973</v>
      </c>
    </row>
    <row r="906" spans="1:3">
      <c r="A906" t="s">
        <v>154</v>
      </c>
      <c r="B906">
        <v>34.988457882420001</v>
      </c>
      <c r="C906" s="1">
        <v>41973</v>
      </c>
    </row>
    <row r="907" spans="1:3">
      <c r="A907" t="s">
        <v>156</v>
      </c>
      <c r="B907">
        <v>41.818675598405903</v>
      </c>
      <c r="C907" s="1">
        <v>41973</v>
      </c>
    </row>
    <row r="908" spans="1:3">
      <c r="A908" t="s">
        <v>158</v>
      </c>
      <c r="B908">
        <v>33.7210881273</v>
      </c>
      <c r="C908" s="1">
        <v>41973</v>
      </c>
    </row>
    <row r="909" spans="1:3">
      <c r="A909" t="s">
        <v>160</v>
      </c>
      <c r="B909">
        <v>21.995202100107502</v>
      </c>
      <c r="C909" s="1">
        <v>41973</v>
      </c>
    </row>
    <row r="910" spans="1:3">
      <c r="A910" t="s">
        <v>162</v>
      </c>
      <c r="B910">
        <v>7.3027655818235999</v>
      </c>
      <c r="C910" s="1">
        <v>41973</v>
      </c>
    </row>
    <row r="911" spans="1:3">
      <c r="A911" t="s">
        <v>164</v>
      </c>
      <c r="B911">
        <v>4.2927624134136</v>
      </c>
      <c r="C911" s="1">
        <v>41973</v>
      </c>
    </row>
    <row r="912" spans="1:3">
      <c r="A912" t="s">
        <v>166</v>
      </c>
      <c r="B912">
        <v>9.4654415425248004</v>
      </c>
      <c r="C912" s="1">
        <v>41973</v>
      </c>
    </row>
    <row r="913" spans="1:3">
      <c r="A913" t="s">
        <v>168</v>
      </c>
      <c r="B913">
        <v>12.0925179920664</v>
      </c>
      <c r="C913" s="1">
        <v>41973</v>
      </c>
    </row>
    <row r="914" spans="1:3">
      <c r="A914" t="s">
        <v>4</v>
      </c>
      <c r="B914">
        <v>0.16769313884454001</v>
      </c>
      <c r="C914" s="1">
        <v>42004</v>
      </c>
    </row>
    <row r="915" spans="1:3">
      <c r="A915" t="s">
        <v>8</v>
      </c>
      <c r="B915">
        <v>16.380334954144502</v>
      </c>
      <c r="C915" s="1">
        <v>42004</v>
      </c>
    </row>
    <row r="916" spans="1:3">
      <c r="A916" t="s">
        <v>11</v>
      </c>
      <c r="B916">
        <v>54.629929767912003</v>
      </c>
      <c r="C916" s="1">
        <v>42004</v>
      </c>
    </row>
    <row r="917" spans="1:3">
      <c r="A917" t="s">
        <v>14</v>
      </c>
      <c r="B917">
        <v>8.3993517018164692</v>
      </c>
      <c r="C917" s="1">
        <v>42004</v>
      </c>
    </row>
    <row r="918" spans="1:3">
      <c r="A918" t="s">
        <v>17</v>
      </c>
      <c r="B918">
        <v>9.0761750405550004</v>
      </c>
      <c r="C918" s="1">
        <v>42004</v>
      </c>
    </row>
    <row r="919" spans="1:3">
      <c r="A919" t="s">
        <v>20</v>
      </c>
      <c r="B919">
        <v>1.9016747704020001</v>
      </c>
      <c r="C919" s="1">
        <v>42004</v>
      </c>
    </row>
    <row r="920" spans="1:3">
      <c r="A920" t="s">
        <v>24</v>
      </c>
      <c r="B920">
        <v>2.5067531064390001</v>
      </c>
      <c r="C920" s="1">
        <v>42004</v>
      </c>
    </row>
    <row r="921" spans="1:3">
      <c r="A921" t="s">
        <v>27</v>
      </c>
      <c r="B921">
        <v>18.613074014121</v>
      </c>
      <c r="C921" s="1">
        <v>42004</v>
      </c>
    </row>
    <row r="922" spans="1:3">
      <c r="A922" t="s">
        <v>29</v>
      </c>
      <c r="B922">
        <v>3.6961642355631601</v>
      </c>
      <c r="C922" s="1">
        <v>42004</v>
      </c>
    </row>
    <row r="923" spans="1:3">
      <c r="A923" t="s">
        <v>32</v>
      </c>
      <c r="B923">
        <v>11.1014586710331</v>
      </c>
      <c r="C923" s="1">
        <v>42004</v>
      </c>
    </row>
    <row r="924" spans="1:3">
      <c r="A924" t="s">
        <v>35</v>
      </c>
      <c r="B924">
        <v>4.2355483522590003</v>
      </c>
      <c r="C924" s="1">
        <v>42004</v>
      </c>
    </row>
    <row r="925" spans="1:3">
      <c r="A925" t="s">
        <v>37</v>
      </c>
      <c r="B925">
        <v>0.76066990816080005</v>
      </c>
      <c r="C925" s="1">
        <v>42004</v>
      </c>
    </row>
    <row r="926" spans="1:3">
      <c r="A926" t="s">
        <v>39</v>
      </c>
      <c r="B926">
        <v>1.8973527822874501</v>
      </c>
      <c r="C926" s="1">
        <v>42004</v>
      </c>
    </row>
    <row r="927" spans="1:3">
      <c r="A927" t="s">
        <v>42</v>
      </c>
      <c r="B927">
        <v>1.4677471637011801</v>
      </c>
      <c r="C927" s="1">
        <v>42004</v>
      </c>
    </row>
    <row r="928" spans="1:3">
      <c r="A928" t="s">
        <v>44</v>
      </c>
      <c r="B928">
        <v>8.9465153971184996</v>
      </c>
      <c r="C928" s="1">
        <v>42004</v>
      </c>
    </row>
    <row r="929" spans="1:3">
      <c r="A929" t="s">
        <v>47</v>
      </c>
      <c r="B929">
        <v>10.459211237211001</v>
      </c>
      <c r="C929" s="1">
        <v>42004</v>
      </c>
    </row>
    <row r="930" spans="1:3">
      <c r="A930" t="s">
        <v>49</v>
      </c>
      <c r="B930">
        <v>13.947920043275699</v>
      </c>
      <c r="C930" s="1">
        <v>42004</v>
      </c>
    </row>
    <row r="931" spans="1:3">
      <c r="A931" t="s">
        <v>51</v>
      </c>
      <c r="B931">
        <v>1.5559157212379999</v>
      </c>
      <c r="C931" s="1">
        <v>42004</v>
      </c>
    </row>
    <row r="932" spans="1:3">
      <c r="A932" t="s">
        <v>53</v>
      </c>
      <c r="B932">
        <v>1.49713668288012</v>
      </c>
      <c r="C932" s="1">
        <v>42004</v>
      </c>
    </row>
    <row r="933" spans="1:3">
      <c r="A933" t="s">
        <v>55</v>
      </c>
      <c r="B933">
        <v>9.9544030254315601</v>
      </c>
      <c r="C933" s="1">
        <v>42004</v>
      </c>
    </row>
    <row r="934" spans="1:3">
      <c r="A934" t="s">
        <v>57</v>
      </c>
      <c r="B934">
        <v>6.0507833603699996</v>
      </c>
      <c r="C934" s="1">
        <v>42004</v>
      </c>
    </row>
    <row r="935" spans="1:3">
      <c r="A935" t="s">
        <v>59</v>
      </c>
      <c r="B935">
        <v>7.2600756348210904</v>
      </c>
      <c r="C935" s="1">
        <v>42004</v>
      </c>
    </row>
    <row r="936" spans="1:3">
      <c r="A936" t="s">
        <v>61</v>
      </c>
      <c r="B936">
        <v>29.389519178939999</v>
      </c>
      <c r="C936" s="1">
        <v>42004</v>
      </c>
    </row>
    <row r="937" spans="1:3">
      <c r="A937" t="s">
        <v>63</v>
      </c>
      <c r="B937">
        <v>15.1183144246959</v>
      </c>
      <c r="C937" s="1">
        <v>42004</v>
      </c>
    </row>
    <row r="938" spans="1:3">
      <c r="A938" t="s">
        <v>65</v>
      </c>
      <c r="B938">
        <v>0.92490545651370004</v>
      </c>
      <c r="C938" s="1">
        <v>42004</v>
      </c>
    </row>
    <row r="939" spans="1:3">
      <c r="A939" t="s">
        <v>67</v>
      </c>
      <c r="B939">
        <v>9.6293895192173995</v>
      </c>
      <c r="C939" s="1">
        <v>42004</v>
      </c>
    </row>
    <row r="940" spans="1:3">
      <c r="A940" t="s">
        <v>69</v>
      </c>
      <c r="B940">
        <v>6.6800648298484804</v>
      </c>
      <c r="C940" s="1">
        <v>42004</v>
      </c>
    </row>
    <row r="941" spans="1:3">
      <c r="A941" t="s">
        <v>71</v>
      </c>
      <c r="B941">
        <v>0.75202593193169998</v>
      </c>
      <c r="C941" s="1">
        <v>42004</v>
      </c>
    </row>
    <row r="942" spans="1:3">
      <c r="A942" t="s">
        <v>73</v>
      </c>
      <c r="B942">
        <v>3.2803889789434502</v>
      </c>
      <c r="C942" s="1">
        <v>42004</v>
      </c>
    </row>
    <row r="943" spans="1:3">
      <c r="A943" t="s">
        <v>75</v>
      </c>
      <c r="B943">
        <v>0.41318206375097999</v>
      </c>
      <c r="C943" s="1">
        <v>42004</v>
      </c>
    </row>
    <row r="944" spans="1:3">
      <c r="A944" t="s">
        <v>77</v>
      </c>
      <c r="B944">
        <v>2.3762290653795901</v>
      </c>
      <c r="C944" s="1">
        <v>42004</v>
      </c>
    </row>
    <row r="945" spans="1:3">
      <c r="A945" t="s">
        <v>79</v>
      </c>
      <c r="B945">
        <v>9.9716909778897609</v>
      </c>
      <c r="C945" s="1">
        <v>42004</v>
      </c>
    </row>
    <row r="946" spans="1:3">
      <c r="A946" t="s">
        <v>81</v>
      </c>
      <c r="B946">
        <v>10.438465694261099</v>
      </c>
      <c r="C946" s="1">
        <v>42004</v>
      </c>
    </row>
    <row r="947" spans="1:3">
      <c r="A947" t="s">
        <v>83</v>
      </c>
      <c r="B947">
        <v>0.42355483522589998</v>
      </c>
      <c r="C947" s="1">
        <v>42004</v>
      </c>
    </row>
    <row r="948" spans="1:3">
      <c r="A948" t="s">
        <v>85</v>
      </c>
      <c r="B948">
        <v>8.4278768233725003</v>
      </c>
      <c r="C948" s="1">
        <v>42004</v>
      </c>
    </row>
    <row r="949" spans="1:3">
      <c r="A949" t="s">
        <v>87</v>
      </c>
      <c r="B949">
        <v>35.094543490146002</v>
      </c>
      <c r="C949" s="1">
        <v>42004</v>
      </c>
    </row>
    <row r="950" spans="1:3">
      <c r="A950" t="s">
        <v>89</v>
      </c>
      <c r="B950">
        <v>12.879524581359</v>
      </c>
      <c r="C950" s="1">
        <v>42004</v>
      </c>
    </row>
    <row r="951" spans="1:3">
      <c r="A951" t="s">
        <v>91</v>
      </c>
      <c r="B951">
        <v>18.584548892565</v>
      </c>
      <c r="C951" s="1">
        <v>42004</v>
      </c>
    </row>
    <row r="952" spans="1:3">
      <c r="A952" t="s">
        <v>93</v>
      </c>
      <c r="B952">
        <v>14.1934089681821</v>
      </c>
      <c r="C952" s="1">
        <v>42004</v>
      </c>
    </row>
    <row r="953" spans="1:3">
      <c r="A953" t="s">
        <v>95</v>
      </c>
      <c r="B953">
        <v>1.9362506753183999</v>
      </c>
      <c r="C953" s="1">
        <v>42004</v>
      </c>
    </row>
    <row r="954" spans="1:3">
      <c r="A954" t="s">
        <v>97</v>
      </c>
      <c r="B954">
        <v>15.645596974670999</v>
      </c>
      <c r="C954" s="1">
        <v>42004</v>
      </c>
    </row>
    <row r="955" spans="1:3">
      <c r="A955" t="s">
        <v>99</v>
      </c>
      <c r="B955">
        <v>9.0640734738342594</v>
      </c>
      <c r="C955" s="1">
        <v>42004</v>
      </c>
    </row>
    <row r="956" spans="1:3">
      <c r="A956" t="s">
        <v>101</v>
      </c>
      <c r="B956">
        <v>8.3760129659978997</v>
      </c>
      <c r="C956" s="1">
        <v>42004</v>
      </c>
    </row>
    <row r="957" spans="1:3">
      <c r="A957" t="s">
        <v>103</v>
      </c>
      <c r="B957">
        <v>1.6769313884454</v>
      </c>
      <c r="C957" s="1">
        <v>42004</v>
      </c>
    </row>
    <row r="958" spans="1:3">
      <c r="A958" t="s">
        <v>105</v>
      </c>
      <c r="B958">
        <v>2.3770934630024998</v>
      </c>
      <c r="C958" s="1">
        <v>42004</v>
      </c>
    </row>
    <row r="959" spans="1:3">
      <c r="A959" t="s">
        <v>107</v>
      </c>
      <c r="B959">
        <v>11.142085359309901</v>
      </c>
      <c r="C959" s="1">
        <v>42004</v>
      </c>
    </row>
    <row r="960" spans="1:3">
      <c r="A960" t="s">
        <v>109</v>
      </c>
      <c r="B960">
        <v>1.8679632631085099</v>
      </c>
      <c r="C960" s="1">
        <v>42004</v>
      </c>
    </row>
    <row r="961" spans="1:3">
      <c r="A961" t="s">
        <v>111</v>
      </c>
      <c r="B961">
        <v>11.567368989781601</v>
      </c>
      <c r="C961" s="1">
        <v>42004</v>
      </c>
    </row>
    <row r="962" spans="1:3">
      <c r="A962" t="s">
        <v>113</v>
      </c>
      <c r="B962">
        <v>11.5172339276528</v>
      </c>
      <c r="C962" s="1">
        <v>42004</v>
      </c>
    </row>
    <row r="963" spans="1:3">
      <c r="A963" t="s">
        <v>115</v>
      </c>
      <c r="B963">
        <v>6.6645056726360998</v>
      </c>
      <c r="C963" s="1">
        <v>42004</v>
      </c>
    </row>
    <row r="964" spans="1:3">
      <c r="A964" t="s">
        <v>117</v>
      </c>
      <c r="B964">
        <v>4.5484602917524199</v>
      </c>
      <c r="C964" s="1">
        <v>42004</v>
      </c>
    </row>
    <row r="965" spans="1:3">
      <c r="A965" t="s">
        <v>119</v>
      </c>
      <c r="B965">
        <v>20.736898973610899</v>
      </c>
      <c r="C965" s="1">
        <v>42004</v>
      </c>
    </row>
    <row r="966" spans="1:3">
      <c r="A966" t="s">
        <v>121</v>
      </c>
      <c r="B966">
        <v>21.954835224290999</v>
      </c>
      <c r="C966" s="1">
        <v>42004</v>
      </c>
    </row>
    <row r="967" spans="1:3">
      <c r="A967" t="s">
        <v>123</v>
      </c>
      <c r="B967">
        <v>6.0507833603699996</v>
      </c>
      <c r="C967" s="1">
        <v>42004</v>
      </c>
    </row>
    <row r="968" spans="1:3">
      <c r="A968" t="s">
        <v>125</v>
      </c>
      <c r="B968">
        <v>130.96661264233899</v>
      </c>
      <c r="C968" s="1">
        <v>42004</v>
      </c>
    </row>
    <row r="969" spans="1:3">
      <c r="A969" t="s">
        <v>127</v>
      </c>
      <c r="B969">
        <v>19.138627768850299</v>
      </c>
      <c r="C969" s="1">
        <v>42004</v>
      </c>
    </row>
    <row r="970" spans="1:3">
      <c r="A970" t="s">
        <v>129</v>
      </c>
      <c r="B970">
        <v>4.3712587790558697</v>
      </c>
      <c r="C970" s="1">
        <v>42004</v>
      </c>
    </row>
    <row r="971" spans="1:3">
      <c r="A971" t="s">
        <v>131</v>
      </c>
      <c r="B971">
        <v>4.8146947596086997</v>
      </c>
      <c r="C971" s="1">
        <v>42004</v>
      </c>
    </row>
    <row r="972" spans="1:3">
      <c r="A972" t="s">
        <v>134</v>
      </c>
      <c r="B972">
        <v>2.9562398703522001</v>
      </c>
      <c r="C972" s="1">
        <v>42004</v>
      </c>
    </row>
    <row r="973" spans="1:3">
      <c r="A973" t="s">
        <v>136</v>
      </c>
      <c r="B973">
        <v>14.542625607837801</v>
      </c>
      <c r="C973" s="1">
        <v>42004</v>
      </c>
    </row>
    <row r="974" spans="1:3">
      <c r="A974" t="s">
        <v>138</v>
      </c>
      <c r="B974">
        <v>26.267314964989001</v>
      </c>
      <c r="C974" s="1">
        <v>42004</v>
      </c>
    </row>
    <row r="975" spans="1:3">
      <c r="A975" t="s">
        <v>140</v>
      </c>
      <c r="B975">
        <v>7.0016207455709996</v>
      </c>
      <c r="C975" s="1">
        <v>42004</v>
      </c>
    </row>
    <row r="976" spans="1:3">
      <c r="A976" t="s">
        <v>142</v>
      </c>
      <c r="B976">
        <v>8.4278768233725003</v>
      </c>
      <c r="C976" s="1">
        <v>42004</v>
      </c>
    </row>
    <row r="977" spans="1:3">
      <c r="A977" t="s">
        <v>144</v>
      </c>
      <c r="B977">
        <v>5.2468935710637004</v>
      </c>
      <c r="C977" s="1">
        <v>42004</v>
      </c>
    </row>
    <row r="978" spans="1:3">
      <c r="A978" t="s">
        <v>146</v>
      </c>
      <c r="B978">
        <v>3.6477579686802</v>
      </c>
      <c r="C978" s="1">
        <v>42004</v>
      </c>
    </row>
    <row r="979" spans="1:3">
      <c r="A979" t="s">
        <v>148</v>
      </c>
      <c r="B979">
        <v>12.4023770935126</v>
      </c>
      <c r="C979" s="1">
        <v>42004</v>
      </c>
    </row>
    <row r="980" spans="1:3">
      <c r="A980" t="s">
        <v>150</v>
      </c>
      <c r="B980">
        <v>6.7509454349271003</v>
      </c>
      <c r="C980" s="1">
        <v>42004</v>
      </c>
    </row>
    <row r="981" spans="1:3">
      <c r="A981" t="s">
        <v>152</v>
      </c>
      <c r="B981">
        <v>8.7909238249946995</v>
      </c>
      <c r="C981" s="1">
        <v>42004</v>
      </c>
    </row>
    <row r="982" spans="1:3">
      <c r="A982" t="s">
        <v>154</v>
      </c>
      <c r="B982">
        <v>31.815018908825401</v>
      </c>
      <c r="C982" s="1">
        <v>42004</v>
      </c>
    </row>
    <row r="983" spans="1:3">
      <c r="A983" t="s">
        <v>156</v>
      </c>
      <c r="B983">
        <v>37.256401945043898</v>
      </c>
      <c r="C983" s="1">
        <v>42004</v>
      </c>
    </row>
    <row r="984" spans="1:3">
      <c r="A984" t="s">
        <v>158</v>
      </c>
      <c r="B984">
        <v>29.486331712705901</v>
      </c>
      <c r="C984" s="1">
        <v>42004</v>
      </c>
    </row>
    <row r="985" spans="1:3">
      <c r="A985" t="s">
        <v>160</v>
      </c>
      <c r="B985">
        <v>21.523500810459002</v>
      </c>
      <c r="C985" s="1">
        <v>42004</v>
      </c>
    </row>
    <row r="986" spans="1:3">
      <c r="A986" t="s">
        <v>162</v>
      </c>
      <c r="B986">
        <v>6.5504051864119797</v>
      </c>
      <c r="C986" s="1">
        <v>42004</v>
      </c>
    </row>
    <row r="987" spans="1:3">
      <c r="A987" t="s">
        <v>164</v>
      </c>
      <c r="B987">
        <v>4.5216639654422099</v>
      </c>
      <c r="C987" s="1">
        <v>42004</v>
      </c>
    </row>
    <row r="988" spans="1:3">
      <c r="A988" t="s">
        <v>166</v>
      </c>
      <c r="B988">
        <v>8.2757428417403407</v>
      </c>
      <c r="C988" s="1">
        <v>42004</v>
      </c>
    </row>
    <row r="989" spans="1:3">
      <c r="A989" t="s">
        <v>168</v>
      </c>
      <c r="B989">
        <v>10.286331712629</v>
      </c>
      <c r="C989" s="1">
        <v>42004</v>
      </c>
    </row>
    <row r="990" spans="1:3">
      <c r="A990" t="s">
        <v>4</v>
      </c>
      <c r="B990">
        <v>0.17367380276765901</v>
      </c>
      <c r="C990" s="1">
        <v>42035</v>
      </c>
    </row>
    <row r="991" spans="1:3">
      <c r="A991" t="s">
        <v>8</v>
      </c>
      <c r="B991">
        <v>18.030263949705901</v>
      </c>
      <c r="C991" s="1">
        <v>42035</v>
      </c>
    </row>
    <row r="992" spans="1:3">
      <c r="A992" t="s">
        <v>11</v>
      </c>
      <c r="B992">
        <v>56.710515002746703</v>
      </c>
      <c r="C992" s="1">
        <v>42035</v>
      </c>
    </row>
    <row r="993" spans="1:3">
      <c r="A993" t="s">
        <v>14</v>
      </c>
      <c r="B993">
        <v>8.4807841113871199</v>
      </c>
      <c r="C993" s="1">
        <v>42035</v>
      </c>
    </row>
    <row r="994" spans="1:3">
      <c r="A994" t="s">
        <v>17</v>
      </c>
      <c r="B994">
        <v>8.2942137391070094</v>
      </c>
      <c r="C994" s="1">
        <v>42035</v>
      </c>
    </row>
    <row r="995" spans="1:3">
      <c r="A995" t="s">
        <v>20</v>
      </c>
      <c r="B995">
        <v>1.9585590232907399</v>
      </c>
      <c r="C995" s="1">
        <v>42035</v>
      </c>
    </row>
    <row r="996" spans="1:3">
      <c r="A996" t="s">
        <v>24</v>
      </c>
      <c r="B996">
        <v>3.0177972659133001</v>
      </c>
      <c r="C996" s="1">
        <v>42035</v>
      </c>
    </row>
    <row r="997" spans="1:3">
      <c r="A997" t="s">
        <v>27</v>
      </c>
      <c r="B997">
        <v>16.851517496267999</v>
      </c>
      <c r="C997" s="1">
        <v>42035</v>
      </c>
    </row>
    <row r="998" spans="1:3">
      <c r="A998" t="s">
        <v>29</v>
      </c>
      <c r="B998">
        <v>3.7400051586104999</v>
      </c>
      <c r="C998" s="1">
        <v>42035</v>
      </c>
    </row>
    <row r="999" spans="1:3">
      <c r="A999" t="s">
        <v>32</v>
      </c>
      <c r="B999">
        <v>11.5536067405535</v>
      </c>
      <c r="C999" s="1">
        <v>42035</v>
      </c>
    </row>
    <row r="1000" spans="1:3">
      <c r="A1000" t="s">
        <v>35</v>
      </c>
      <c r="B1000">
        <v>3.70561430657729</v>
      </c>
      <c r="C1000" s="1">
        <v>42035</v>
      </c>
    </row>
    <row r="1001" spans="1:3">
      <c r="A1001" t="s">
        <v>37</v>
      </c>
      <c r="B1001">
        <v>0.72994583440466998</v>
      </c>
      <c r="C1001" s="1">
        <v>42035</v>
      </c>
    </row>
    <row r="1002" spans="1:3">
      <c r="A1002" t="s">
        <v>39</v>
      </c>
      <c r="B1002">
        <v>1.7487748258882101</v>
      </c>
      <c r="C1002" s="1">
        <v>42035</v>
      </c>
    </row>
    <row r="1003" spans="1:3">
      <c r="A1003" t="s">
        <v>42</v>
      </c>
      <c r="B1003">
        <v>1.43581807238609</v>
      </c>
      <c r="C1003" s="1">
        <v>42035</v>
      </c>
    </row>
    <row r="1004" spans="1:3">
      <c r="A1004" t="s">
        <v>44</v>
      </c>
      <c r="B1004">
        <v>8.9149686183062595</v>
      </c>
      <c r="C1004" s="1">
        <v>42035</v>
      </c>
    </row>
    <row r="1005" spans="1:3">
      <c r="A1005" t="s">
        <v>47</v>
      </c>
      <c r="B1005">
        <v>10.516722551752499</v>
      </c>
      <c r="C1005" s="1">
        <v>42035</v>
      </c>
    </row>
    <row r="1006" spans="1:3">
      <c r="A1006" t="s">
        <v>49</v>
      </c>
      <c r="B1006">
        <v>15.861920729012599</v>
      </c>
      <c r="C1006" s="1">
        <v>42035</v>
      </c>
    </row>
    <row r="1007" spans="1:3">
      <c r="A1007" t="s">
        <v>51</v>
      </c>
      <c r="B1007">
        <v>1.6971885478384101</v>
      </c>
      <c r="C1007" s="1">
        <v>42035</v>
      </c>
    </row>
    <row r="1008" spans="1:3">
      <c r="A1008" t="s">
        <v>53</v>
      </c>
      <c r="B1008">
        <v>1.6550597540977401</v>
      </c>
      <c r="C1008" s="1">
        <v>42035</v>
      </c>
    </row>
    <row r="1009" spans="1:3">
      <c r="A1009" t="s">
        <v>55</v>
      </c>
      <c r="B1009">
        <v>8.8986329635904902</v>
      </c>
      <c r="C1009" s="1">
        <v>42035</v>
      </c>
    </row>
    <row r="1010" spans="1:3">
      <c r="A1010" t="s">
        <v>57</v>
      </c>
      <c r="B1010">
        <v>5.9926059667851002</v>
      </c>
      <c r="C1010" s="1">
        <v>42035</v>
      </c>
    </row>
    <row r="1011" spans="1:3">
      <c r="A1011" t="s">
        <v>59</v>
      </c>
      <c r="B1011">
        <v>7.5943599002313897</v>
      </c>
      <c r="C1011" s="1">
        <v>42035</v>
      </c>
    </row>
    <row r="1012" spans="1:3">
      <c r="A1012" t="s">
        <v>61</v>
      </c>
      <c r="B1012">
        <v>32.929240821789001</v>
      </c>
      <c r="C1012" s="1">
        <v>42035</v>
      </c>
    </row>
    <row r="1013" spans="1:3">
      <c r="A1013" t="s">
        <v>63</v>
      </c>
      <c r="B1013">
        <v>16.937494626351</v>
      </c>
      <c r="C1013" s="1">
        <v>42035</v>
      </c>
    </row>
    <row r="1014" spans="1:3">
      <c r="A1014" t="s">
        <v>65</v>
      </c>
      <c r="B1014">
        <v>0.98013928294620001</v>
      </c>
      <c r="C1014" s="1">
        <v>42035</v>
      </c>
    </row>
    <row r="1015" spans="1:3">
      <c r="A1015" t="s">
        <v>67</v>
      </c>
      <c r="B1015">
        <v>9.9131630985698997</v>
      </c>
      <c r="C1015" s="1">
        <v>42035</v>
      </c>
    </row>
    <row r="1016" spans="1:3">
      <c r="A1016" t="s">
        <v>69</v>
      </c>
      <c r="B1016">
        <v>6.9641475367229999</v>
      </c>
      <c r="C1016" s="1">
        <v>42035</v>
      </c>
    </row>
    <row r="1017" spans="1:3">
      <c r="A1017" t="s">
        <v>71</v>
      </c>
      <c r="B1017">
        <v>0.79098959676359903</v>
      </c>
      <c r="C1017" s="1">
        <v>42035</v>
      </c>
    </row>
    <row r="1018" spans="1:3">
      <c r="A1018" t="s">
        <v>73</v>
      </c>
      <c r="B1018">
        <v>3.33677241852123</v>
      </c>
      <c r="C1018" s="1">
        <v>42035</v>
      </c>
    </row>
    <row r="1019" spans="1:3">
      <c r="A1019" t="s">
        <v>75</v>
      </c>
      <c r="B1019">
        <v>0.4470810764316</v>
      </c>
      <c r="C1019" s="1">
        <v>42035</v>
      </c>
    </row>
    <row r="1020" spans="1:3">
      <c r="A1020" t="s">
        <v>77</v>
      </c>
      <c r="B1020">
        <v>2.5191299114318899</v>
      </c>
      <c r="C1020" s="1">
        <v>42035</v>
      </c>
    </row>
    <row r="1021" spans="1:3">
      <c r="A1021" t="s">
        <v>79</v>
      </c>
      <c r="B1021">
        <v>9.5305648697005392</v>
      </c>
      <c r="C1021" s="1">
        <v>42035</v>
      </c>
    </row>
    <row r="1022" spans="1:3">
      <c r="A1022" t="s">
        <v>81</v>
      </c>
      <c r="B1022">
        <v>10.360244175001499</v>
      </c>
      <c r="C1022" s="1">
        <v>42035</v>
      </c>
    </row>
    <row r="1023" spans="1:3">
      <c r="A1023" t="s">
        <v>83</v>
      </c>
      <c r="B1023">
        <v>0.43590404952081002</v>
      </c>
      <c r="C1023" s="1">
        <v>42035</v>
      </c>
    </row>
    <row r="1024" spans="1:3">
      <c r="A1024" t="s">
        <v>85</v>
      </c>
      <c r="B1024">
        <v>9.0963803627813995</v>
      </c>
      <c r="C1024" s="1">
        <v>42035</v>
      </c>
    </row>
    <row r="1025" spans="1:3">
      <c r="A1025" t="s">
        <v>87</v>
      </c>
      <c r="B1025">
        <v>37.710429025704599</v>
      </c>
      <c r="C1025" s="1">
        <v>42035</v>
      </c>
    </row>
    <row r="1026" spans="1:3">
      <c r="A1026" t="s">
        <v>89</v>
      </c>
      <c r="B1026">
        <v>13.059926059607699</v>
      </c>
      <c r="C1026" s="1">
        <v>42035</v>
      </c>
    </row>
    <row r="1027" spans="1:3">
      <c r="A1027" t="s">
        <v>91</v>
      </c>
      <c r="B1027">
        <v>19.624279941444701</v>
      </c>
      <c r="C1027" s="1">
        <v>42035</v>
      </c>
    </row>
    <row r="1028" spans="1:3">
      <c r="A1028" t="s">
        <v>93</v>
      </c>
      <c r="B1028">
        <v>15.991746195437999</v>
      </c>
      <c r="C1028" s="1">
        <v>42035</v>
      </c>
    </row>
    <row r="1029" spans="1:3">
      <c r="A1029" t="s">
        <v>95</v>
      </c>
      <c r="B1029">
        <v>1.56478376751059</v>
      </c>
      <c r="C1029" s="1">
        <v>42035</v>
      </c>
    </row>
    <row r="1030" spans="1:3">
      <c r="A1030" t="s">
        <v>97</v>
      </c>
      <c r="B1030">
        <v>14.678875419070501</v>
      </c>
      <c r="C1030" s="1">
        <v>42035</v>
      </c>
    </row>
    <row r="1031" spans="1:3">
      <c r="A1031" t="s">
        <v>99</v>
      </c>
      <c r="B1031">
        <v>9.2855300489639898</v>
      </c>
      <c r="C1031" s="1">
        <v>42035</v>
      </c>
    </row>
    <row r="1032" spans="1:3">
      <c r="A1032" t="s">
        <v>101</v>
      </c>
      <c r="B1032">
        <v>10.1255266098749</v>
      </c>
      <c r="C1032" s="1">
        <v>42035</v>
      </c>
    </row>
    <row r="1033" spans="1:3">
      <c r="A1033" t="s">
        <v>103</v>
      </c>
      <c r="B1033">
        <v>1.5260940589732499</v>
      </c>
      <c r="C1033" s="1">
        <v>42035</v>
      </c>
    </row>
    <row r="1034" spans="1:3">
      <c r="A1034" t="s">
        <v>105</v>
      </c>
      <c r="B1034">
        <v>1.83991058377619</v>
      </c>
      <c r="C1034" s="1">
        <v>42035</v>
      </c>
    </row>
    <row r="1035" spans="1:3">
      <c r="A1035" t="s">
        <v>107</v>
      </c>
      <c r="B1035">
        <v>11.17702691079</v>
      </c>
      <c r="C1035" s="1">
        <v>42035</v>
      </c>
    </row>
    <row r="1036" spans="1:3">
      <c r="A1036" t="s">
        <v>109</v>
      </c>
      <c r="B1036">
        <v>2.9352592210336099</v>
      </c>
      <c r="C1036" s="1">
        <v>42035</v>
      </c>
    </row>
    <row r="1037" spans="1:3">
      <c r="A1037" t="s">
        <v>111</v>
      </c>
      <c r="B1037">
        <v>10.755738973383201</v>
      </c>
      <c r="C1037" s="1">
        <v>42035</v>
      </c>
    </row>
    <row r="1038" spans="1:3">
      <c r="A1038" t="s">
        <v>113</v>
      </c>
      <c r="B1038">
        <v>14.414065858414901</v>
      </c>
      <c r="C1038" s="1">
        <v>42035</v>
      </c>
    </row>
    <row r="1039" spans="1:3">
      <c r="A1039" t="s">
        <v>115</v>
      </c>
      <c r="B1039">
        <v>7.4714126042127003</v>
      </c>
      <c r="C1039" s="1">
        <v>42035</v>
      </c>
    </row>
    <row r="1040" spans="1:3">
      <c r="A1040" t="s">
        <v>117</v>
      </c>
      <c r="B1040">
        <v>4.9462642936749797</v>
      </c>
      <c r="C1040" s="1">
        <v>42035</v>
      </c>
    </row>
    <row r="1041" spans="1:3">
      <c r="A1041" t="s">
        <v>119</v>
      </c>
      <c r="B1041">
        <v>19.319061129650098</v>
      </c>
      <c r="C1041" s="1">
        <v>42035</v>
      </c>
    </row>
    <row r="1042" spans="1:3">
      <c r="A1042" t="s">
        <v>121</v>
      </c>
      <c r="B1042">
        <v>23.2783079699722</v>
      </c>
      <c r="C1042" s="1">
        <v>42035</v>
      </c>
    </row>
    <row r="1043" spans="1:3">
      <c r="A1043" t="s">
        <v>123</v>
      </c>
      <c r="B1043">
        <v>6.0381738457290899</v>
      </c>
      <c r="C1043" s="1">
        <v>42035</v>
      </c>
    </row>
    <row r="1044" spans="1:3">
      <c r="A1044" t="s">
        <v>125</v>
      </c>
      <c r="B1044">
        <v>145.97627031142099</v>
      </c>
      <c r="C1044" s="1">
        <v>42035</v>
      </c>
    </row>
    <row r="1045" spans="1:3">
      <c r="A1045" t="s">
        <v>127</v>
      </c>
      <c r="B1045">
        <v>17.373398675871801</v>
      </c>
      <c r="C1045" s="1">
        <v>42035</v>
      </c>
    </row>
    <row r="1046" spans="1:3">
      <c r="A1046" t="s">
        <v>129</v>
      </c>
      <c r="B1046">
        <v>4.4776889347226296</v>
      </c>
      <c r="C1046" s="1">
        <v>42035</v>
      </c>
    </row>
    <row r="1047" spans="1:3">
      <c r="A1047" t="s">
        <v>131</v>
      </c>
      <c r="B1047">
        <v>5.0468575358720997</v>
      </c>
      <c r="C1047" s="1">
        <v>42035</v>
      </c>
    </row>
    <row r="1048" spans="1:3">
      <c r="A1048" t="s">
        <v>134</v>
      </c>
      <c r="B1048">
        <v>2.9438569340419201</v>
      </c>
      <c r="C1048" s="1">
        <v>42035</v>
      </c>
    </row>
    <row r="1049" spans="1:3">
      <c r="A1049" t="s">
        <v>136</v>
      </c>
      <c r="B1049">
        <v>15.8971713523467</v>
      </c>
      <c r="C1049" s="1">
        <v>42035</v>
      </c>
    </row>
    <row r="1050" spans="1:3">
      <c r="A1050" t="s">
        <v>138</v>
      </c>
      <c r="B1050">
        <v>27.7766314159148</v>
      </c>
      <c r="C1050" s="1">
        <v>42035</v>
      </c>
    </row>
    <row r="1051" spans="1:3">
      <c r="A1051" t="s">
        <v>140</v>
      </c>
      <c r="B1051">
        <v>7.7654543890965497</v>
      </c>
      <c r="C1051" s="1">
        <v>42035</v>
      </c>
    </row>
    <row r="1052" spans="1:3">
      <c r="A1052" t="s">
        <v>142</v>
      </c>
      <c r="B1052">
        <v>8.4386553176464503</v>
      </c>
      <c r="C1052" s="1">
        <v>42035</v>
      </c>
    </row>
    <row r="1053" spans="1:3">
      <c r="A1053" t="s">
        <v>144</v>
      </c>
      <c r="B1053">
        <v>5.3890465136024304</v>
      </c>
      <c r="C1053" s="1">
        <v>42035</v>
      </c>
    </row>
    <row r="1054" spans="1:3">
      <c r="A1054" t="s">
        <v>146</v>
      </c>
      <c r="B1054">
        <v>4.1269022439839897</v>
      </c>
      <c r="C1054" s="1">
        <v>42035</v>
      </c>
    </row>
    <row r="1055" spans="1:3">
      <c r="A1055" t="s">
        <v>148</v>
      </c>
      <c r="B1055">
        <v>13.2937838534334</v>
      </c>
      <c r="C1055" s="1">
        <v>42035</v>
      </c>
    </row>
    <row r="1056" spans="1:3">
      <c r="A1056" t="s">
        <v>150</v>
      </c>
      <c r="B1056">
        <v>7.2951594875425396</v>
      </c>
      <c r="C1056" s="1">
        <v>42035</v>
      </c>
    </row>
    <row r="1057" spans="1:3">
      <c r="A1057" t="s">
        <v>152</v>
      </c>
      <c r="B1057">
        <v>11.760811624053501</v>
      </c>
      <c r="C1057" s="1">
        <v>42035</v>
      </c>
    </row>
    <row r="1058" spans="1:3">
      <c r="A1058" t="s">
        <v>154</v>
      </c>
      <c r="B1058">
        <v>33.890465136116902</v>
      </c>
      <c r="C1058" s="1">
        <v>42035</v>
      </c>
    </row>
    <row r="1059" spans="1:3">
      <c r="A1059" t="s">
        <v>156</v>
      </c>
      <c r="B1059">
        <v>36.214426962260397</v>
      </c>
      <c r="C1059" s="1">
        <v>42035</v>
      </c>
    </row>
    <row r="1060" spans="1:3">
      <c r="A1060" t="s">
        <v>158</v>
      </c>
      <c r="B1060">
        <v>30.693835439630998</v>
      </c>
      <c r="C1060" s="1">
        <v>42035</v>
      </c>
    </row>
    <row r="1061" spans="1:3">
      <c r="A1061" t="s">
        <v>160</v>
      </c>
      <c r="B1061">
        <v>22.051414323687801</v>
      </c>
      <c r="C1061" s="1">
        <v>42035</v>
      </c>
    </row>
    <row r="1062" spans="1:3">
      <c r="A1062" t="s">
        <v>162</v>
      </c>
      <c r="B1062">
        <v>6.5127676037872497</v>
      </c>
      <c r="C1062" s="1">
        <v>42035</v>
      </c>
    </row>
    <row r="1063" spans="1:3">
      <c r="A1063" t="s">
        <v>164</v>
      </c>
      <c r="B1063">
        <v>5.6108675092165798</v>
      </c>
      <c r="C1063" s="1">
        <v>42035</v>
      </c>
    </row>
    <row r="1064" spans="1:3">
      <c r="A1064" t="s">
        <v>166</v>
      </c>
      <c r="B1064">
        <v>7.5866219585239101</v>
      </c>
      <c r="C1064" s="1">
        <v>42035</v>
      </c>
    </row>
    <row r="1065" spans="1:3">
      <c r="A1065" t="s">
        <v>168</v>
      </c>
      <c r="B1065">
        <v>10.1315450089807</v>
      </c>
      <c r="C1065" s="1">
        <v>42035</v>
      </c>
    </row>
    <row r="1066" spans="1:3">
      <c r="A1066" t="s">
        <v>4</v>
      </c>
      <c r="B1066">
        <v>0.18707628936647999</v>
      </c>
      <c r="C1066" s="1">
        <v>42063</v>
      </c>
    </row>
    <row r="1067" spans="1:3">
      <c r="A1067" t="s">
        <v>8</v>
      </c>
      <c r="B1067">
        <v>20.553505534938299</v>
      </c>
      <c r="C1067" s="1">
        <v>42063</v>
      </c>
    </row>
    <row r="1068" spans="1:3">
      <c r="A1068" t="s">
        <v>11</v>
      </c>
      <c r="B1068">
        <v>58.045996738706698</v>
      </c>
      <c r="C1068" s="1">
        <v>42063</v>
      </c>
    </row>
    <row r="1069" spans="1:3">
      <c r="A1069" t="s">
        <v>14</v>
      </c>
      <c r="B1069">
        <v>8.8998541147695498</v>
      </c>
      <c r="C1069" s="1">
        <v>42063</v>
      </c>
    </row>
    <row r="1070" spans="1:3">
      <c r="A1070" t="s">
        <v>17</v>
      </c>
      <c r="B1070">
        <v>8.9376126318893991</v>
      </c>
      <c r="C1070" s="1">
        <v>42063</v>
      </c>
    </row>
    <row r="1071" spans="1:3">
      <c r="A1071" t="s">
        <v>20</v>
      </c>
      <c r="B1071">
        <v>1.9780314082097901</v>
      </c>
      <c r="C1071" s="1">
        <v>42063</v>
      </c>
    </row>
    <row r="1072" spans="1:3">
      <c r="A1072" t="s">
        <v>24</v>
      </c>
      <c r="B1072">
        <v>2.810435081079</v>
      </c>
      <c r="C1072" s="1">
        <v>42063</v>
      </c>
    </row>
    <row r="1073" spans="1:3">
      <c r="A1073" t="s">
        <v>27</v>
      </c>
      <c r="B1073">
        <v>18.8655281900582</v>
      </c>
      <c r="C1073" s="1">
        <v>42063</v>
      </c>
    </row>
    <row r="1074" spans="1:3">
      <c r="A1074" t="s">
        <v>29</v>
      </c>
      <c r="B1074">
        <v>3.8874109671107901</v>
      </c>
      <c r="C1074" s="1">
        <v>42063</v>
      </c>
    </row>
    <row r="1075" spans="1:3">
      <c r="A1075" t="s">
        <v>32</v>
      </c>
      <c r="B1075">
        <v>11.653651420168799</v>
      </c>
      <c r="C1075" s="1">
        <v>42063</v>
      </c>
    </row>
    <row r="1076" spans="1:3">
      <c r="A1076" t="s">
        <v>35</v>
      </c>
      <c r="B1076">
        <v>4.5052776108899897</v>
      </c>
      <c r="C1076" s="1">
        <v>42063</v>
      </c>
    </row>
    <row r="1077" spans="1:3">
      <c r="A1077" t="s">
        <v>37</v>
      </c>
      <c r="B1077">
        <v>0.77233330472399997</v>
      </c>
      <c r="C1077" s="1">
        <v>42063</v>
      </c>
    </row>
    <row r="1078" spans="1:3">
      <c r="A1078" t="s">
        <v>39</v>
      </c>
      <c r="B1078">
        <v>1.77722474898156</v>
      </c>
      <c r="C1078" s="1">
        <v>42063</v>
      </c>
    </row>
    <row r="1079" spans="1:3">
      <c r="A1079" t="s">
        <v>42</v>
      </c>
      <c r="B1079">
        <v>1.4202351325758</v>
      </c>
      <c r="C1079" s="1">
        <v>42063</v>
      </c>
    </row>
    <row r="1080" spans="1:3">
      <c r="A1080" t="s">
        <v>44</v>
      </c>
      <c r="B1080">
        <v>9.8052003775293599</v>
      </c>
      <c r="C1080" s="1">
        <v>42063</v>
      </c>
    </row>
    <row r="1081" spans="1:3">
      <c r="A1081" t="s">
        <v>47</v>
      </c>
      <c r="B1081">
        <v>10.4307903543558</v>
      </c>
      <c r="C1081" s="1">
        <v>42063</v>
      </c>
    </row>
    <row r="1082" spans="1:3">
      <c r="A1082" t="s">
        <v>49</v>
      </c>
      <c r="B1082">
        <v>15.330816098771299</v>
      </c>
      <c r="C1082" s="1">
        <v>42063</v>
      </c>
    </row>
    <row r="1083" spans="1:3">
      <c r="A1083" t="s">
        <v>51</v>
      </c>
      <c r="B1083">
        <v>1.69140993734556</v>
      </c>
      <c r="C1083" s="1">
        <v>42063</v>
      </c>
    </row>
    <row r="1084" spans="1:3">
      <c r="A1084" t="s">
        <v>53</v>
      </c>
      <c r="B1084">
        <v>1.5747017935206</v>
      </c>
      <c r="C1084" s="1">
        <v>42063</v>
      </c>
    </row>
    <row r="1085" spans="1:3">
      <c r="A1085" t="s">
        <v>55</v>
      </c>
      <c r="B1085">
        <v>8.8706770788133191</v>
      </c>
      <c r="C1085" s="1">
        <v>42063</v>
      </c>
    </row>
    <row r="1086" spans="1:3">
      <c r="A1086" t="s">
        <v>57</v>
      </c>
      <c r="B1086">
        <v>7.0368145541519898</v>
      </c>
      <c r="C1086" s="1">
        <v>42063</v>
      </c>
    </row>
    <row r="1087" spans="1:3">
      <c r="A1087" t="s">
        <v>59</v>
      </c>
      <c r="B1087">
        <v>8.0451385908750002</v>
      </c>
      <c r="C1087" s="1">
        <v>42063</v>
      </c>
    </row>
    <row r="1088" spans="1:3">
      <c r="A1088" t="s">
        <v>61</v>
      </c>
      <c r="B1088">
        <v>35.184072770759997</v>
      </c>
      <c r="C1088" s="1">
        <v>42063</v>
      </c>
    </row>
    <row r="1089" spans="1:3">
      <c r="A1089" t="s">
        <v>63</v>
      </c>
      <c r="B1089">
        <v>14.9892731484601</v>
      </c>
      <c r="C1089" s="1">
        <v>42063</v>
      </c>
    </row>
    <row r="1090" spans="1:3">
      <c r="A1090" t="s">
        <v>65</v>
      </c>
      <c r="B1090">
        <v>1.0160473697702399</v>
      </c>
      <c r="C1090" s="1">
        <v>42063</v>
      </c>
    </row>
    <row r="1091" spans="1:3">
      <c r="A1091" t="s">
        <v>67</v>
      </c>
      <c r="B1091">
        <v>10.279756285876401</v>
      </c>
      <c r="C1091" s="1">
        <v>42063</v>
      </c>
    </row>
    <row r="1092" spans="1:3">
      <c r="A1092" t="s">
        <v>69</v>
      </c>
      <c r="B1092">
        <v>7.6272204582076704</v>
      </c>
      <c r="C1092" s="1">
        <v>42063</v>
      </c>
    </row>
    <row r="1093" spans="1:3">
      <c r="A1093" t="s">
        <v>71</v>
      </c>
      <c r="B1093">
        <v>0.82811293228740002</v>
      </c>
      <c r="C1093" s="1">
        <v>42063</v>
      </c>
    </row>
    <row r="1094" spans="1:3">
      <c r="A1094" t="s">
        <v>73</v>
      </c>
      <c r="B1094">
        <v>3.52441431389052</v>
      </c>
      <c r="C1094" s="1">
        <v>42063</v>
      </c>
    </row>
    <row r="1095" spans="1:3">
      <c r="A1095" t="s">
        <v>75</v>
      </c>
      <c r="B1095">
        <v>0.43765553934359902</v>
      </c>
      <c r="C1095" s="1">
        <v>42063</v>
      </c>
    </row>
    <row r="1096" spans="1:3">
      <c r="A1096" t="s">
        <v>77</v>
      </c>
      <c r="B1096">
        <v>2.5469836093564799</v>
      </c>
      <c r="C1096" s="1">
        <v>42063</v>
      </c>
    </row>
    <row r="1097" spans="1:3">
      <c r="A1097" t="s">
        <v>79</v>
      </c>
      <c r="B1097">
        <v>9.6112589032319899</v>
      </c>
      <c r="C1097" s="1">
        <v>42063</v>
      </c>
    </row>
    <row r="1098" spans="1:3">
      <c r="A1098" t="s">
        <v>81</v>
      </c>
      <c r="B1098">
        <v>9.8017677850639195</v>
      </c>
      <c r="C1098" s="1">
        <v>42063</v>
      </c>
    </row>
    <row r="1099" spans="1:3">
      <c r="A1099" t="s">
        <v>83</v>
      </c>
      <c r="B1099">
        <v>0.44709516862355903</v>
      </c>
      <c r="C1099" s="1">
        <v>42063</v>
      </c>
    </row>
    <row r="1100" spans="1:3">
      <c r="A1100" t="s">
        <v>85</v>
      </c>
      <c r="B1100">
        <v>9.5511885350867995</v>
      </c>
      <c r="C1100" s="1">
        <v>42063</v>
      </c>
    </row>
    <row r="1101" spans="1:3">
      <c r="A1101" t="s">
        <v>87</v>
      </c>
      <c r="B1101">
        <v>35.510169054976799</v>
      </c>
      <c r="C1101" s="1">
        <v>42063</v>
      </c>
    </row>
    <row r="1102" spans="1:3">
      <c r="A1102" t="s">
        <v>89</v>
      </c>
      <c r="B1102">
        <v>13.3450613575143</v>
      </c>
      <c r="C1102" s="1">
        <v>42063</v>
      </c>
    </row>
    <row r="1103" spans="1:3">
      <c r="A1103" t="s">
        <v>91</v>
      </c>
      <c r="B1103">
        <v>20.209388140277898</v>
      </c>
      <c r="C1103" s="1">
        <v>42063</v>
      </c>
    </row>
    <row r="1104" spans="1:3">
      <c r="A1104" t="s">
        <v>93</v>
      </c>
      <c r="B1104">
        <v>18.7067707885316</v>
      </c>
      <c r="C1104" s="1">
        <v>42063</v>
      </c>
    </row>
    <row r="1105" spans="1:3">
      <c r="A1105" t="s">
        <v>95</v>
      </c>
      <c r="B1105">
        <v>1.5652621642406299</v>
      </c>
      <c r="C1105" s="1">
        <v>42063</v>
      </c>
    </row>
    <row r="1106" spans="1:3">
      <c r="A1106" t="s">
        <v>97</v>
      </c>
      <c r="B1106">
        <v>16.30481421084</v>
      </c>
      <c r="C1106" s="1">
        <v>42063</v>
      </c>
    </row>
    <row r="1107" spans="1:3">
      <c r="A1107" t="s">
        <v>99</v>
      </c>
      <c r="B1107">
        <v>9.4396292799600001</v>
      </c>
      <c r="C1107" s="1">
        <v>42063</v>
      </c>
    </row>
    <row r="1108" spans="1:3">
      <c r="A1108" t="s">
        <v>101</v>
      </c>
      <c r="B1108">
        <v>10.6539088646094</v>
      </c>
      <c r="C1108" s="1">
        <v>42063</v>
      </c>
    </row>
    <row r="1109" spans="1:3">
      <c r="A1109" t="s">
        <v>103</v>
      </c>
      <c r="B1109">
        <v>1.54552475756436</v>
      </c>
      <c r="C1109" s="1">
        <v>42063</v>
      </c>
    </row>
    <row r="1110" spans="1:3">
      <c r="A1110" t="s">
        <v>105</v>
      </c>
      <c r="B1110">
        <v>1.5549643868443199</v>
      </c>
      <c r="C1110" s="1">
        <v>42063</v>
      </c>
    </row>
    <row r="1111" spans="1:3">
      <c r="A1111" t="s">
        <v>107</v>
      </c>
      <c r="B1111">
        <v>11.2992362481121</v>
      </c>
      <c r="C1111" s="1">
        <v>42063</v>
      </c>
    </row>
    <row r="1112" spans="1:3">
      <c r="A1112" t="s">
        <v>109</v>
      </c>
      <c r="B1112">
        <v>2.4663176864186398</v>
      </c>
      <c r="C1112" s="1">
        <v>42063</v>
      </c>
    </row>
    <row r="1113" spans="1:3">
      <c r="A1113" t="s">
        <v>111</v>
      </c>
      <c r="B1113">
        <v>11.1215995880256</v>
      </c>
      <c r="C1113" s="1">
        <v>42063</v>
      </c>
    </row>
    <row r="1114" spans="1:3">
      <c r="A1114" t="s">
        <v>113</v>
      </c>
      <c r="B1114">
        <v>14.1954861408271</v>
      </c>
      <c r="C1114" s="1">
        <v>42063</v>
      </c>
    </row>
    <row r="1115" spans="1:3">
      <c r="A1115" t="s">
        <v>115</v>
      </c>
      <c r="B1115">
        <v>7.71560971419275</v>
      </c>
      <c r="C1115" s="1">
        <v>42063</v>
      </c>
    </row>
    <row r="1116" spans="1:3">
      <c r="A1116" t="s">
        <v>117</v>
      </c>
      <c r="B1116">
        <v>4.5327383506135197</v>
      </c>
      <c r="C1116" s="1">
        <v>42063</v>
      </c>
    </row>
    <row r="1117" spans="1:3">
      <c r="A1117" t="s">
        <v>119</v>
      </c>
      <c r="B1117">
        <v>19.651591864643901</v>
      </c>
      <c r="C1117" s="1">
        <v>42063</v>
      </c>
    </row>
    <row r="1118" spans="1:3">
      <c r="A1118" t="s">
        <v>121</v>
      </c>
      <c r="B1118">
        <v>23.770702823171899</v>
      </c>
      <c r="C1118" s="1">
        <v>42063</v>
      </c>
    </row>
    <row r="1119" spans="1:3">
      <c r="A1119" t="s">
        <v>123</v>
      </c>
      <c r="B1119">
        <v>6.48759975968159</v>
      </c>
      <c r="C1119" s="1">
        <v>42063</v>
      </c>
    </row>
    <row r="1120" spans="1:3">
      <c r="A1120" t="s">
        <v>125</v>
      </c>
      <c r="B1120">
        <v>146.93641122374001</v>
      </c>
      <c r="C1120" s="1">
        <v>42063</v>
      </c>
    </row>
    <row r="1121" spans="1:3">
      <c r="A1121" t="s">
        <v>127</v>
      </c>
      <c r="B1121">
        <v>17.732772676463</v>
      </c>
      <c r="C1121" s="1">
        <v>42063</v>
      </c>
    </row>
    <row r="1122" spans="1:3">
      <c r="A1122" t="s">
        <v>129</v>
      </c>
      <c r="B1122">
        <v>4.5910924225259997</v>
      </c>
      <c r="C1122" s="1">
        <v>42063</v>
      </c>
    </row>
    <row r="1123" spans="1:3">
      <c r="A1123" t="s">
        <v>131</v>
      </c>
      <c r="B1123">
        <v>5.1531794387417902</v>
      </c>
      <c r="C1123" s="1">
        <v>42063</v>
      </c>
    </row>
    <row r="1124" spans="1:3">
      <c r="A1124" t="s">
        <v>134</v>
      </c>
      <c r="B1124">
        <v>3.0266884064017199</v>
      </c>
      <c r="C1124" s="1">
        <v>42063</v>
      </c>
    </row>
    <row r="1125" spans="1:3">
      <c r="A1125" t="s">
        <v>136</v>
      </c>
      <c r="B1125">
        <v>14.245258731576</v>
      </c>
      <c r="C1125" s="1">
        <v>42063</v>
      </c>
    </row>
    <row r="1126" spans="1:3">
      <c r="A1126" t="s">
        <v>138</v>
      </c>
      <c r="B1126">
        <v>27.604908607068399</v>
      </c>
      <c r="C1126" s="1">
        <v>42063</v>
      </c>
    </row>
    <row r="1127" spans="1:3">
      <c r="A1127" t="s">
        <v>140</v>
      </c>
      <c r="B1127">
        <v>7.6847163820037903</v>
      </c>
      <c r="C1127" s="1">
        <v>42063</v>
      </c>
    </row>
    <row r="1128" spans="1:3">
      <c r="A1128" t="s">
        <v>142</v>
      </c>
      <c r="B1128">
        <v>8.8389255985080002</v>
      </c>
      <c r="C1128" s="1">
        <v>42063</v>
      </c>
    </row>
    <row r="1129" spans="1:3">
      <c r="A1129" t="s">
        <v>144</v>
      </c>
      <c r="B1129">
        <v>5.3419720243409996</v>
      </c>
      <c r="C1129" s="1">
        <v>42063</v>
      </c>
    </row>
    <row r="1130" spans="1:3">
      <c r="A1130" t="s">
        <v>146</v>
      </c>
      <c r="B1130">
        <v>4.2049257701639897</v>
      </c>
      <c r="C1130" s="1">
        <v>42063</v>
      </c>
    </row>
    <row r="1131" spans="1:3">
      <c r="A1131" t="s">
        <v>148</v>
      </c>
      <c r="B1131">
        <v>13.087616922606299</v>
      </c>
      <c r="C1131" s="1">
        <v>42063</v>
      </c>
    </row>
    <row r="1132" spans="1:3">
      <c r="A1132" t="s">
        <v>150</v>
      </c>
      <c r="B1132">
        <v>7.1921393632131601</v>
      </c>
      <c r="C1132" s="1">
        <v>42063</v>
      </c>
    </row>
    <row r="1133" spans="1:3">
      <c r="A1133" t="s">
        <v>152</v>
      </c>
      <c r="B1133">
        <v>11.2520381017123</v>
      </c>
      <c r="C1133" s="1">
        <v>42063</v>
      </c>
    </row>
    <row r="1134" spans="1:3">
      <c r="A1134" t="s">
        <v>154</v>
      </c>
      <c r="B1134">
        <v>29.820647043509901</v>
      </c>
      <c r="C1134" s="1">
        <v>42063</v>
      </c>
    </row>
    <row r="1135" spans="1:3">
      <c r="A1135" t="s">
        <v>156</v>
      </c>
      <c r="B1135">
        <v>36.361451986405903</v>
      </c>
      <c r="C1135" s="1">
        <v>42063</v>
      </c>
    </row>
    <row r="1136" spans="1:3">
      <c r="A1136" t="s">
        <v>158</v>
      </c>
      <c r="B1136">
        <v>31.875911782192102</v>
      </c>
      <c r="C1136" s="1">
        <v>42063</v>
      </c>
    </row>
    <row r="1137" spans="1:3">
      <c r="A1137" t="s">
        <v>160</v>
      </c>
      <c r="B1137">
        <v>21.953145112721501</v>
      </c>
      <c r="C1137" s="1">
        <v>42063</v>
      </c>
    </row>
    <row r="1138" spans="1:3">
      <c r="A1138" t="s">
        <v>162</v>
      </c>
      <c r="B1138">
        <v>6.15378014241755</v>
      </c>
      <c r="C1138" s="1">
        <v>42063</v>
      </c>
    </row>
    <row r="1139" spans="1:3">
      <c r="A1139" t="s">
        <v>164</v>
      </c>
      <c r="B1139">
        <v>4.6563116793693498</v>
      </c>
      <c r="C1139" s="1">
        <v>42063</v>
      </c>
    </row>
    <row r="1140" spans="1:3">
      <c r="A1140" t="s">
        <v>166</v>
      </c>
      <c r="B1140">
        <v>7.6744186046074798</v>
      </c>
      <c r="C1140" s="1">
        <v>42063</v>
      </c>
    </row>
    <row r="1141" spans="1:3">
      <c r="A1141" t="s">
        <v>168</v>
      </c>
      <c r="B1141">
        <v>10.5045910923627</v>
      </c>
      <c r="C1141" s="1">
        <v>42063</v>
      </c>
    </row>
    <row r="1142" spans="1:3">
      <c r="A1142" t="s">
        <v>4</v>
      </c>
      <c r="B1142">
        <v>0.16919426390144901</v>
      </c>
      <c r="C1142" s="1">
        <v>42094</v>
      </c>
    </row>
    <row r="1143" spans="1:3">
      <c r="A1143" t="s">
        <v>8</v>
      </c>
      <c r="B1143">
        <v>19.230372433677001</v>
      </c>
      <c r="C1143" s="1">
        <v>42094</v>
      </c>
    </row>
    <row r="1144" spans="1:3">
      <c r="A1144" t="s">
        <v>11</v>
      </c>
      <c r="B1144">
        <v>51.913752192201002</v>
      </c>
      <c r="C1144" s="1">
        <v>42094</v>
      </c>
    </row>
    <row r="1145" spans="1:3">
      <c r="A1145" t="s">
        <v>14</v>
      </c>
      <c r="B1145">
        <v>8.3821314350396392</v>
      </c>
      <c r="C1145" s="1">
        <v>42094</v>
      </c>
    </row>
    <row r="1146" spans="1:3">
      <c r="A1146" t="s">
        <v>17</v>
      </c>
      <c r="B1146">
        <v>8.0643763540539801</v>
      </c>
      <c r="C1146" s="1">
        <v>42094</v>
      </c>
    </row>
    <row r="1147" spans="1:3">
      <c r="A1147" t="s">
        <v>20</v>
      </c>
      <c r="B1147">
        <v>2.1450531311212999</v>
      </c>
      <c r="C1147" s="1">
        <v>42094</v>
      </c>
    </row>
    <row r="1148" spans="1:3">
      <c r="A1148" t="s">
        <v>24</v>
      </c>
      <c r="B1148">
        <v>2.8474156607804999</v>
      </c>
      <c r="C1148" s="1">
        <v>42094</v>
      </c>
    </row>
    <row r="1149" spans="1:3">
      <c r="A1149" t="s">
        <v>27</v>
      </c>
      <c r="B1149">
        <v>15.1655834106787</v>
      </c>
      <c r="C1149" s="1">
        <v>42094</v>
      </c>
    </row>
    <row r="1150" spans="1:3">
      <c r="A1150" t="s">
        <v>29</v>
      </c>
      <c r="B1150">
        <v>3.4920045393513899</v>
      </c>
      <c r="C1150" s="1">
        <v>42094</v>
      </c>
    </row>
    <row r="1151" spans="1:3">
      <c r="A1151" t="s">
        <v>32</v>
      </c>
      <c r="B1151">
        <v>10.951408232723599</v>
      </c>
      <c r="C1151" s="1">
        <v>42094</v>
      </c>
    </row>
    <row r="1152" spans="1:3">
      <c r="A1152" t="s">
        <v>35</v>
      </c>
      <c r="B1152">
        <v>4.2917569379879996</v>
      </c>
      <c r="C1152" s="1">
        <v>42094</v>
      </c>
    </row>
    <row r="1153" spans="1:3">
      <c r="A1153" t="s">
        <v>37</v>
      </c>
      <c r="B1153">
        <v>0.71804394924029902</v>
      </c>
      <c r="C1153" s="1">
        <v>42094</v>
      </c>
    </row>
    <row r="1154" spans="1:3">
      <c r="A1154" t="s">
        <v>39</v>
      </c>
      <c r="B1154">
        <v>1.4938615495689</v>
      </c>
      <c r="C1154" s="1">
        <v>42094</v>
      </c>
    </row>
    <row r="1155" spans="1:3">
      <c r="A1155" t="s">
        <v>42</v>
      </c>
      <c r="B1155">
        <v>1.4195811410268</v>
      </c>
      <c r="C1155" s="1">
        <v>42094</v>
      </c>
    </row>
    <row r="1156" spans="1:3">
      <c r="A1156" t="s">
        <v>44</v>
      </c>
      <c r="B1156">
        <v>8.2946456205344994</v>
      </c>
      <c r="C1156" s="1">
        <v>42094</v>
      </c>
    </row>
    <row r="1157" spans="1:3">
      <c r="A1157" t="s">
        <v>47</v>
      </c>
      <c r="B1157">
        <v>10.163210564304601</v>
      </c>
      <c r="C1157" s="1">
        <v>42094</v>
      </c>
    </row>
    <row r="1158" spans="1:3">
      <c r="A1158" t="s">
        <v>49</v>
      </c>
      <c r="B1158">
        <v>15.574125657660201</v>
      </c>
      <c r="C1158" s="1">
        <v>42094</v>
      </c>
    </row>
    <row r="1159" spans="1:3">
      <c r="A1159" t="s">
        <v>51</v>
      </c>
      <c r="B1159">
        <v>1.5887754049282501</v>
      </c>
      <c r="C1159" s="1">
        <v>42094</v>
      </c>
    </row>
    <row r="1160" spans="1:3">
      <c r="A1160" t="s">
        <v>53</v>
      </c>
      <c r="B1160">
        <v>1.48148148147855</v>
      </c>
      <c r="C1160" s="1">
        <v>42094</v>
      </c>
    </row>
    <row r="1161" spans="1:3">
      <c r="A1161" t="s">
        <v>55</v>
      </c>
      <c r="B1161">
        <v>8.1089445991792495</v>
      </c>
      <c r="C1161" s="1">
        <v>42094</v>
      </c>
    </row>
    <row r="1162" spans="1:3">
      <c r="A1162" t="s">
        <v>57</v>
      </c>
      <c r="B1162">
        <v>6.5366759517048001</v>
      </c>
      <c r="C1162" s="1">
        <v>42094</v>
      </c>
    </row>
    <row r="1163" spans="1:3">
      <c r="A1163" t="s">
        <v>59</v>
      </c>
      <c r="B1163">
        <v>8.5835138759759992</v>
      </c>
      <c r="C1163" s="1">
        <v>42094</v>
      </c>
    </row>
    <row r="1164" spans="1:3">
      <c r="A1164" t="s">
        <v>61</v>
      </c>
      <c r="B1164">
        <v>43.331063654097598</v>
      </c>
      <c r="C1164" s="1">
        <v>42094</v>
      </c>
    </row>
    <row r="1165" spans="1:3">
      <c r="A1165" t="s">
        <v>63</v>
      </c>
      <c r="B1165">
        <v>14.85608170842</v>
      </c>
      <c r="C1165" s="1">
        <v>42094</v>
      </c>
    </row>
    <row r="1166" spans="1:3">
      <c r="A1166" t="s">
        <v>65</v>
      </c>
      <c r="B1166">
        <v>1.0234189621356</v>
      </c>
      <c r="C1166" s="1">
        <v>42094</v>
      </c>
    </row>
    <row r="1167" spans="1:3">
      <c r="A1167" t="s">
        <v>67</v>
      </c>
      <c r="B1167">
        <v>10.300216651171199</v>
      </c>
      <c r="C1167" s="1">
        <v>42094</v>
      </c>
    </row>
    <row r="1168" spans="1:3">
      <c r="A1168" t="s">
        <v>69</v>
      </c>
      <c r="B1168">
        <v>7.2844320643619396</v>
      </c>
      <c r="C1168" s="1">
        <v>42094</v>
      </c>
    </row>
    <row r="1169" spans="1:3">
      <c r="A1169" t="s">
        <v>71</v>
      </c>
      <c r="B1169">
        <v>0.73867739605754901</v>
      </c>
      <c r="C1169" s="1">
        <v>42094</v>
      </c>
    </row>
    <row r="1170" spans="1:3">
      <c r="A1170" t="s">
        <v>73</v>
      </c>
      <c r="B1170">
        <v>3.4416589291172999</v>
      </c>
      <c r="C1170" s="1">
        <v>42094</v>
      </c>
    </row>
    <row r="1171" spans="1:3">
      <c r="A1171" t="s">
        <v>75</v>
      </c>
      <c r="B1171">
        <v>0.4044155576181</v>
      </c>
      <c r="C1171" s="1">
        <v>42094</v>
      </c>
    </row>
    <row r="1172" spans="1:3">
      <c r="A1172" t="s">
        <v>77</v>
      </c>
      <c r="B1172">
        <v>2.36624368100223</v>
      </c>
      <c r="C1172" s="1">
        <v>42094</v>
      </c>
    </row>
    <row r="1173" spans="1:3">
      <c r="A1173" t="s">
        <v>79</v>
      </c>
      <c r="B1173">
        <v>9.2437841741280007</v>
      </c>
      <c r="C1173" s="1">
        <v>42094</v>
      </c>
    </row>
    <row r="1174" spans="1:3">
      <c r="A1174" t="s">
        <v>81</v>
      </c>
      <c r="B1174">
        <v>9.2990818115982297</v>
      </c>
      <c r="C1174" s="1">
        <v>42094</v>
      </c>
    </row>
    <row r="1175" spans="1:3">
      <c r="A1175" t="s">
        <v>83</v>
      </c>
      <c r="B1175">
        <v>0.43990508614377</v>
      </c>
      <c r="C1175" s="1">
        <v>42094</v>
      </c>
    </row>
    <row r="1176" spans="1:3">
      <c r="A1176" t="s">
        <v>85</v>
      </c>
      <c r="B1176">
        <v>9.7389868977420004</v>
      </c>
      <c r="C1176" s="1">
        <v>42094</v>
      </c>
    </row>
    <row r="1177" spans="1:3">
      <c r="A1177" t="s">
        <v>87</v>
      </c>
      <c r="B1177">
        <v>31.692974311295998</v>
      </c>
      <c r="C1177" s="1">
        <v>42094</v>
      </c>
    </row>
    <row r="1178" spans="1:3">
      <c r="A1178" t="s">
        <v>89</v>
      </c>
      <c r="B1178">
        <v>11.967399154004999</v>
      </c>
      <c r="C1178" s="1">
        <v>42094</v>
      </c>
    </row>
    <row r="1179" spans="1:3">
      <c r="A1179" t="s">
        <v>91</v>
      </c>
      <c r="B1179">
        <v>18.6171463942683</v>
      </c>
      <c r="C1179" s="1">
        <v>42094</v>
      </c>
    </row>
    <row r="1180" spans="1:3">
      <c r="A1180" t="s">
        <v>93</v>
      </c>
      <c r="B1180">
        <v>19.312906220946001</v>
      </c>
      <c r="C1180" s="1">
        <v>42094</v>
      </c>
    </row>
    <row r="1181" spans="1:3">
      <c r="A1181" t="s">
        <v>95</v>
      </c>
      <c r="B1181">
        <v>1.43608789848059</v>
      </c>
      <c r="C1181" s="1">
        <v>42094</v>
      </c>
    </row>
    <row r="1182" spans="1:3">
      <c r="A1182" t="s">
        <v>97</v>
      </c>
      <c r="B1182">
        <v>14.2370783039025</v>
      </c>
      <c r="C1182" s="1">
        <v>42094</v>
      </c>
    </row>
    <row r="1183" spans="1:3">
      <c r="A1183" t="s">
        <v>99</v>
      </c>
      <c r="B1183">
        <v>8.3028989992613997</v>
      </c>
      <c r="C1183" s="1">
        <v>42094</v>
      </c>
    </row>
    <row r="1184" spans="1:3">
      <c r="A1184" t="s">
        <v>101</v>
      </c>
      <c r="B1184">
        <v>9.3675848550315006</v>
      </c>
      <c r="C1184" s="1">
        <v>42094</v>
      </c>
    </row>
    <row r="1185" spans="1:3">
      <c r="A1185" t="s">
        <v>103</v>
      </c>
      <c r="B1185">
        <v>1.4195811410268</v>
      </c>
      <c r="C1185" s="1">
        <v>42094</v>
      </c>
    </row>
    <row r="1186" spans="1:3">
      <c r="A1186" t="s">
        <v>105</v>
      </c>
      <c r="B1186">
        <v>1.51284432064076</v>
      </c>
      <c r="C1186" s="1">
        <v>42094</v>
      </c>
    </row>
    <row r="1187" spans="1:3">
      <c r="A1187" t="s">
        <v>107</v>
      </c>
      <c r="B1187">
        <v>10.399257195894</v>
      </c>
      <c r="C1187" s="1">
        <v>42094</v>
      </c>
    </row>
    <row r="1188" spans="1:3">
      <c r="A1188" t="s">
        <v>109</v>
      </c>
      <c r="B1188">
        <v>1.74476426286666</v>
      </c>
      <c r="C1188" s="1">
        <v>42094</v>
      </c>
    </row>
    <row r="1189" spans="1:3">
      <c r="A1189" t="s">
        <v>111</v>
      </c>
      <c r="B1189">
        <v>9.9040544722800004</v>
      </c>
      <c r="C1189" s="1">
        <v>42094</v>
      </c>
    </row>
    <row r="1190" spans="1:3">
      <c r="A1190" t="s">
        <v>113</v>
      </c>
      <c r="B1190">
        <v>14.9031259671633</v>
      </c>
      <c r="C1190" s="1">
        <v>42094</v>
      </c>
    </row>
    <row r="1191" spans="1:3">
      <c r="A1191" t="s">
        <v>115</v>
      </c>
      <c r="B1191">
        <v>7.1102857732243496</v>
      </c>
      <c r="C1191" s="1">
        <v>42094</v>
      </c>
    </row>
    <row r="1192" spans="1:3">
      <c r="A1192" t="s">
        <v>117</v>
      </c>
      <c r="B1192">
        <v>4.0812957804520504</v>
      </c>
      <c r="C1192" s="1">
        <v>42094</v>
      </c>
    </row>
    <row r="1193" spans="1:3">
      <c r="A1193" t="s">
        <v>119</v>
      </c>
      <c r="B1193">
        <v>12.875270813964001</v>
      </c>
      <c r="C1193" s="1">
        <v>42094</v>
      </c>
    </row>
    <row r="1194" spans="1:3">
      <c r="A1194" t="s">
        <v>121</v>
      </c>
      <c r="B1194">
        <v>21.937480656100199</v>
      </c>
      <c r="C1194" s="1">
        <v>42094</v>
      </c>
    </row>
    <row r="1195" spans="1:3">
      <c r="A1195" t="s">
        <v>123</v>
      </c>
      <c r="B1195">
        <v>6.46817290827153</v>
      </c>
      <c r="C1195" s="1">
        <v>42094</v>
      </c>
    </row>
    <row r="1196" spans="1:3">
      <c r="A1196" t="s">
        <v>125</v>
      </c>
      <c r="B1196">
        <v>154.33818219303001</v>
      </c>
      <c r="C1196" s="1">
        <v>42094</v>
      </c>
    </row>
    <row r="1197" spans="1:3">
      <c r="A1197" t="s">
        <v>127</v>
      </c>
      <c r="B1197">
        <v>16.919426390144999</v>
      </c>
      <c r="C1197" s="1">
        <v>42094</v>
      </c>
    </row>
    <row r="1198" spans="1:3">
      <c r="A1198" t="s">
        <v>129</v>
      </c>
      <c r="B1198">
        <v>4.6086866811009601</v>
      </c>
      <c r="C1198" s="1">
        <v>42094</v>
      </c>
    </row>
    <row r="1199" spans="1:3">
      <c r="A1199" t="s">
        <v>131</v>
      </c>
      <c r="B1199">
        <v>4.9520272361400002</v>
      </c>
      <c r="C1199" s="1">
        <v>42094</v>
      </c>
    </row>
    <row r="1200" spans="1:3">
      <c r="A1200" t="s">
        <v>134</v>
      </c>
      <c r="B1200">
        <v>2.8680491075977499</v>
      </c>
      <c r="C1200" s="1">
        <v>42094</v>
      </c>
    </row>
    <row r="1201" spans="1:3">
      <c r="A1201" t="s">
        <v>136</v>
      </c>
      <c r="B1201">
        <v>13.557825234678599</v>
      </c>
      <c r="C1201" s="1">
        <v>42094</v>
      </c>
    </row>
    <row r="1202" spans="1:3">
      <c r="A1202" t="s">
        <v>138</v>
      </c>
      <c r="B1202">
        <v>27.127205199574899</v>
      </c>
      <c r="C1202" s="1">
        <v>42094</v>
      </c>
    </row>
    <row r="1203" spans="1:3">
      <c r="A1203" t="s">
        <v>140</v>
      </c>
      <c r="B1203">
        <v>7.5468895078773599</v>
      </c>
      <c r="C1203" s="1">
        <v>42094</v>
      </c>
    </row>
    <row r="1204" spans="1:3">
      <c r="A1204" t="s">
        <v>142</v>
      </c>
      <c r="B1204">
        <v>8.29547095840719</v>
      </c>
      <c r="C1204" s="1">
        <v>42094</v>
      </c>
    </row>
    <row r="1205" spans="1:3">
      <c r="A1205" t="s">
        <v>144</v>
      </c>
      <c r="B1205">
        <v>4.9536779118853804</v>
      </c>
      <c r="C1205" s="1">
        <v>42094</v>
      </c>
    </row>
    <row r="1206" spans="1:3">
      <c r="A1206" t="s">
        <v>146</v>
      </c>
      <c r="B1206">
        <v>4.0383782110721702</v>
      </c>
      <c r="C1206" s="1">
        <v>42094</v>
      </c>
    </row>
    <row r="1207" spans="1:3">
      <c r="A1207" t="s">
        <v>148</v>
      </c>
      <c r="B1207">
        <v>13.865676261192</v>
      </c>
      <c r="C1207" s="1">
        <v>42094</v>
      </c>
    </row>
    <row r="1208" spans="1:3">
      <c r="A1208" t="s">
        <v>150</v>
      </c>
      <c r="B1208">
        <v>6.8131641390559396</v>
      </c>
      <c r="C1208" s="1">
        <v>42094</v>
      </c>
    </row>
    <row r="1209" spans="1:3">
      <c r="A1209" t="s">
        <v>152</v>
      </c>
      <c r="B1209">
        <v>9.6308676364196106</v>
      </c>
      <c r="C1209" s="1">
        <v>42094</v>
      </c>
    </row>
    <row r="1210" spans="1:3">
      <c r="A1210" t="s">
        <v>154</v>
      </c>
      <c r="B1210">
        <v>25.204993294079902</v>
      </c>
      <c r="C1210" s="1">
        <v>42094</v>
      </c>
    </row>
    <row r="1211" spans="1:3">
      <c r="A1211" t="s">
        <v>156</v>
      </c>
      <c r="B1211">
        <v>34.017951098663701</v>
      </c>
      <c r="C1211" s="1">
        <v>42094</v>
      </c>
    </row>
    <row r="1212" spans="1:3">
      <c r="A1212" t="s">
        <v>158</v>
      </c>
      <c r="B1212">
        <v>24.555452388272801</v>
      </c>
      <c r="C1212" s="1">
        <v>42094</v>
      </c>
    </row>
    <row r="1213" spans="1:3">
      <c r="A1213" t="s">
        <v>160</v>
      </c>
      <c r="B1213">
        <v>19.624883936822801</v>
      </c>
      <c r="C1213" s="1">
        <v>42094</v>
      </c>
    </row>
    <row r="1214" spans="1:3">
      <c r="A1214" t="s">
        <v>162</v>
      </c>
      <c r="B1214">
        <v>4.8554627050352597</v>
      </c>
      <c r="C1214" s="1">
        <v>42094</v>
      </c>
    </row>
    <row r="1215" spans="1:3">
      <c r="A1215" t="s">
        <v>164</v>
      </c>
      <c r="B1215">
        <v>4.2356339626450801</v>
      </c>
      <c r="C1215" s="1">
        <v>42094</v>
      </c>
    </row>
    <row r="1216" spans="1:3">
      <c r="A1216" t="s">
        <v>166</v>
      </c>
      <c r="B1216">
        <v>7.6591354585631999</v>
      </c>
      <c r="C1216" s="1">
        <v>42094</v>
      </c>
    </row>
    <row r="1217" spans="1:3">
      <c r="A1217" t="s">
        <v>168</v>
      </c>
      <c r="B1217">
        <v>8.1609408851587197</v>
      </c>
      <c r="C1217" s="1">
        <v>42094</v>
      </c>
    </row>
    <row r="1218" spans="1:3">
      <c r="A1218" t="s">
        <v>4</v>
      </c>
      <c r="B1218">
        <v>0.17815099342224</v>
      </c>
      <c r="C1218" s="1">
        <v>42124</v>
      </c>
    </row>
    <row r="1219" spans="1:3">
      <c r="A1219" t="s">
        <v>8</v>
      </c>
      <c r="B1219">
        <v>20.1728817387371</v>
      </c>
      <c r="C1219" s="1">
        <v>42124</v>
      </c>
    </row>
    <row r="1220" spans="1:3">
      <c r="A1220" t="s">
        <v>11</v>
      </c>
      <c r="B1220">
        <v>55.171606244622701</v>
      </c>
      <c r="C1220" s="1">
        <v>42124</v>
      </c>
    </row>
    <row r="1221" spans="1:3">
      <c r="A1221" t="s">
        <v>14</v>
      </c>
      <c r="B1221">
        <v>9.5348419014719994</v>
      </c>
      <c r="C1221" s="1">
        <v>42124</v>
      </c>
    </row>
    <row r="1222" spans="1:3">
      <c r="A1222" t="s">
        <v>17</v>
      </c>
      <c r="B1222">
        <v>8.9167499571572808</v>
      </c>
      <c r="C1222" s="1">
        <v>42124</v>
      </c>
    </row>
    <row r="1223" spans="1:3">
      <c r="A1223" t="s">
        <v>20</v>
      </c>
      <c r="B1223">
        <v>2.0842829840761601</v>
      </c>
      <c r="C1223" s="1">
        <v>42124</v>
      </c>
    </row>
    <row r="1224" spans="1:3">
      <c r="A1224" t="s">
        <v>24</v>
      </c>
      <c r="B1224">
        <v>3.1782806338239999</v>
      </c>
      <c r="C1224" s="1">
        <v>42124</v>
      </c>
    </row>
    <row r="1225" spans="1:3">
      <c r="A1225" t="s">
        <v>27</v>
      </c>
      <c r="B1225">
        <v>16.6717547036878</v>
      </c>
      <c r="C1225" s="1">
        <v>42124</v>
      </c>
    </row>
    <row r="1226" spans="1:3">
      <c r="A1226" t="s">
        <v>29</v>
      </c>
      <c r="B1226">
        <v>3.4133061227988799</v>
      </c>
      <c r="C1226" s="1">
        <v>42124</v>
      </c>
    </row>
    <row r="1227" spans="1:3">
      <c r="A1227" t="s">
        <v>32</v>
      </c>
      <c r="B1227">
        <v>12.402821978677901</v>
      </c>
      <c r="C1227" s="1">
        <v>42124</v>
      </c>
    </row>
    <row r="1228" spans="1:3">
      <c r="A1228" t="s">
        <v>35</v>
      </c>
      <c r="B1228">
        <v>4.4337014841844802</v>
      </c>
      <c r="C1228" s="1">
        <v>42124</v>
      </c>
    </row>
    <row r="1229" spans="1:3">
      <c r="A1229" t="s">
        <v>37</v>
      </c>
      <c r="B1229">
        <v>0.67162088130543995</v>
      </c>
      <c r="C1229" s="1">
        <v>42124</v>
      </c>
    </row>
    <row r="1230" spans="1:3">
      <c r="A1230" t="s">
        <v>39</v>
      </c>
      <c r="B1230">
        <v>1.4971374564591999</v>
      </c>
      <c r="C1230" s="1">
        <v>42124</v>
      </c>
    </row>
    <row r="1231" spans="1:3">
      <c r="A1231" t="s">
        <v>42</v>
      </c>
      <c r="B1231">
        <v>1.43106267486128</v>
      </c>
      <c r="C1231" s="1">
        <v>42124</v>
      </c>
    </row>
    <row r="1232" spans="1:3">
      <c r="A1232" t="s">
        <v>44</v>
      </c>
      <c r="B1232">
        <v>8.1330528640275102</v>
      </c>
      <c r="C1232" s="1">
        <v>42124</v>
      </c>
    </row>
    <row r="1233" spans="1:3">
      <c r="A1233" t="s">
        <v>47</v>
      </c>
      <c r="B1233">
        <v>11.130673335507799</v>
      </c>
      <c r="C1233" s="1">
        <v>42124</v>
      </c>
    </row>
    <row r="1234" spans="1:3">
      <c r="A1234" t="s">
        <v>49</v>
      </c>
      <c r="B1234">
        <v>15.975042133167999</v>
      </c>
      <c r="C1234" s="1">
        <v>42124</v>
      </c>
    </row>
    <row r="1235" spans="1:3">
      <c r="A1235" t="s">
        <v>51</v>
      </c>
      <c r="B1235">
        <v>1.59499504439536</v>
      </c>
      <c r="C1235" s="1">
        <v>42124</v>
      </c>
    </row>
    <row r="1236" spans="1:3">
      <c r="A1236" t="s">
        <v>53</v>
      </c>
      <c r="B1236">
        <v>1.5180471974712</v>
      </c>
      <c r="C1236" s="1">
        <v>42124</v>
      </c>
    </row>
    <row r="1237" spans="1:3">
      <c r="A1237" t="s">
        <v>55</v>
      </c>
      <c r="B1237">
        <v>7.6111457283680002</v>
      </c>
      <c r="C1237" s="1">
        <v>42124</v>
      </c>
    </row>
    <row r="1238" spans="1:3">
      <c r="A1238" t="s">
        <v>57</v>
      </c>
      <c r="B1238">
        <v>6.8583950519360002</v>
      </c>
      <c r="C1238" s="1">
        <v>42124</v>
      </c>
    </row>
    <row r="1239" spans="1:3">
      <c r="A1239" t="s">
        <v>59</v>
      </c>
      <c r="B1239">
        <v>8.3195677538545603</v>
      </c>
      <c r="C1239" s="1">
        <v>42124</v>
      </c>
    </row>
    <row r="1240" spans="1:3">
      <c r="A1240" t="s">
        <v>61</v>
      </c>
      <c r="B1240">
        <v>46.837819866879997</v>
      </c>
      <c r="C1240" s="1">
        <v>42124</v>
      </c>
    </row>
    <row r="1241" spans="1:3">
      <c r="A1241" t="s">
        <v>63</v>
      </c>
      <c r="B1241">
        <v>15.1085424656307</v>
      </c>
      <c r="C1241" s="1">
        <v>42124</v>
      </c>
    </row>
    <row r="1242" spans="1:3">
      <c r="A1242" t="s">
        <v>65</v>
      </c>
      <c r="B1242">
        <v>1.00868590641888</v>
      </c>
      <c r="C1242" s="1">
        <v>42124</v>
      </c>
    </row>
    <row r="1243" spans="1:3">
      <c r="A1243" t="s">
        <v>67</v>
      </c>
      <c r="B1243">
        <v>11.0470343714598</v>
      </c>
      <c r="C1243" s="1">
        <v>42124</v>
      </c>
    </row>
    <row r="1244" spans="1:3">
      <c r="A1244" t="s">
        <v>69</v>
      </c>
      <c r="B1244">
        <v>7.2531709622425602</v>
      </c>
      <c r="C1244" s="1">
        <v>42124</v>
      </c>
    </row>
    <row r="1245" spans="1:3">
      <c r="A1245" t="s">
        <v>71</v>
      </c>
      <c r="B1245">
        <v>0.82802574407520002</v>
      </c>
      <c r="C1245" s="1">
        <v>42124</v>
      </c>
    </row>
    <row r="1246" spans="1:3">
      <c r="A1246" t="s">
        <v>73</v>
      </c>
      <c r="B1246">
        <v>3.4852356318801601</v>
      </c>
      <c r="C1246" s="1">
        <v>42124</v>
      </c>
    </row>
    <row r="1247" spans="1:3">
      <c r="A1247" t="s">
        <v>75</v>
      </c>
      <c r="B1247">
        <v>0.41652204095904</v>
      </c>
      <c r="C1247" s="1">
        <v>42124</v>
      </c>
    </row>
    <row r="1248" spans="1:3">
      <c r="A1248" t="s">
        <v>77</v>
      </c>
      <c r="B1248">
        <v>2.3343634865796798</v>
      </c>
      <c r="C1248" s="1">
        <v>42124</v>
      </c>
    </row>
    <row r="1249" spans="1:3">
      <c r="A1249" t="s">
        <v>79</v>
      </c>
      <c r="B1249">
        <v>10.203953613855999</v>
      </c>
      <c r="C1249" s="1">
        <v>42124</v>
      </c>
    </row>
    <row r="1250" spans="1:3">
      <c r="A1250" t="s">
        <v>81</v>
      </c>
      <c r="B1250">
        <v>9.3131986467447998</v>
      </c>
      <c r="C1250" s="1">
        <v>42124</v>
      </c>
    </row>
    <row r="1251" spans="1:3">
      <c r="A1251" t="s">
        <v>83</v>
      </c>
      <c r="B1251">
        <v>0.46001430226399997</v>
      </c>
      <c r="C1251" s="1">
        <v>42124</v>
      </c>
    </row>
    <row r="1252" spans="1:3">
      <c r="A1252" t="s">
        <v>85</v>
      </c>
      <c r="B1252">
        <v>10.245773095880001</v>
      </c>
      <c r="C1252" s="1">
        <v>42124</v>
      </c>
    </row>
    <row r="1253" spans="1:3">
      <c r="A1253" t="s">
        <v>87</v>
      </c>
      <c r="B1253">
        <v>30.277304985375999</v>
      </c>
      <c r="C1253" s="1">
        <v>42124</v>
      </c>
    </row>
    <row r="1254" spans="1:3">
      <c r="A1254" t="s">
        <v>89</v>
      </c>
      <c r="B1254">
        <v>13.0602242360952</v>
      </c>
      <c r="C1254" s="1">
        <v>42124</v>
      </c>
    </row>
    <row r="1255" spans="1:3">
      <c r="A1255" t="s">
        <v>91</v>
      </c>
      <c r="B1255">
        <v>19.570681197591501</v>
      </c>
      <c r="C1255" s="1">
        <v>42124</v>
      </c>
    </row>
    <row r="1256" spans="1:3">
      <c r="A1256" t="s">
        <v>93</v>
      </c>
      <c r="B1256">
        <v>23.359526268965901</v>
      </c>
      <c r="C1256" s="1">
        <v>42124</v>
      </c>
    </row>
    <row r="1257" spans="1:3">
      <c r="A1257" t="s">
        <v>95</v>
      </c>
      <c r="B1257">
        <v>1.3633151139824</v>
      </c>
      <c r="C1257" s="1">
        <v>42124</v>
      </c>
    </row>
    <row r="1258" spans="1:3">
      <c r="A1258" t="s">
        <v>97</v>
      </c>
      <c r="B1258">
        <v>13.725154000276801</v>
      </c>
      <c r="C1258" s="1">
        <v>42124</v>
      </c>
    </row>
    <row r="1259" spans="1:3">
      <c r="A1259" t="s">
        <v>99</v>
      </c>
      <c r="B1259">
        <v>8.8924946575833594</v>
      </c>
      <c r="C1259" s="1">
        <v>42124</v>
      </c>
    </row>
    <row r="1260" spans="1:3">
      <c r="A1260" t="s">
        <v>101</v>
      </c>
      <c r="B1260">
        <v>10.437306323549899</v>
      </c>
      <c r="C1260" s="1">
        <v>42124</v>
      </c>
    </row>
    <row r="1261" spans="1:3">
      <c r="A1261" t="s">
        <v>103</v>
      </c>
      <c r="B1261">
        <v>1.4678638190424</v>
      </c>
      <c r="C1261" s="1">
        <v>42124</v>
      </c>
    </row>
    <row r="1262" spans="1:3">
      <c r="A1262" t="s">
        <v>105</v>
      </c>
      <c r="B1262">
        <v>1.4235351680969599</v>
      </c>
      <c r="C1262" s="1">
        <v>42124</v>
      </c>
    </row>
    <row r="1263" spans="1:3">
      <c r="A1263" t="s">
        <v>107</v>
      </c>
      <c r="B1263">
        <v>11.073798839955201</v>
      </c>
      <c r="C1263" s="1">
        <v>42124</v>
      </c>
    </row>
    <row r="1264" spans="1:3">
      <c r="A1264" t="s">
        <v>109</v>
      </c>
      <c r="B1264">
        <v>1.9069683802944</v>
      </c>
      <c r="C1264" s="1">
        <v>42124</v>
      </c>
    </row>
    <row r="1265" spans="1:3">
      <c r="A1265" t="s">
        <v>111</v>
      </c>
      <c r="B1265">
        <v>10.829573064934999</v>
      </c>
      <c r="C1265" s="1">
        <v>42124</v>
      </c>
    </row>
    <row r="1266" spans="1:3">
      <c r="A1266" t="s">
        <v>113</v>
      </c>
      <c r="B1266">
        <v>14.7371854652576</v>
      </c>
      <c r="C1266" s="1">
        <v>42124</v>
      </c>
    </row>
    <row r="1267" spans="1:3">
      <c r="A1267" t="s">
        <v>115</v>
      </c>
      <c r="B1267">
        <v>7.4873600615769602</v>
      </c>
      <c r="C1267" s="1">
        <v>42124</v>
      </c>
    </row>
    <row r="1268" spans="1:3">
      <c r="A1268" t="s">
        <v>117</v>
      </c>
      <c r="B1268">
        <v>4.7757848471408</v>
      </c>
      <c r="C1268" s="1">
        <v>42124</v>
      </c>
    </row>
    <row r="1269" spans="1:3">
      <c r="A1269" t="s">
        <v>119</v>
      </c>
      <c r="B1269">
        <v>13.3956164819276</v>
      </c>
      <c r="C1269" s="1">
        <v>42124</v>
      </c>
    </row>
    <row r="1270" spans="1:3">
      <c r="A1270" t="s">
        <v>121</v>
      </c>
      <c r="B1270">
        <v>22.139233783505599</v>
      </c>
      <c r="C1270" s="1">
        <v>42124</v>
      </c>
    </row>
    <row r="1271" spans="1:3">
      <c r="A1271" t="s">
        <v>123</v>
      </c>
      <c r="B1271">
        <v>6.4376910627745598</v>
      </c>
      <c r="C1271" s="1">
        <v>42124</v>
      </c>
    </row>
    <row r="1272" spans="1:3">
      <c r="A1272" t="s">
        <v>125</v>
      </c>
      <c r="B1272">
        <v>156.49101090272899</v>
      </c>
      <c r="C1272" s="1">
        <v>42124</v>
      </c>
    </row>
    <row r="1273" spans="1:3">
      <c r="A1273" t="s">
        <v>127</v>
      </c>
      <c r="B1273">
        <v>19.989712407471998</v>
      </c>
      <c r="C1273" s="1">
        <v>42124</v>
      </c>
    </row>
    <row r="1274" spans="1:3">
      <c r="A1274" t="s">
        <v>129</v>
      </c>
      <c r="B1274">
        <v>4.7532023268478403</v>
      </c>
      <c r="C1274" s="1">
        <v>42124</v>
      </c>
    </row>
    <row r="1275" spans="1:3">
      <c r="A1275" t="s">
        <v>131</v>
      </c>
      <c r="B1275">
        <v>5.1688879781664001</v>
      </c>
      <c r="C1275" s="1">
        <v>42124</v>
      </c>
    </row>
    <row r="1276" spans="1:3">
      <c r="A1276" t="s">
        <v>134</v>
      </c>
      <c r="B1276">
        <v>3.0101663160875201</v>
      </c>
      <c r="C1276" s="1">
        <v>42124</v>
      </c>
    </row>
    <row r="1277" spans="1:3">
      <c r="A1277" t="s">
        <v>136</v>
      </c>
      <c r="B1277">
        <v>14.2353516809696</v>
      </c>
      <c r="C1277" s="1">
        <v>42124</v>
      </c>
    </row>
    <row r="1278" spans="1:3">
      <c r="A1278" t="s">
        <v>138</v>
      </c>
      <c r="B1278">
        <v>26.9886209190086</v>
      </c>
      <c r="C1278" s="1">
        <v>42124</v>
      </c>
    </row>
    <row r="1279" spans="1:3">
      <c r="A1279" t="s">
        <v>140</v>
      </c>
      <c r="B1279">
        <v>7.6354010279419198</v>
      </c>
      <c r="C1279" s="1">
        <v>42124</v>
      </c>
    </row>
    <row r="1280" spans="1:3">
      <c r="A1280" t="s">
        <v>142</v>
      </c>
      <c r="B1280">
        <v>9.4587304441883209</v>
      </c>
      <c r="C1280" s="1">
        <v>42124</v>
      </c>
    </row>
    <row r="1281" spans="1:3">
      <c r="A1281" t="s">
        <v>144</v>
      </c>
      <c r="B1281">
        <v>5.0727031695112004</v>
      </c>
      <c r="C1281" s="1">
        <v>42124</v>
      </c>
    </row>
    <row r="1282" spans="1:3">
      <c r="A1282" t="s">
        <v>146</v>
      </c>
      <c r="B1282">
        <v>4.0815814455424002</v>
      </c>
      <c r="C1282" s="1">
        <v>42124</v>
      </c>
    </row>
    <row r="1283" spans="1:3">
      <c r="A1283" t="s">
        <v>148</v>
      </c>
      <c r="B1283">
        <v>14.603363122780801</v>
      </c>
      <c r="C1283" s="1">
        <v>42124</v>
      </c>
    </row>
    <row r="1284" spans="1:3">
      <c r="A1284" t="s">
        <v>150</v>
      </c>
      <c r="B1284">
        <v>6.83079419380016</v>
      </c>
      <c r="C1284" s="1">
        <v>42124</v>
      </c>
    </row>
    <row r="1285" spans="1:3">
      <c r="A1285" t="s">
        <v>152</v>
      </c>
      <c r="B1285">
        <v>11.277877912232301</v>
      </c>
      <c r="C1285" s="1">
        <v>42124</v>
      </c>
    </row>
    <row r="1286" spans="1:3">
      <c r="A1286" t="s">
        <v>154</v>
      </c>
      <c r="B1286">
        <v>25.928078854879999</v>
      </c>
      <c r="C1286" s="1">
        <v>42124</v>
      </c>
    </row>
    <row r="1287" spans="1:3">
      <c r="A1287" t="s">
        <v>156</v>
      </c>
      <c r="B1287">
        <v>40.1993952903902</v>
      </c>
      <c r="C1287" s="1">
        <v>42124</v>
      </c>
    </row>
    <row r="1288" spans="1:3">
      <c r="A1288" t="s">
        <v>158</v>
      </c>
      <c r="B1288">
        <v>27.362487088303102</v>
      </c>
      <c r="C1288" s="1">
        <v>42124</v>
      </c>
    </row>
    <row r="1289" spans="1:3">
      <c r="A1289" t="s">
        <v>160</v>
      </c>
      <c r="B1289">
        <v>21.476813188245401</v>
      </c>
      <c r="C1289" s="1">
        <v>42124</v>
      </c>
    </row>
    <row r="1290" spans="1:3">
      <c r="A1290" t="s">
        <v>162</v>
      </c>
      <c r="B1290">
        <v>5.5201716271679997</v>
      </c>
      <c r="C1290" s="1">
        <v>42124</v>
      </c>
    </row>
    <row r="1291" spans="1:3">
      <c r="A1291" t="s">
        <v>164</v>
      </c>
      <c r="B1291">
        <v>4.5399229685254401</v>
      </c>
      <c r="C1291" s="1">
        <v>42124</v>
      </c>
    </row>
    <row r="1292" spans="1:3">
      <c r="A1292" t="s">
        <v>166</v>
      </c>
      <c r="B1292">
        <v>7.9540654809647897</v>
      </c>
      <c r="C1292" s="1">
        <v>42124</v>
      </c>
    </row>
    <row r="1293" spans="1:3">
      <c r="A1293" t="s">
        <v>168</v>
      </c>
      <c r="B1293">
        <v>9.0748275992079996</v>
      </c>
      <c r="C1293" s="1">
        <v>42124</v>
      </c>
    </row>
    <row r="1294" spans="1:3">
      <c r="A1294" t="s">
        <v>4</v>
      </c>
      <c r="B1294">
        <v>0.18080581865940001</v>
      </c>
      <c r="C1294" s="1">
        <v>42155</v>
      </c>
    </row>
    <row r="1295" spans="1:3">
      <c r="A1295" t="s">
        <v>8</v>
      </c>
      <c r="B1295">
        <v>22.518542869398001</v>
      </c>
      <c r="C1295" s="1">
        <v>42155</v>
      </c>
    </row>
    <row r="1296" spans="1:3">
      <c r="A1296" t="s">
        <v>11</v>
      </c>
      <c r="B1296">
        <v>55.377534876853098</v>
      </c>
      <c r="C1296" s="1">
        <v>42155</v>
      </c>
    </row>
    <row r="1297" spans="1:3">
      <c r="A1297" t="s">
        <v>14</v>
      </c>
      <c r="B1297">
        <v>9.1471307349050992</v>
      </c>
      <c r="C1297" s="1">
        <v>42155</v>
      </c>
    </row>
    <row r="1298" spans="1:3">
      <c r="A1298" t="s">
        <v>17</v>
      </c>
      <c r="B1298">
        <v>8.6532021121128295</v>
      </c>
      <c r="C1298" s="1">
        <v>42155</v>
      </c>
    </row>
    <row r="1299" spans="1:3">
      <c r="A1299" t="s">
        <v>20</v>
      </c>
      <c r="B1299">
        <v>1.9313348811344999</v>
      </c>
      <c r="C1299" s="1">
        <v>42155</v>
      </c>
    </row>
    <row r="1300" spans="1:3">
      <c r="A1300" t="s">
        <v>24</v>
      </c>
      <c r="B1300">
        <v>3.12300959502599</v>
      </c>
      <c r="C1300" s="1">
        <v>42155</v>
      </c>
    </row>
    <row r="1301" spans="1:3">
      <c r="A1301" t="s">
        <v>27</v>
      </c>
      <c r="B1301">
        <v>15.648743604970999</v>
      </c>
      <c r="C1301" s="1">
        <v>42155</v>
      </c>
    </row>
    <row r="1302" spans="1:3">
      <c r="A1302" t="s">
        <v>29</v>
      </c>
      <c r="B1302">
        <v>2.9972673665946901</v>
      </c>
      <c r="C1302" s="1">
        <v>42155</v>
      </c>
    </row>
    <row r="1303" spans="1:3">
      <c r="A1303" t="s">
        <v>32</v>
      </c>
      <c r="B1303">
        <v>10.9814879496677</v>
      </c>
      <c r="C1303" s="1">
        <v>42155</v>
      </c>
    </row>
    <row r="1304" spans="1:3">
      <c r="A1304" t="s">
        <v>35</v>
      </c>
      <c r="B1304">
        <v>4.1100449959802701</v>
      </c>
      <c r="C1304" s="1">
        <v>42155</v>
      </c>
    </row>
    <row r="1305" spans="1:3">
      <c r="A1305" t="s">
        <v>37</v>
      </c>
      <c r="B1305">
        <v>0.66405046125816003</v>
      </c>
      <c r="C1305" s="1">
        <v>42155</v>
      </c>
    </row>
    <row r="1306" spans="1:3">
      <c r="A1306" t="s">
        <v>39</v>
      </c>
      <c r="B1306">
        <v>1.88942080499073</v>
      </c>
      <c r="C1306" s="1">
        <v>42155</v>
      </c>
    </row>
    <row r="1307" spans="1:3">
      <c r="A1307" t="s">
        <v>42</v>
      </c>
      <c r="B1307">
        <v>1.4957572270913999</v>
      </c>
      <c r="C1307" s="1">
        <v>42155</v>
      </c>
    </row>
    <row r="1308" spans="1:3">
      <c r="A1308" t="s">
        <v>44</v>
      </c>
      <c r="B1308">
        <v>6.9034948942680003</v>
      </c>
      <c r="C1308" s="1">
        <v>42155</v>
      </c>
    </row>
    <row r="1309" spans="1:3">
      <c r="A1309" t="s">
        <v>47</v>
      </c>
      <c r="B1309">
        <v>10.889441351077499</v>
      </c>
      <c r="C1309" s="1">
        <v>42155</v>
      </c>
    </row>
    <row r="1310" spans="1:3">
      <c r="A1310" t="s">
        <v>49</v>
      </c>
      <c r="B1310">
        <v>15.3027470156273</v>
      </c>
      <c r="C1310" s="1">
        <v>42155</v>
      </c>
    </row>
    <row r="1311" spans="1:3">
      <c r="A1311" t="s">
        <v>51</v>
      </c>
      <c r="B1311">
        <v>1.5409586817562499</v>
      </c>
      <c r="C1311" s="1">
        <v>42155</v>
      </c>
    </row>
    <row r="1312" spans="1:3">
      <c r="A1312" t="s">
        <v>53</v>
      </c>
      <c r="B1312">
        <v>1.4135727640644</v>
      </c>
      <c r="C1312" s="1">
        <v>42155</v>
      </c>
    </row>
    <row r="1313" spans="1:3">
      <c r="A1313" t="s">
        <v>55</v>
      </c>
      <c r="B1313">
        <v>7.2733249778894997</v>
      </c>
      <c r="C1313" s="1">
        <v>42155</v>
      </c>
    </row>
    <row r="1314" spans="1:3">
      <c r="A1314" t="s">
        <v>57</v>
      </c>
      <c r="B1314">
        <v>5.7134638696370397</v>
      </c>
      <c r="C1314" s="1">
        <v>42155</v>
      </c>
    </row>
    <row r="1315" spans="1:3">
      <c r="A1315" t="s">
        <v>59</v>
      </c>
      <c r="B1315">
        <v>7.5905570051737197</v>
      </c>
      <c r="C1315" s="1">
        <v>42155</v>
      </c>
    </row>
    <row r="1316" spans="1:3">
      <c r="A1316" t="s">
        <v>61</v>
      </c>
      <c r="B1316">
        <v>41.639580037259798</v>
      </c>
      <c r="C1316" s="1">
        <v>42155</v>
      </c>
    </row>
    <row r="1317" spans="1:3">
      <c r="A1317" t="s">
        <v>63</v>
      </c>
      <c r="B1317">
        <v>13.5776951366906</v>
      </c>
      <c r="C1317" s="1">
        <v>42155</v>
      </c>
    </row>
    <row r="1318" spans="1:3">
      <c r="A1318" t="s">
        <v>65</v>
      </c>
      <c r="B1318">
        <v>0.87937375438889998</v>
      </c>
      <c r="C1318" s="1">
        <v>42155</v>
      </c>
    </row>
    <row r="1319" spans="1:3">
      <c r="A1319" t="s">
        <v>67</v>
      </c>
      <c r="B1319">
        <v>10.011711285949101</v>
      </c>
      <c r="C1319" s="1">
        <v>42155</v>
      </c>
    </row>
    <row r="1320" spans="1:3">
      <c r="A1320" t="s">
        <v>69</v>
      </c>
      <c r="B1320">
        <v>7.1295021675922499</v>
      </c>
      <c r="C1320" s="1">
        <v>42155</v>
      </c>
    </row>
    <row r="1321" spans="1:3">
      <c r="A1321" t="s">
        <v>71</v>
      </c>
      <c r="B1321">
        <v>0.91800045201158997</v>
      </c>
      <c r="C1321" s="1">
        <v>42155</v>
      </c>
    </row>
    <row r="1322" spans="1:3">
      <c r="A1322" t="s">
        <v>73</v>
      </c>
      <c r="B1322">
        <v>3.1977974563805698</v>
      </c>
      <c r="C1322" s="1">
        <v>42155</v>
      </c>
    </row>
    <row r="1323" spans="1:3">
      <c r="A1323" t="s">
        <v>75</v>
      </c>
      <c r="B1323">
        <v>0.38133590844527998</v>
      </c>
      <c r="C1323" s="1">
        <v>42155</v>
      </c>
    </row>
    <row r="1324" spans="1:3">
      <c r="A1324" t="s">
        <v>77</v>
      </c>
      <c r="B1324">
        <v>2.1195373014663299</v>
      </c>
      <c r="C1324" s="1">
        <v>42155</v>
      </c>
    </row>
    <row r="1325" spans="1:3">
      <c r="A1325" t="s">
        <v>79</v>
      </c>
      <c r="B1325">
        <v>9.4240923753060901</v>
      </c>
      <c r="C1325" s="1">
        <v>42155</v>
      </c>
    </row>
    <row r="1326" spans="1:3">
      <c r="A1326" t="s">
        <v>81</v>
      </c>
      <c r="B1326">
        <v>9.4684719853406598</v>
      </c>
      <c r="C1326" s="1">
        <v>42155</v>
      </c>
    </row>
    <row r="1327" spans="1:3">
      <c r="A1327" t="s">
        <v>83</v>
      </c>
      <c r="B1327">
        <v>0.48488833185930003</v>
      </c>
      <c r="C1327" s="1">
        <v>42155</v>
      </c>
    </row>
    <row r="1328" spans="1:3">
      <c r="A1328" t="s">
        <v>85</v>
      </c>
      <c r="B1328">
        <v>9.4010807256585291</v>
      </c>
      <c r="C1328" s="1">
        <v>42155</v>
      </c>
    </row>
    <row r="1329" spans="1:3">
      <c r="A1329" t="s">
        <v>87</v>
      </c>
      <c r="B1329">
        <v>30.0228061883933</v>
      </c>
      <c r="C1329" s="1">
        <v>42155</v>
      </c>
    </row>
    <row r="1330" spans="1:3">
      <c r="A1330" t="s">
        <v>89</v>
      </c>
      <c r="B1330">
        <v>13.231698547346999</v>
      </c>
      <c r="C1330" s="1">
        <v>42155</v>
      </c>
    </row>
    <row r="1331" spans="1:3">
      <c r="A1331" t="s">
        <v>91</v>
      </c>
      <c r="B1331">
        <v>17.751844013831999</v>
      </c>
      <c r="C1331" s="1">
        <v>42155</v>
      </c>
    </row>
    <row r="1332" spans="1:3">
      <c r="A1332" t="s">
        <v>93</v>
      </c>
      <c r="B1332">
        <v>23.422571962694999</v>
      </c>
      <c r="C1332" s="1">
        <v>42155</v>
      </c>
    </row>
    <row r="1333" spans="1:3">
      <c r="A1333" t="s">
        <v>95</v>
      </c>
      <c r="B1333">
        <v>1.3067329621293</v>
      </c>
      <c r="C1333" s="1">
        <v>42155</v>
      </c>
    </row>
    <row r="1334" spans="1:3">
      <c r="A1334" t="s">
        <v>97</v>
      </c>
      <c r="B1334">
        <v>13.6253621252463</v>
      </c>
      <c r="C1334" s="1">
        <v>42155</v>
      </c>
    </row>
    <row r="1335" spans="1:3">
      <c r="A1335" t="s">
        <v>99</v>
      </c>
      <c r="B1335">
        <v>7.7483511741855597</v>
      </c>
      <c r="C1335" s="1">
        <v>42155</v>
      </c>
    </row>
    <row r="1336" spans="1:3">
      <c r="A1336" t="s">
        <v>101</v>
      </c>
      <c r="B1336">
        <v>10.6757617472073</v>
      </c>
      <c r="C1336" s="1">
        <v>42155</v>
      </c>
    </row>
    <row r="1337" spans="1:3">
      <c r="A1337" t="s">
        <v>103</v>
      </c>
      <c r="B1337">
        <v>1.4505557724265401</v>
      </c>
      <c r="C1337" s="1">
        <v>42155</v>
      </c>
    </row>
    <row r="1338" spans="1:3">
      <c r="A1338" t="s">
        <v>105</v>
      </c>
      <c r="B1338">
        <v>1.6683445994481001</v>
      </c>
      <c r="C1338" s="1">
        <v>42155</v>
      </c>
    </row>
    <row r="1339" spans="1:3">
      <c r="A1339" t="s">
        <v>107</v>
      </c>
      <c r="B1339">
        <v>10.223747200558799</v>
      </c>
      <c r="C1339" s="1">
        <v>42155</v>
      </c>
    </row>
    <row r="1340" spans="1:3">
      <c r="A1340" t="s">
        <v>109</v>
      </c>
      <c r="B1340">
        <v>1.47521111133465</v>
      </c>
      <c r="C1340" s="1">
        <v>42155</v>
      </c>
    </row>
    <row r="1341" spans="1:3">
      <c r="A1341" t="s">
        <v>111</v>
      </c>
      <c r="B1341">
        <v>9.9878777916713002</v>
      </c>
      <c r="C1341" s="1">
        <v>42155</v>
      </c>
    </row>
    <row r="1342" spans="1:3">
      <c r="A1342" t="s">
        <v>113</v>
      </c>
      <c r="B1342">
        <v>13.3549752418875</v>
      </c>
      <c r="C1342" s="1">
        <v>42155</v>
      </c>
    </row>
    <row r="1343" spans="1:3">
      <c r="A1343" t="s">
        <v>115</v>
      </c>
      <c r="B1343">
        <v>7.8403977727758001</v>
      </c>
      <c r="C1343" s="1">
        <v>42155</v>
      </c>
    </row>
    <row r="1344" spans="1:3">
      <c r="A1344" t="s">
        <v>117</v>
      </c>
      <c r="B1344">
        <v>4.68862361569035</v>
      </c>
      <c r="C1344" s="1">
        <v>42155</v>
      </c>
    </row>
    <row r="1345" spans="1:3">
      <c r="A1345" t="s">
        <v>119</v>
      </c>
      <c r="B1345">
        <v>12.738591769185</v>
      </c>
      <c r="C1345" s="1">
        <v>42155</v>
      </c>
    </row>
    <row r="1346" spans="1:3">
      <c r="A1346" t="s">
        <v>121</v>
      </c>
      <c r="B1346">
        <v>20.422839062209501</v>
      </c>
      <c r="C1346" s="1">
        <v>42155</v>
      </c>
    </row>
    <row r="1347" spans="1:3">
      <c r="A1347" t="s">
        <v>123</v>
      </c>
      <c r="B1347">
        <v>5.6271701834586896</v>
      </c>
      <c r="C1347" s="1">
        <v>42155</v>
      </c>
    </row>
    <row r="1348" spans="1:3">
      <c r="A1348" t="s">
        <v>125</v>
      </c>
      <c r="B1348">
        <v>146.703375726346</v>
      </c>
      <c r="C1348" s="1">
        <v>42155</v>
      </c>
    </row>
    <row r="1349" spans="1:3">
      <c r="A1349" t="s">
        <v>127</v>
      </c>
      <c r="B1349">
        <v>17.6877401326709</v>
      </c>
      <c r="C1349" s="1">
        <v>42155</v>
      </c>
    </row>
    <row r="1350" spans="1:3">
      <c r="A1350" t="s">
        <v>129</v>
      </c>
      <c r="B1350">
        <v>4.2735920774040004</v>
      </c>
      <c r="C1350" s="1">
        <v>42155</v>
      </c>
    </row>
    <row r="1351" spans="1:3">
      <c r="A1351" t="s">
        <v>131</v>
      </c>
      <c r="B1351">
        <v>5.4693760144468397</v>
      </c>
      <c r="C1351" s="1">
        <v>42155</v>
      </c>
    </row>
    <row r="1352" spans="1:3">
      <c r="A1352" t="s">
        <v>134</v>
      </c>
      <c r="B1352">
        <v>2.6940066980250599</v>
      </c>
      <c r="C1352" s="1">
        <v>42155</v>
      </c>
    </row>
    <row r="1353" spans="1:3">
      <c r="A1353" t="s">
        <v>136</v>
      </c>
      <c r="B1353">
        <v>13.2325203919772</v>
      </c>
      <c r="C1353" s="1">
        <v>42155</v>
      </c>
    </row>
    <row r="1354" spans="1:3">
      <c r="A1354" t="s">
        <v>138</v>
      </c>
      <c r="B1354">
        <v>24.7358796818664</v>
      </c>
      <c r="C1354" s="1">
        <v>42155</v>
      </c>
    </row>
    <row r="1355" spans="1:3">
      <c r="A1355" t="s">
        <v>140</v>
      </c>
      <c r="B1355">
        <v>7.08101333440632</v>
      </c>
      <c r="C1355" s="1">
        <v>42155</v>
      </c>
    </row>
    <row r="1356" spans="1:3">
      <c r="A1356" t="s">
        <v>142</v>
      </c>
      <c r="B1356">
        <v>9.0386472437094607</v>
      </c>
      <c r="C1356" s="1">
        <v>42155</v>
      </c>
    </row>
    <row r="1357" spans="1:3">
      <c r="A1357" t="s">
        <v>144</v>
      </c>
      <c r="B1357">
        <v>5.5433420311711501</v>
      </c>
      <c r="C1357" s="1">
        <v>42155</v>
      </c>
    </row>
    <row r="1358" spans="1:3">
      <c r="A1358" t="s">
        <v>146</v>
      </c>
      <c r="B1358">
        <v>3.9637566517921998</v>
      </c>
      <c r="C1358" s="1">
        <v>42155</v>
      </c>
    </row>
    <row r="1359" spans="1:3">
      <c r="A1359" t="s">
        <v>148</v>
      </c>
      <c r="B1359">
        <v>12.9933636045687</v>
      </c>
      <c r="C1359" s="1">
        <v>42155</v>
      </c>
    </row>
    <row r="1360" spans="1:3">
      <c r="A1360" t="s">
        <v>150</v>
      </c>
      <c r="B1360">
        <v>6.6487230588842996</v>
      </c>
      <c r="C1360" s="1">
        <v>42155</v>
      </c>
    </row>
    <row r="1361" spans="1:3">
      <c r="A1361" t="s">
        <v>152</v>
      </c>
      <c r="B1361">
        <v>9.6690020751265493</v>
      </c>
      <c r="C1361" s="1">
        <v>42155</v>
      </c>
    </row>
    <row r="1362" spans="1:3">
      <c r="A1362" t="s">
        <v>154</v>
      </c>
      <c r="B1362">
        <v>23.093834110587</v>
      </c>
      <c r="C1362" s="1">
        <v>42155</v>
      </c>
    </row>
    <row r="1363" spans="1:3">
      <c r="A1363" t="s">
        <v>156</v>
      </c>
      <c r="B1363">
        <v>35.191387068161397</v>
      </c>
      <c r="C1363" s="1">
        <v>42155</v>
      </c>
    </row>
    <row r="1364" spans="1:3">
      <c r="A1364" t="s">
        <v>158</v>
      </c>
      <c r="B1364">
        <v>23.747200591651598</v>
      </c>
      <c r="C1364" s="1">
        <v>42155</v>
      </c>
    </row>
    <row r="1365" spans="1:3">
      <c r="A1365" t="s">
        <v>160</v>
      </c>
      <c r="B1365">
        <v>19.806455589506999</v>
      </c>
      <c r="C1365" s="1">
        <v>42155</v>
      </c>
    </row>
    <row r="1366" spans="1:3">
      <c r="A1366" t="s">
        <v>162</v>
      </c>
      <c r="B1366">
        <v>5.0379075835550999</v>
      </c>
      <c r="C1366" s="1">
        <v>42155</v>
      </c>
    </row>
    <row r="1367" spans="1:3">
      <c r="A1367" t="s">
        <v>164</v>
      </c>
      <c r="B1367">
        <v>3.4739372521512899</v>
      </c>
      <c r="C1367" s="1">
        <v>42155</v>
      </c>
    </row>
    <row r="1368" spans="1:3">
      <c r="A1368" t="s">
        <v>166</v>
      </c>
      <c r="B1368">
        <v>8.0770890262935602</v>
      </c>
      <c r="C1368" s="1">
        <v>42155</v>
      </c>
    </row>
    <row r="1369" spans="1:3">
      <c r="A1369" t="s">
        <v>168</v>
      </c>
      <c r="B1369">
        <v>8.0376404840405993</v>
      </c>
      <c r="C1369" s="1">
        <v>42155</v>
      </c>
    </row>
    <row r="1370" spans="1:3">
      <c r="A1370" t="s">
        <v>8</v>
      </c>
      <c r="B1370">
        <v>21.734670758694399</v>
      </c>
      <c r="C1370" s="1">
        <v>42185</v>
      </c>
    </row>
    <row r="1371" spans="1:3">
      <c r="A1371" t="s">
        <v>11</v>
      </c>
      <c r="B1371">
        <v>54.0643859037583</v>
      </c>
      <c r="C1371" s="1">
        <v>42185</v>
      </c>
    </row>
    <row r="1372" spans="1:3">
      <c r="A1372" t="s">
        <v>14</v>
      </c>
      <c r="B1372">
        <v>9.0758171819786302</v>
      </c>
      <c r="C1372" s="1">
        <v>42185</v>
      </c>
    </row>
    <row r="1373" spans="1:3">
      <c r="A1373" t="s">
        <v>17</v>
      </c>
      <c r="B1373">
        <v>8.1744969208053799</v>
      </c>
      <c r="C1373" s="1">
        <v>42185</v>
      </c>
    </row>
    <row r="1374" spans="1:3">
      <c r="A1374" t="s">
        <v>20</v>
      </c>
      <c r="B1374">
        <v>1.8290045519237901</v>
      </c>
      <c r="C1374" s="1">
        <v>42185</v>
      </c>
    </row>
    <row r="1375" spans="1:3">
      <c r="A1375" t="s">
        <v>24</v>
      </c>
      <c r="B1375">
        <v>2.8423719388005</v>
      </c>
      <c r="C1375" s="1">
        <v>42185</v>
      </c>
    </row>
    <row r="1376" spans="1:3">
      <c r="A1376" t="s">
        <v>27</v>
      </c>
      <c r="B1376">
        <v>14.5743651006901</v>
      </c>
      <c r="C1376" s="1">
        <v>42185</v>
      </c>
    </row>
    <row r="1377" spans="1:3">
      <c r="A1377" t="s">
        <v>29</v>
      </c>
      <c r="B1377">
        <v>3.09200634386037</v>
      </c>
      <c r="C1377" s="1">
        <v>42185</v>
      </c>
    </row>
    <row r="1378" spans="1:3">
      <c r="A1378" t="s">
        <v>32</v>
      </c>
      <c r="B1378">
        <v>11.427159069902199</v>
      </c>
      <c r="C1378" s="1">
        <v>42185</v>
      </c>
    </row>
    <row r="1379" spans="1:3">
      <c r="A1379" t="s">
        <v>35</v>
      </c>
      <c r="B1379">
        <v>4.1564540380430497</v>
      </c>
      <c r="C1379" s="1">
        <v>42185</v>
      </c>
    </row>
    <row r="1380" spans="1:3">
      <c r="A1380" t="s">
        <v>37</v>
      </c>
      <c r="B1380">
        <v>0.66651562275060905</v>
      </c>
      <c r="C1380" s="1">
        <v>42185</v>
      </c>
    </row>
    <row r="1381" spans="1:3">
      <c r="A1381" t="s">
        <v>39</v>
      </c>
      <c r="B1381">
        <v>1.66834874668725</v>
      </c>
      <c r="C1381" s="1">
        <v>42185</v>
      </c>
    </row>
    <row r="1382" spans="1:3">
      <c r="A1382" t="s">
        <v>42</v>
      </c>
      <c r="B1382">
        <v>1.5563016209838101</v>
      </c>
      <c r="C1382" s="1">
        <v>42185</v>
      </c>
    </row>
    <row r="1383" spans="1:3">
      <c r="A1383" t="s">
        <v>44</v>
      </c>
      <c r="B1383">
        <v>7.1611295339286798</v>
      </c>
      <c r="C1383" s="1">
        <v>42185</v>
      </c>
    </row>
    <row r="1384" spans="1:3">
      <c r="A1384" t="s">
        <v>47</v>
      </c>
      <c r="B1384">
        <v>10.585981751202199</v>
      </c>
      <c r="C1384" s="1">
        <v>42185</v>
      </c>
    </row>
    <row r="1385" spans="1:3">
      <c r="A1385" t="s">
        <v>49</v>
      </c>
      <c r="B1385">
        <v>15.6256307800841</v>
      </c>
      <c r="C1385" s="1">
        <v>42185</v>
      </c>
    </row>
    <row r="1386" spans="1:3">
      <c r="A1386" t="s">
        <v>51</v>
      </c>
      <c r="B1386">
        <v>1.4788572841005401</v>
      </c>
      <c r="C1386" s="1">
        <v>42185</v>
      </c>
    </row>
    <row r="1387" spans="1:3">
      <c r="A1387" t="s">
        <v>53</v>
      </c>
      <c r="B1387">
        <v>1.39894131944442</v>
      </c>
      <c r="C1387" s="1">
        <v>42185</v>
      </c>
    </row>
    <row r="1388" spans="1:3">
      <c r="A1388" t="s">
        <v>55</v>
      </c>
      <c r="B1388">
        <v>6.7895614920738803</v>
      </c>
      <c r="C1388" s="1">
        <v>42185</v>
      </c>
    </row>
    <row r="1389" spans="1:3">
      <c r="A1389" t="s">
        <v>57</v>
      </c>
      <c r="B1389">
        <v>5.2835163024717602</v>
      </c>
      <c r="C1389" s="1">
        <v>42185</v>
      </c>
    </row>
    <row r="1390" spans="1:3">
      <c r="A1390" t="s">
        <v>59</v>
      </c>
      <c r="B1390">
        <v>7.9462832897770497</v>
      </c>
      <c r="C1390" s="1">
        <v>42185</v>
      </c>
    </row>
    <row r="1391" spans="1:3">
      <c r="A1391" t="s">
        <v>61</v>
      </c>
      <c r="B1391">
        <v>39.954686824367798</v>
      </c>
      <c r="C1391" s="1">
        <v>42185</v>
      </c>
    </row>
    <row r="1392" spans="1:3">
      <c r="A1392" t="s">
        <v>63</v>
      </c>
      <c r="B1392">
        <v>13.2644023810689</v>
      </c>
      <c r="C1392" s="1">
        <v>42185</v>
      </c>
    </row>
    <row r="1393" spans="1:3">
      <c r="A1393" t="s">
        <v>65</v>
      </c>
      <c r="B1393">
        <v>0.84117731870009005</v>
      </c>
      <c r="C1393" s="1">
        <v>42185</v>
      </c>
    </row>
    <row r="1394" spans="1:3">
      <c r="A1394" t="s">
        <v>67</v>
      </c>
      <c r="B1394">
        <v>10.4195588144956</v>
      </c>
      <c r="C1394" s="1">
        <v>42185</v>
      </c>
    </row>
    <row r="1395" spans="1:3">
      <c r="A1395" t="s">
        <v>69</v>
      </c>
      <c r="B1395">
        <v>7.0606166711652998</v>
      </c>
      <c r="C1395" s="1">
        <v>42185</v>
      </c>
    </row>
    <row r="1396" spans="1:3">
      <c r="A1396" t="s">
        <v>71</v>
      </c>
      <c r="B1396">
        <v>0.94333793331204996</v>
      </c>
      <c r="C1396" s="1">
        <v>42185</v>
      </c>
    </row>
    <row r="1397" spans="1:3">
      <c r="A1397" t="s">
        <v>73</v>
      </c>
      <c r="B1397">
        <v>3.1537970381821201</v>
      </c>
      <c r="C1397" s="1">
        <v>42185</v>
      </c>
    </row>
    <row r="1398" spans="1:3">
      <c r="A1398" t="s">
        <v>75</v>
      </c>
      <c r="B1398">
        <v>0.37733517332481997</v>
      </c>
      <c r="C1398" s="1">
        <v>42185</v>
      </c>
    </row>
    <row r="1399" spans="1:3">
      <c r="A1399" t="s">
        <v>77</v>
      </c>
      <c r="B1399">
        <v>2.1799756956713399</v>
      </c>
      <c r="C1399" s="1">
        <v>42185</v>
      </c>
    </row>
    <row r="1400" spans="1:3">
      <c r="A1400" t="s">
        <v>79</v>
      </c>
      <c r="B1400">
        <v>9.4745731293349902</v>
      </c>
      <c r="C1400" s="1">
        <v>42185</v>
      </c>
    </row>
    <row r="1401" spans="1:3">
      <c r="A1401" t="s">
        <v>81</v>
      </c>
      <c r="B1401">
        <v>8.1563716504709998</v>
      </c>
      <c r="C1401" s="1">
        <v>42185</v>
      </c>
    </row>
    <row r="1402" spans="1:3">
      <c r="A1402" t="s">
        <v>83</v>
      </c>
      <c r="B1402">
        <v>0.50503594158976906</v>
      </c>
      <c r="C1402" s="1">
        <v>42185</v>
      </c>
    </row>
    <row r="1403" spans="1:3">
      <c r="A1403" t="s">
        <v>85</v>
      </c>
      <c r="B1403">
        <v>9.9688986839089999</v>
      </c>
      <c r="C1403" s="1">
        <v>42185</v>
      </c>
    </row>
    <row r="1404" spans="1:3">
      <c r="A1404" t="s">
        <v>87</v>
      </c>
      <c r="B1404">
        <v>29.659533274439902</v>
      </c>
      <c r="C1404" s="1">
        <v>42185</v>
      </c>
    </row>
    <row r="1405" spans="1:3">
      <c r="A1405" t="s">
        <v>89</v>
      </c>
      <c r="B1405">
        <v>12.5393915676937</v>
      </c>
      <c r="C1405" s="1">
        <v>42185</v>
      </c>
    </row>
    <row r="1406" spans="1:3">
      <c r="A1406" t="s">
        <v>91</v>
      </c>
      <c r="B1406">
        <v>17.754526168449399</v>
      </c>
      <c r="C1406" s="1">
        <v>42185</v>
      </c>
    </row>
    <row r="1407" spans="1:3">
      <c r="A1407" t="s">
        <v>93</v>
      </c>
      <c r="B1407">
        <v>24.798665321129</v>
      </c>
      <c r="C1407" s="1">
        <v>42185</v>
      </c>
    </row>
    <row r="1408" spans="1:3">
      <c r="A1408" t="s">
        <v>95</v>
      </c>
      <c r="B1408">
        <v>1.1081131181700401</v>
      </c>
      <c r="C1408" s="1">
        <v>42185</v>
      </c>
    </row>
    <row r="1409" spans="1:3">
      <c r="A1409" t="s">
        <v>97</v>
      </c>
      <c r="B1409">
        <v>14.872608185282999</v>
      </c>
      <c r="C1409" s="1">
        <v>42185</v>
      </c>
    </row>
    <row r="1410" spans="1:3">
      <c r="A1410" t="s">
        <v>99</v>
      </c>
      <c r="B1410">
        <v>7.9915964656130001</v>
      </c>
      <c r="C1410" s="1">
        <v>42185</v>
      </c>
    </row>
    <row r="1411" spans="1:3">
      <c r="A1411" t="s">
        <v>101</v>
      </c>
      <c r="B1411">
        <v>10.710387015769999</v>
      </c>
      <c r="C1411" s="1">
        <v>42185</v>
      </c>
    </row>
    <row r="1412" spans="1:3">
      <c r="A1412" t="s">
        <v>103</v>
      </c>
      <c r="B1412">
        <v>1.42118596940025</v>
      </c>
      <c r="C1412" s="1">
        <v>42185</v>
      </c>
    </row>
    <row r="1413" spans="1:3">
      <c r="A1413" t="s">
        <v>105</v>
      </c>
      <c r="B1413">
        <v>1.4541410063718401</v>
      </c>
      <c r="C1413" s="1">
        <v>42185</v>
      </c>
    </row>
    <row r="1414" spans="1:3">
      <c r="A1414" t="s">
        <v>107</v>
      </c>
      <c r="B1414">
        <v>9.1038289634044993</v>
      </c>
      <c r="C1414" s="1">
        <v>42185</v>
      </c>
    </row>
    <row r="1415" spans="1:3">
      <c r="A1415" t="s">
        <v>109</v>
      </c>
      <c r="B1415">
        <v>1.2844225659680999</v>
      </c>
      <c r="C1415" s="1">
        <v>42185</v>
      </c>
    </row>
    <row r="1416" spans="1:3">
      <c r="A1416" t="s">
        <v>111</v>
      </c>
      <c r="B1416">
        <v>9.3921855369060001</v>
      </c>
      <c r="C1416" s="1">
        <v>42185</v>
      </c>
    </row>
    <row r="1417" spans="1:3">
      <c r="A1417" t="s">
        <v>113</v>
      </c>
      <c r="B1417">
        <v>13.099627196210999</v>
      </c>
      <c r="C1417" s="1">
        <v>42185</v>
      </c>
    </row>
    <row r="1418" spans="1:3">
      <c r="A1418" t="s">
        <v>115</v>
      </c>
      <c r="B1418">
        <v>8.1234166134993995</v>
      </c>
      <c r="C1418" s="1">
        <v>42185</v>
      </c>
    </row>
    <row r="1419" spans="1:3">
      <c r="A1419" t="s">
        <v>117</v>
      </c>
      <c r="B1419">
        <v>4.7372865646674898</v>
      </c>
      <c r="C1419" s="1">
        <v>42185</v>
      </c>
    </row>
    <row r="1420" spans="1:3">
      <c r="A1420" t="s">
        <v>119</v>
      </c>
      <c r="B1420">
        <v>12.4372309530818</v>
      </c>
      <c r="C1420" s="1">
        <v>42185</v>
      </c>
    </row>
    <row r="1421" spans="1:3">
      <c r="A1421" t="s">
        <v>121</v>
      </c>
      <c r="B1421">
        <v>21.086280406278199</v>
      </c>
      <c r="C1421" s="1">
        <v>42185</v>
      </c>
    </row>
    <row r="1422" spans="1:3">
      <c r="A1422" t="s">
        <v>123</v>
      </c>
      <c r="B1422">
        <v>5.4655928817398598</v>
      </c>
      <c r="C1422" s="1">
        <v>42185</v>
      </c>
    </row>
    <row r="1423" spans="1:3">
      <c r="A1423" t="s">
        <v>125</v>
      </c>
      <c r="B1423">
        <v>156.124487652955</v>
      </c>
      <c r="C1423" s="1">
        <v>42185</v>
      </c>
    </row>
    <row r="1424" spans="1:3">
      <c r="A1424" t="s">
        <v>127</v>
      </c>
      <c r="B1424">
        <v>18.846161768133701</v>
      </c>
      <c r="C1424" s="1">
        <v>42185</v>
      </c>
    </row>
    <row r="1425" spans="1:3">
      <c r="A1425" t="s">
        <v>129</v>
      </c>
      <c r="B1425">
        <v>4.39290642831428</v>
      </c>
      <c r="C1425" s="1">
        <v>42185</v>
      </c>
    </row>
    <row r="1426" spans="1:3">
      <c r="A1426" t="s">
        <v>131</v>
      </c>
      <c r="B1426">
        <v>5.3139997116705002</v>
      </c>
      <c r="C1426" s="1">
        <v>42185</v>
      </c>
    </row>
    <row r="1427" spans="1:3">
      <c r="A1427" t="s">
        <v>134</v>
      </c>
      <c r="B1427">
        <v>2.59768078928637</v>
      </c>
      <c r="C1427" s="1">
        <v>42185</v>
      </c>
    </row>
    <row r="1428" spans="1:3">
      <c r="A1428" t="s">
        <v>136</v>
      </c>
      <c r="B1428">
        <v>14.294247286431499</v>
      </c>
      <c r="C1428" s="1">
        <v>42185</v>
      </c>
    </row>
    <row r="1429" spans="1:3">
      <c r="A1429" t="s">
        <v>138</v>
      </c>
      <c r="B1429">
        <v>25.387736606996299</v>
      </c>
      <c r="C1429" s="1">
        <v>42185</v>
      </c>
    </row>
    <row r="1430" spans="1:3">
      <c r="A1430" t="s">
        <v>140</v>
      </c>
      <c r="B1430">
        <v>7.4148833186099896</v>
      </c>
      <c r="C1430" s="1">
        <v>42185</v>
      </c>
    </row>
    <row r="1431" spans="1:3">
      <c r="A1431" t="s">
        <v>142</v>
      </c>
      <c r="B1431">
        <v>9.0255607505969504</v>
      </c>
      <c r="C1431" s="1">
        <v>42185</v>
      </c>
    </row>
    <row r="1432" spans="1:3">
      <c r="A1432" t="s">
        <v>144</v>
      </c>
      <c r="B1432">
        <v>5.4622973780426998</v>
      </c>
      <c r="C1432" s="1">
        <v>42185</v>
      </c>
    </row>
    <row r="1433" spans="1:3">
      <c r="A1433" t="s">
        <v>146</v>
      </c>
      <c r="B1433">
        <v>3.5550246133113399</v>
      </c>
      <c r="C1433" s="1">
        <v>42185</v>
      </c>
    </row>
    <row r="1434" spans="1:3">
      <c r="A1434" t="s">
        <v>148</v>
      </c>
      <c r="B1434">
        <v>13.1960206793529</v>
      </c>
      <c r="C1434" s="1">
        <v>42185</v>
      </c>
    </row>
    <row r="1435" spans="1:3">
      <c r="A1435" t="s">
        <v>150</v>
      </c>
      <c r="B1435">
        <v>6.7187081625849396</v>
      </c>
      <c r="C1435" s="1">
        <v>42185</v>
      </c>
    </row>
    <row r="1436" spans="1:3">
      <c r="A1436" t="s">
        <v>152</v>
      </c>
      <c r="B1436">
        <v>9.0337995098398505</v>
      </c>
      <c r="C1436" s="1">
        <v>42185</v>
      </c>
    </row>
    <row r="1437" spans="1:3">
      <c r="A1437" t="s">
        <v>154</v>
      </c>
      <c r="B1437">
        <v>23.356058577697201</v>
      </c>
      <c r="C1437" s="1">
        <v>42185</v>
      </c>
    </row>
    <row r="1438" spans="1:3">
      <c r="A1438" t="s">
        <v>156</v>
      </c>
      <c r="B1438">
        <v>37.074416593049897</v>
      </c>
      <c r="C1438" s="1">
        <v>42185</v>
      </c>
    </row>
    <row r="1439" spans="1:3">
      <c r="A1439" t="s">
        <v>158</v>
      </c>
      <c r="B1439">
        <v>22.5923255958803</v>
      </c>
      <c r="C1439" s="1">
        <v>42185</v>
      </c>
    </row>
    <row r="1440" spans="1:3">
      <c r="A1440" t="s">
        <v>160</v>
      </c>
      <c r="B1440">
        <v>19.9213198493322</v>
      </c>
      <c r="C1440" s="1">
        <v>42185</v>
      </c>
    </row>
    <row r="1441" spans="1:3">
      <c r="A1441" t="s">
        <v>162</v>
      </c>
      <c r="B1441">
        <v>4.4736462688946999</v>
      </c>
      <c r="C1441" s="1">
        <v>42185</v>
      </c>
    </row>
    <row r="1442" spans="1:3">
      <c r="A1442" t="s">
        <v>164</v>
      </c>
      <c r="B1442">
        <v>3.2098206010338401</v>
      </c>
      <c r="C1442" s="1">
        <v>42185</v>
      </c>
    </row>
    <row r="1443" spans="1:3">
      <c r="A1443" t="s">
        <v>166</v>
      </c>
      <c r="B1443">
        <v>7.9504026693984997</v>
      </c>
      <c r="C1443" s="1">
        <v>42185</v>
      </c>
    </row>
    <row r="1444" spans="1:3">
      <c r="A1444" t="s">
        <v>168</v>
      </c>
      <c r="B1444">
        <v>6.8159255216511703</v>
      </c>
      <c r="C1444" s="1">
        <v>42185</v>
      </c>
    </row>
    <row r="1445" spans="1:3">
      <c r="A1445" t="s">
        <v>8</v>
      </c>
      <c r="B1445">
        <v>24.049298565344799</v>
      </c>
      <c r="C1445" s="1">
        <v>42216</v>
      </c>
    </row>
    <row r="1446" spans="1:3">
      <c r="A1446" t="s">
        <v>11</v>
      </c>
      <c r="B1446">
        <v>59.342157406469198</v>
      </c>
      <c r="C1446" s="1">
        <v>42216</v>
      </c>
    </row>
    <row r="1447" spans="1:3">
      <c r="A1447" t="s">
        <v>14</v>
      </c>
      <c r="B1447">
        <v>9.1693746532140601</v>
      </c>
      <c r="C1447" s="1">
        <v>42216</v>
      </c>
    </row>
    <row r="1448" spans="1:3">
      <c r="A1448" t="s">
        <v>17</v>
      </c>
      <c r="B1448">
        <v>8.6977886977587602</v>
      </c>
      <c r="C1448" s="1">
        <v>42216</v>
      </c>
    </row>
    <row r="1449" spans="1:3">
      <c r="A1449" t="s">
        <v>20</v>
      </c>
      <c r="B1449">
        <v>1.743679163028</v>
      </c>
      <c r="C1449" s="1">
        <v>42216</v>
      </c>
    </row>
    <row r="1450" spans="1:3">
      <c r="A1450" t="s">
        <v>24</v>
      </c>
      <c r="B1450">
        <v>2.77403503209</v>
      </c>
      <c r="C1450" s="1">
        <v>42216</v>
      </c>
    </row>
    <row r="1451" spans="1:3">
      <c r="A1451" t="s">
        <v>27</v>
      </c>
      <c r="B1451">
        <v>12.670999445149301</v>
      </c>
      <c r="C1451" s="1">
        <v>42216</v>
      </c>
    </row>
    <row r="1452" spans="1:3">
      <c r="A1452" t="s">
        <v>29</v>
      </c>
      <c r="B1452">
        <v>2.96504715858533</v>
      </c>
      <c r="C1452" s="1">
        <v>42216</v>
      </c>
    </row>
    <row r="1453" spans="1:3">
      <c r="A1453" t="s">
        <v>32</v>
      </c>
      <c r="B1453">
        <v>11.616073551517401</v>
      </c>
      <c r="C1453" s="1">
        <v>42216</v>
      </c>
    </row>
    <row r="1454" spans="1:3">
      <c r="A1454" t="s">
        <v>35</v>
      </c>
      <c r="B1454">
        <v>3.9787588174547999</v>
      </c>
      <c r="C1454" s="1">
        <v>42216</v>
      </c>
    </row>
    <row r="1455" spans="1:3">
      <c r="A1455" t="s">
        <v>37</v>
      </c>
      <c r="B1455">
        <v>0.69747166521119996</v>
      </c>
      <c r="C1455" s="1">
        <v>42216</v>
      </c>
    </row>
    <row r="1456" spans="1:3">
      <c r="A1456" t="s">
        <v>39</v>
      </c>
      <c r="B1456">
        <v>1.4583498454416</v>
      </c>
      <c r="C1456" s="1">
        <v>42216</v>
      </c>
    </row>
    <row r="1457" spans="1:3">
      <c r="A1457" t="s">
        <v>42</v>
      </c>
      <c r="B1457">
        <v>1.7064278354542199</v>
      </c>
      <c r="C1457" s="1">
        <v>42216</v>
      </c>
    </row>
    <row r="1458" spans="1:3">
      <c r="A1458" t="s">
        <v>44</v>
      </c>
      <c r="B1458">
        <v>5.9372275501103404</v>
      </c>
      <c r="C1458" s="1">
        <v>42216</v>
      </c>
    </row>
    <row r="1459" spans="1:3">
      <c r="A1459" t="s">
        <v>47</v>
      </c>
      <c r="B1459">
        <v>11.6826503922876</v>
      </c>
      <c r="C1459" s="1">
        <v>42216</v>
      </c>
    </row>
    <row r="1460" spans="1:3">
      <c r="A1460" t="s">
        <v>49</v>
      </c>
      <c r="B1460">
        <v>15.6828089085613</v>
      </c>
      <c r="C1460" s="1">
        <v>42216</v>
      </c>
    </row>
    <row r="1461" spans="1:3">
      <c r="A1461" t="s">
        <v>51</v>
      </c>
      <c r="B1461">
        <v>1.4337798208716599</v>
      </c>
      <c r="C1461" s="1">
        <v>42216</v>
      </c>
    </row>
    <row r="1462" spans="1:3">
      <c r="A1462" t="s">
        <v>53</v>
      </c>
      <c r="B1462">
        <v>1.3632400729128</v>
      </c>
      <c r="C1462" s="1">
        <v>42216</v>
      </c>
    </row>
    <row r="1463" spans="1:3">
      <c r="A1463" t="s">
        <v>55</v>
      </c>
      <c r="B1463">
        <v>6.1425061424849998</v>
      </c>
      <c r="C1463" s="1">
        <v>42216</v>
      </c>
    </row>
    <row r="1464" spans="1:3">
      <c r="A1464" t="s">
        <v>57</v>
      </c>
      <c r="B1464">
        <v>4.8727906792255196</v>
      </c>
      <c r="C1464" s="1">
        <v>42216</v>
      </c>
    </row>
    <row r="1465" spans="1:3">
      <c r="A1465" t="s">
        <v>59</v>
      </c>
      <c r="B1465">
        <v>7.9591027977850803</v>
      </c>
      <c r="C1465" s="1">
        <v>42216</v>
      </c>
    </row>
    <row r="1466" spans="1:3">
      <c r="A1466" t="s">
        <v>61</v>
      </c>
      <c r="B1466">
        <v>36.9136878813027</v>
      </c>
      <c r="C1466" s="1">
        <v>42216</v>
      </c>
    </row>
    <row r="1467" spans="1:3">
      <c r="A1467" t="s">
        <v>63</v>
      </c>
      <c r="B1467">
        <v>13.228184195880599</v>
      </c>
      <c r="C1467" s="1">
        <v>42216</v>
      </c>
    </row>
    <row r="1468" spans="1:3">
      <c r="A1468" t="s">
        <v>65</v>
      </c>
      <c r="B1468">
        <v>0.91146865340100003</v>
      </c>
      <c r="C1468" s="1">
        <v>42216</v>
      </c>
    </row>
    <row r="1469" spans="1:3">
      <c r="A1469" t="s">
        <v>67</v>
      </c>
      <c r="B1469">
        <v>10.7672188316979</v>
      </c>
      <c r="C1469" s="1">
        <v>42216</v>
      </c>
    </row>
    <row r="1470" spans="1:3">
      <c r="A1470" t="s">
        <v>69</v>
      </c>
      <c r="B1470">
        <v>6.7805341998657003</v>
      </c>
      <c r="C1470" s="1">
        <v>42216</v>
      </c>
    </row>
    <row r="1471" spans="1:3">
      <c r="A1471" t="s">
        <v>71</v>
      </c>
      <c r="B1471">
        <v>0.96853451691827996</v>
      </c>
      <c r="C1471" s="1">
        <v>42216</v>
      </c>
    </row>
    <row r="1472" spans="1:3">
      <c r="A1472" t="s">
        <v>73</v>
      </c>
      <c r="B1472">
        <v>3.2012364270318598</v>
      </c>
      <c r="C1472" s="1">
        <v>42216</v>
      </c>
    </row>
    <row r="1473" spans="1:3">
      <c r="A1473" t="s">
        <v>75</v>
      </c>
      <c r="B1473">
        <v>0.3685503685491</v>
      </c>
      <c r="C1473" s="1">
        <v>42216</v>
      </c>
    </row>
    <row r="1474" spans="1:3">
      <c r="A1474" t="s">
        <v>77</v>
      </c>
      <c r="B1474">
        <v>2.1970357454152798</v>
      </c>
      <c r="C1474" s="1">
        <v>42216</v>
      </c>
    </row>
    <row r="1475" spans="1:3">
      <c r="A1475" t="s">
        <v>79</v>
      </c>
      <c r="B1475">
        <v>10.2060711737779</v>
      </c>
      <c r="C1475" s="1">
        <v>42216</v>
      </c>
    </row>
    <row r="1476" spans="1:3">
      <c r="A1476" t="s">
        <v>81</v>
      </c>
      <c r="B1476">
        <v>7.5675675675415199</v>
      </c>
      <c r="C1476" s="1">
        <v>42216</v>
      </c>
    </row>
    <row r="1477" spans="1:3">
      <c r="A1477" t="s">
        <v>83</v>
      </c>
      <c r="B1477">
        <v>0.49298565427427998</v>
      </c>
      <c r="C1477" s="1">
        <v>42216</v>
      </c>
    </row>
    <row r="1478" spans="1:3">
      <c r="A1478" t="s">
        <v>85</v>
      </c>
      <c r="B1478">
        <v>10.2734405959858</v>
      </c>
      <c r="C1478" s="1">
        <v>42216</v>
      </c>
    </row>
    <row r="1479" spans="1:3">
      <c r="A1479" t="s">
        <v>87</v>
      </c>
      <c r="B1479">
        <v>29.4063565030294</v>
      </c>
      <c r="C1479" s="1">
        <v>42216</v>
      </c>
    </row>
    <row r="1480" spans="1:3">
      <c r="A1480" t="s">
        <v>89</v>
      </c>
      <c r="B1480">
        <v>11.016881984586</v>
      </c>
      <c r="C1480" s="1">
        <v>42216</v>
      </c>
    </row>
    <row r="1481" spans="1:3">
      <c r="A1481" t="s">
        <v>91</v>
      </c>
      <c r="B1481">
        <v>16.961242767636001</v>
      </c>
      <c r="C1481" s="1">
        <v>42216</v>
      </c>
    </row>
    <row r="1482" spans="1:3">
      <c r="A1482" t="s">
        <v>93</v>
      </c>
      <c r="B1482">
        <v>23.935959419747999</v>
      </c>
      <c r="C1482" s="1">
        <v>42216</v>
      </c>
    </row>
    <row r="1483" spans="1:3">
      <c r="A1483" t="s">
        <v>95</v>
      </c>
      <c r="B1483">
        <v>1.0596813822583799</v>
      </c>
      <c r="C1483" s="1">
        <v>42216</v>
      </c>
    </row>
    <row r="1484" spans="1:3">
      <c r="A1484" t="s">
        <v>97</v>
      </c>
      <c r="B1484">
        <v>13.87017516045</v>
      </c>
      <c r="C1484" s="1">
        <v>42216</v>
      </c>
    </row>
    <row r="1485" spans="1:3">
      <c r="A1485" t="s">
        <v>99</v>
      </c>
      <c r="B1485">
        <v>7.9020369342677999</v>
      </c>
      <c r="C1485" s="1">
        <v>42216</v>
      </c>
    </row>
    <row r="1486" spans="1:3">
      <c r="A1486" t="s">
        <v>101</v>
      </c>
      <c r="B1486">
        <v>10.045969723354499</v>
      </c>
      <c r="C1486" s="1">
        <v>42216</v>
      </c>
    </row>
    <row r="1487" spans="1:3">
      <c r="A1487" t="s">
        <v>103</v>
      </c>
      <c r="B1487">
        <v>1.34976618847122</v>
      </c>
      <c r="C1487" s="1">
        <v>42216</v>
      </c>
    </row>
    <row r="1488" spans="1:3">
      <c r="A1488" t="s">
        <v>105</v>
      </c>
      <c r="B1488">
        <v>1.7841008163527401</v>
      </c>
      <c r="C1488" s="1">
        <v>42216</v>
      </c>
    </row>
    <row r="1489" spans="1:3">
      <c r="A1489" t="s">
        <v>107</v>
      </c>
      <c r="B1489">
        <v>9.1027978124438995</v>
      </c>
      <c r="C1489" s="1">
        <v>42216</v>
      </c>
    </row>
    <row r="1490" spans="1:3">
      <c r="A1490" t="s">
        <v>109</v>
      </c>
      <c r="B1490">
        <v>0.95109772528799996</v>
      </c>
      <c r="C1490" s="1">
        <v>42216</v>
      </c>
    </row>
    <row r="1491" spans="1:3">
      <c r="A1491" t="s">
        <v>111</v>
      </c>
      <c r="B1491">
        <v>8.5773163192222803</v>
      </c>
      <c r="C1491" s="1">
        <v>42216</v>
      </c>
    </row>
    <row r="1492" spans="1:3">
      <c r="A1492" t="s">
        <v>113</v>
      </c>
      <c r="B1492">
        <v>11.416343029206899</v>
      </c>
      <c r="C1492" s="1">
        <v>42216</v>
      </c>
    </row>
    <row r="1493" spans="1:3">
      <c r="A1493" t="s">
        <v>115</v>
      </c>
      <c r="B1493">
        <v>7.8711262581959396</v>
      </c>
      <c r="C1493" s="1">
        <v>42216</v>
      </c>
    </row>
    <row r="1494" spans="1:3">
      <c r="A1494" t="s">
        <v>117</v>
      </c>
      <c r="B1494">
        <v>4.6865340413566203</v>
      </c>
      <c r="C1494" s="1">
        <v>42216</v>
      </c>
    </row>
    <row r="1495" spans="1:3">
      <c r="A1495" t="s">
        <v>119</v>
      </c>
      <c r="B1495">
        <v>8.60664183241866</v>
      </c>
      <c r="C1495" s="1">
        <v>42216</v>
      </c>
    </row>
    <row r="1496" spans="1:3">
      <c r="A1496" t="s">
        <v>121</v>
      </c>
      <c r="B1496">
        <v>20.764841087350199</v>
      </c>
      <c r="C1496" s="1">
        <v>42216</v>
      </c>
    </row>
    <row r="1497" spans="1:3">
      <c r="A1497" t="s">
        <v>123</v>
      </c>
      <c r="B1497">
        <v>5.2960291669786796</v>
      </c>
      <c r="C1497" s="1">
        <v>42216</v>
      </c>
    </row>
    <row r="1498" spans="1:3">
      <c r="A1498" t="s">
        <v>125</v>
      </c>
      <c r="B1498">
        <v>140.28691447998</v>
      </c>
      <c r="C1498" s="1">
        <v>42216</v>
      </c>
    </row>
    <row r="1499" spans="1:3">
      <c r="A1499" t="s">
        <v>127</v>
      </c>
      <c r="B1499">
        <v>16.723468336313999</v>
      </c>
      <c r="C1499" s="1">
        <v>42216</v>
      </c>
    </row>
    <row r="1500" spans="1:3">
      <c r="A1500" t="s">
        <v>129</v>
      </c>
      <c r="B1500">
        <v>4.3385907901887597</v>
      </c>
      <c r="C1500" s="1">
        <v>42216</v>
      </c>
    </row>
    <row r="1501" spans="1:3">
      <c r="A1501" t="s">
        <v>131</v>
      </c>
      <c r="B1501">
        <v>5.4022350796358403</v>
      </c>
      <c r="C1501" s="1">
        <v>42216</v>
      </c>
    </row>
    <row r="1502" spans="1:3">
      <c r="A1502" t="s">
        <v>134</v>
      </c>
      <c r="B1502">
        <v>2.8136641039770001</v>
      </c>
      <c r="C1502" s="1">
        <v>42216</v>
      </c>
    </row>
    <row r="1503" spans="1:3">
      <c r="A1503" t="s">
        <v>136</v>
      </c>
      <c r="B1503">
        <v>13.3312197827868</v>
      </c>
      <c r="C1503" s="1">
        <v>42216</v>
      </c>
    </row>
    <row r="1504" spans="1:3">
      <c r="A1504" t="s">
        <v>138</v>
      </c>
      <c r="B1504">
        <v>24.403582468014601</v>
      </c>
      <c r="C1504" s="1">
        <v>42216</v>
      </c>
    </row>
    <row r="1505" spans="1:3">
      <c r="A1505" t="s">
        <v>140</v>
      </c>
      <c r="B1505">
        <v>7.64682571131552</v>
      </c>
      <c r="C1505" s="1">
        <v>42216</v>
      </c>
    </row>
    <row r="1506" spans="1:3">
      <c r="A1506" t="s">
        <v>142</v>
      </c>
      <c r="B1506">
        <v>9.0948719980665</v>
      </c>
      <c r="C1506" s="1">
        <v>42216</v>
      </c>
    </row>
    <row r="1507" spans="1:3">
      <c r="A1507" t="s">
        <v>144</v>
      </c>
      <c r="B1507">
        <v>5.0170405008941996</v>
      </c>
      <c r="C1507" s="1">
        <v>42216</v>
      </c>
    </row>
    <row r="1508" spans="1:3">
      <c r="A1508" t="s">
        <v>146</v>
      </c>
      <c r="B1508">
        <v>3.29238329237196</v>
      </c>
      <c r="C1508" s="1">
        <v>42216</v>
      </c>
    </row>
    <row r="1509" spans="1:3">
      <c r="A1509" t="s">
        <v>148</v>
      </c>
      <c r="B1509">
        <v>12.069430133904699</v>
      </c>
      <c r="C1509" s="1">
        <v>42216</v>
      </c>
    </row>
    <row r="1510" spans="1:3">
      <c r="A1510" t="s">
        <v>150</v>
      </c>
      <c r="B1510">
        <v>6.3247998731652002</v>
      </c>
      <c r="C1510" s="1">
        <v>42216</v>
      </c>
    </row>
    <row r="1511" spans="1:3">
      <c r="A1511" t="s">
        <v>152</v>
      </c>
      <c r="B1511">
        <v>6.0363002298278401</v>
      </c>
      <c r="C1511" s="1">
        <v>42216</v>
      </c>
    </row>
    <row r="1512" spans="1:3">
      <c r="A1512" t="s">
        <v>154</v>
      </c>
      <c r="B1512">
        <v>22.579059998337101</v>
      </c>
      <c r="C1512" s="1">
        <v>42216</v>
      </c>
    </row>
    <row r="1513" spans="1:3">
      <c r="A1513" t="s">
        <v>156</v>
      </c>
      <c r="B1513">
        <v>34.778473488031203</v>
      </c>
      <c r="C1513" s="1">
        <v>42216</v>
      </c>
    </row>
    <row r="1514" spans="1:3">
      <c r="A1514" t="s">
        <v>158</v>
      </c>
      <c r="B1514">
        <v>20.874217325758298</v>
      </c>
      <c r="C1514" s="1">
        <v>42216</v>
      </c>
    </row>
    <row r="1515" spans="1:3">
      <c r="A1515" t="s">
        <v>160</v>
      </c>
      <c r="B1515">
        <v>20.0087183957463</v>
      </c>
      <c r="C1515" s="1">
        <v>42216</v>
      </c>
    </row>
    <row r="1516" spans="1:3">
      <c r="A1516" t="s">
        <v>162</v>
      </c>
      <c r="B1516">
        <v>3.6070381231547399</v>
      </c>
      <c r="C1516" s="1">
        <v>42216</v>
      </c>
    </row>
    <row r="1517" spans="1:3">
      <c r="A1517" t="s">
        <v>164</v>
      </c>
      <c r="B1517">
        <v>2.7153840056972398</v>
      </c>
      <c r="C1517" s="1">
        <v>42216</v>
      </c>
    </row>
    <row r="1518" spans="1:3">
      <c r="A1518" t="s">
        <v>166</v>
      </c>
      <c r="B1518">
        <v>7.13323293966</v>
      </c>
      <c r="C1518" s="1">
        <v>42216</v>
      </c>
    </row>
    <row r="1519" spans="1:3">
      <c r="A1519" t="s">
        <v>168</v>
      </c>
      <c r="B1519">
        <v>5.5250852024855401</v>
      </c>
      <c r="C1519" s="1">
        <v>42216</v>
      </c>
    </row>
    <row r="1520" spans="1:3">
      <c r="A1520" t="s">
        <v>8</v>
      </c>
      <c r="B1520">
        <v>22.9375954163614</v>
      </c>
      <c r="C1520" s="1">
        <v>42247</v>
      </c>
    </row>
    <row r="1521" spans="1:3">
      <c r="A1521" t="s">
        <v>11</v>
      </c>
      <c r="B1521">
        <v>52.882748742175004</v>
      </c>
      <c r="C1521" s="1">
        <v>42247</v>
      </c>
    </row>
    <row r="1522" spans="1:3">
      <c r="A1522" t="s">
        <v>14</v>
      </c>
      <c r="B1522">
        <v>8.2386866954806397</v>
      </c>
      <c r="C1522" s="1">
        <v>42247</v>
      </c>
    </row>
    <row r="1523" spans="1:3">
      <c r="A1523" t="s">
        <v>17</v>
      </c>
      <c r="B1523">
        <v>7.4531164596926702</v>
      </c>
      <c r="C1523" s="1">
        <v>42247</v>
      </c>
    </row>
    <row r="1524" spans="1:3">
      <c r="A1524" t="s">
        <v>20</v>
      </c>
      <c r="B1524">
        <v>1.6812107733274</v>
      </c>
      <c r="C1524" s="1">
        <v>42247</v>
      </c>
    </row>
    <row r="1525" spans="1:3">
      <c r="A1525" t="s">
        <v>24</v>
      </c>
      <c r="B1525">
        <v>2.7246169214373199</v>
      </c>
      <c r="C1525" s="1">
        <v>42247</v>
      </c>
    </row>
    <row r="1526" spans="1:3">
      <c r="A1526" t="s">
        <v>27</v>
      </c>
      <c r="B1526">
        <v>11.071112200140201</v>
      </c>
      <c r="C1526" s="1">
        <v>42247</v>
      </c>
    </row>
    <row r="1527" spans="1:3">
      <c r="A1527" t="s">
        <v>29</v>
      </c>
      <c r="B1527">
        <v>2.8693669073022798</v>
      </c>
      <c r="C1527" s="1">
        <v>42247</v>
      </c>
    </row>
    <row r="1528" spans="1:3">
      <c r="A1528" t="s">
        <v>32</v>
      </c>
      <c r="B1528">
        <v>10.667018489600601</v>
      </c>
      <c r="C1528" s="1">
        <v>42247</v>
      </c>
    </row>
    <row r="1529" spans="1:3">
      <c r="A1529" t="s">
        <v>35</v>
      </c>
      <c r="B1529">
        <v>3.8366285315978099</v>
      </c>
      <c r="C1529" s="1">
        <v>42247</v>
      </c>
    </row>
    <row r="1530" spans="1:3">
      <c r="A1530" t="s">
        <v>37</v>
      </c>
      <c r="B1530">
        <v>0.76672258137845894</v>
      </c>
      <c r="C1530" s="1">
        <v>42247</v>
      </c>
    </row>
    <row r="1531" spans="1:3">
      <c r="A1531" t="s">
        <v>39</v>
      </c>
      <c r="B1531">
        <v>1.33064440131069</v>
      </c>
      <c r="C1531" s="1">
        <v>42247</v>
      </c>
    </row>
    <row r="1532" spans="1:3">
      <c r="A1532" t="s">
        <v>42</v>
      </c>
      <c r="B1532">
        <v>1.5364607874624301</v>
      </c>
      <c r="C1532" s="1">
        <v>42247</v>
      </c>
    </row>
    <row r="1533" spans="1:3">
      <c r="A1533" t="s">
        <v>44</v>
      </c>
      <c r="B1533">
        <v>5.1129916882091502</v>
      </c>
      <c r="C1533" s="1">
        <v>42247</v>
      </c>
    </row>
    <row r="1534" spans="1:3">
      <c r="A1534" t="s">
        <v>47</v>
      </c>
      <c r="B1534">
        <v>10.377518517870699</v>
      </c>
      <c r="C1534" s="1">
        <v>42247</v>
      </c>
    </row>
    <row r="1535" spans="1:3">
      <c r="A1535" t="s">
        <v>49</v>
      </c>
      <c r="B1535">
        <v>14.3242173512199</v>
      </c>
      <c r="C1535" s="1">
        <v>42247</v>
      </c>
    </row>
    <row r="1536" spans="1:3">
      <c r="A1536" t="s">
        <v>51</v>
      </c>
      <c r="B1536">
        <v>1.3796483027753901</v>
      </c>
      <c r="C1536" s="1">
        <v>42247</v>
      </c>
    </row>
    <row r="1537" spans="1:3">
      <c r="A1537" t="s">
        <v>53</v>
      </c>
      <c r="B1537">
        <v>1.3253670580760299</v>
      </c>
      <c r="C1537" s="1">
        <v>42247</v>
      </c>
    </row>
    <row r="1538" spans="1:3">
      <c r="A1538" t="s">
        <v>55</v>
      </c>
      <c r="B1538">
        <v>5.5683510187426704</v>
      </c>
      <c r="C1538" s="1">
        <v>42247</v>
      </c>
    </row>
    <row r="1539" spans="1:3">
      <c r="A1539" t="s">
        <v>57</v>
      </c>
      <c r="B1539">
        <v>4.7873042200129996</v>
      </c>
      <c r="C1539" s="1">
        <v>42247</v>
      </c>
    </row>
    <row r="1540" spans="1:3">
      <c r="A1540" t="s">
        <v>59</v>
      </c>
      <c r="B1540">
        <v>8.4437491754559897</v>
      </c>
      <c r="C1540" s="1">
        <v>42247</v>
      </c>
    </row>
    <row r="1541" spans="1:3">
      <c r="A1541" t="s">
        <v>61</v>
      </c>
      <c r="B1541">
        <v>36.402359726508301</v>
      </c>
      <c r="C1541" s="1">
        <v>42247</v>
      </c>
    </row>
    <row r="1542" spans="1:3">
      <c r="A1542" t="s">
        <v>63</v>
      </c>
      <c r="B1542">
        <v>13.415760408682001</v>
      </c>
      <c r="C1542" s="1">
        <v>42247</v>
      </c>
    </row>
    <row r="1543" spans="1:3">
      <c r="A1543" t="s">
        <v>65</v>
      </c>
      <c r="B1543">
        <v>0.86548429048423903</v>
      </c>
      <c r="C1543" s="1">
        <v>42247</v>
      </c>
    </row>
    <row r="1544" spans="1:3">
      <c r="A1544" t="s">
        <v>67</v>
      </c>
      <c r="B1544">
        <v>10.1030966696683</v>
      </c>
      <c r="C1544" s="1">
        <v>42247</v>
      </c>
    </row>
    <row r="1545" spans="1:3">
      <c r="A1545" t="s">
        <v>69</v>
      </c>
      <c r="B1545">
        <v>6.6253274780274296</v>
      </c>
      <c r="C1545" s="1">
        <v>42247</v>
      </c>
    </row>
    <row r="1546" spans="1:3">
      <c r="A1546" t="s">
        <v>71</v>
      </c>
      <c r="B1546">
        <v>0.92579678459463899</v>
      </c>
      <c r="C1546" s="1">
        <v>42247</v>
      </c>
    </row>
    <row r="1547" spans="1:3">
      <c r="A1547" t="s">
        <v>73</v>
      </c>
      <c r="B1547">
        <v>3.0050700190506698</v>
      </c>
      <c r="C1547" s="1">
        <v>42247</v>
      </c>
    </row>
    <row r="1548" spans="1:3">
      <c r="A1548" t="s">
        <v>75</v>
      </c>
      <c r="B1548">
        <v>0.38449214995379899</v>
      </c>
      <c r="C1548" s="1">
        <v>42247</v>
      </c>
    </row>
    <row r="1549" spans="1:3">
      <c r="A1549" t="s">
        <v>77</v>
      </c>
      <c r="B1549">
        <v>1.9722185574100799</v>
      </c>
      <c r="C1549" s="1">
        <v>42247</v>
      </c>
    </row>
    <row r="1550" spans="1:3">
      <c r="A1550" t="s">
        <v>79</v>
      </c>
      <c r="B1550">
        <v>10.3435927399335</v>
      </c>
      <c r="C1550" s="1">
        <v>42247</v>
      </c>
    </row>
    <row r="1551" spans="1:3">
      <c r="A1551" t="s">
        <v>81</v>
      </c>
      <c r="B1551">
        <v>7.1621086756099901</v>
      </c>
      <c r="C1551" s="1">
        <v>42247</v>
      </c>
    </row>
    <row r="1552" spans="1:3">
      <c r="A1552" t="s">
        <v>83</v>
      </c>
      <c r="B1552">
        <v>0.47797651582491901</v>
      </c>
      <c r="C1552" s="1">
        <v>42247</v>
      </c>
    </row>
    <row r="1553" spans="1:3">
      <c r="A1553" t="s">
        <v>85</v>
      </c>
      <c r="B1553">
        <v>9.3484365871119994</v>
      </c>
      <c r="C1553" s="1">
        <v>42247</v>
      </c>
    </row>
    <row r="1554" spans="1:3">
      <c r="A1554" t="s">
        <v>87</v>
      </c>
      <c r="B1554">
        <v>25.822040447191299</v>
      </c>
      <c r="C1554" s="1">
        <v>42247</v>
      </c>
    </row>
    <row r="1555" spans="1:3">
      <c r="A1555" t="s">
        <v>89</v>
      </c>
      <c r="B1555">
        <v>10.631584899310701</v>
      </c>
      <c r="C1555" s="1">
        <v>42247</v>
      </c>
    </row>
    <row r="1556" spans="1:3">
      <c r="A1556" t="s">
        <v>91</v>
      </c>
      <c r="B1556">
        <v>16.058201556893898</v>
      </c>
      <c r="C1556" s="1">
        <v>42247</v>
      </c>
    </row>
    <row r="1557" spans="1:3">
      <c r="A1557" t="s">
        <v>93</v>
      </c>
      <c r="B1557">
        <v>23.5821851971664</v>
      </c>
      <c r="C1557" s="1">
        <v>42247</v>
      </c>
    </row>
    <row r="1558" spans="1:3">
      <c r="A1558" t="s">
        <v>95</v>
      </c>
      <c r="B1558">
        <v>1.0705467704595999</v>
      </c>
      <c r="C1558" s="1">
        <v>42247</v>
      </c>
    </row>
    <row r="1559" spans="1:3">
      <c r="A1559" t="s">
        <v>97</v>
      </c>
      <c r="B1559">
        <v>12.438698004093601</v>
      </c>
      <c r="C1559" s="1">
        <v>42247</v>
      </c>
    </row>
    <row r="1560" spans="1:3">
      <c r="A1560" t="s">
        <v>99</v>
      </c>
      <c r="B1560">
        <v>7.2978117873583903</v>
      </c>
      <c r="C1560" s="1">
        <v>42247</v>
      </c>
    </row>
    <row r="1561" spans="1:3">
      <c r="A1561" t="s">
        <v>101</v>
      </c>
      <c r="B1561">
        <v>8.5191397930939896</v>
      </c>
      <c r="C1561" s="1">
        <v>42247</v>
      </c>
    </row>
    <row r="1562" spans="1:3">
      <c r="A1562" t="s">
        <v>103</v>
      </c>
      <c r="B1562">
        <v>1.16478504250709</v>
      </c>
      <c r="C1562" s="1">
        <v>42247</v>
      </c>
    </row>
    <row r="1563" spans="1:3">
      <c r="A1563" t="s">
        <v>105</v>
      </c>
      <c r="B1563">
        <v>1.63597640274459</v>
      </c>
      <c r="C1563" s="1">
        <v>42247</v>
      </c>
    </row>
    <row r="1564" spans="1:3">
      <c r="A1564" t="s">
        <v>107</v>
      </c>
      <c r="B1564">
        <v>7.8217765799424903</v>
      </c>
      <c r="C1564" s="1">
        <v>42247</v>
      </c>
    </row>
    <row r="1565" spans="1:3">
      <c r="A1565" t="s">
        <v>109</v>
      </c>
      <c r="B1565">
        <v>0.85040616695663895</v>
      </c>
      <c r="C1565" s="1">
        <v>42247</v>
      </c>
    </row>
    <row r="1566" spans="1:3">
      <c r="A1566" t="s">
        <v>111</v>
      </c>
      <c r="B1566">
        <v>7.3438000641175698</v>
      </c>
      <c r="C1566" s="1">
        <v>42247</v>
      </c>
    </row>
    <row r="1567" spans="1:3">
      <c r="A1567" t="s">
        <v>113</v>
      </c>
      <c r="B1567">
        <v>11.301053583936101</v>
      </c>
      <c r="C1567" s="1">
        <v>42247</v>
      </c>
    </row>
    <row r="1568" spans="1:3">
      <c r="A1568" t="s">
        <v>115</v>
      </c>
      <c r="B1568">
        <v>7.5013664549809898</v>
      </c>
      <c r="C1568" s="1">
        <v>42247</v>
      </c>
    </row>
    <row r="1569" spans="1:3">
      <c r="A1569" t="s">
        <v>117</v>
      </c>
      <c r="B1569">
        <v>4.7194526641387897</v>
      </c>
      <c r="C1569" s="1">
        <v>42247</v>
      </c>
    </row>
    <row r="1570" spans="1:3">
      <c r="A1570" t="s">
        <v>119</v>
      </c>
      <c r="B1570">
        <v>6.8107883974169097</v>
      </c>
      <c r="C1570" s="1">
        <v>42247</v>
      </c>
    </row>
    <row r="1571" spans="1:3">
      <c r="A1571" t="s">
        <v>121</v>
      </c>
      <c r="B1571">
        <v>19.0723184500612</v>
      </c>
      <c r="C1571" s="1">
        <v>42247</v>
      </c>
    </row>
    <row r="1572" spans="1:3">
      <c r="A1572" t="s">
        <v>123</v>
      </c>
      <c r="B1572">
        <v>4.8091674991280096</v>
      </c>
      <c r="C1572" s="1">
        <v>42247</v>
      </c>
    </row>
    <row r="1573" spans="1:3">
      <c r="A1573" t="s">
        <v>125</v>
      </c>
      <c r="B1573">
        <v>129.59647171972199</v>
      </c>
      <c r="C1573" s="1">
        <v>42247</v>
      </c>
    </row>
    <row r="1574" spans="1:3">
      <c r="A1574" t="s">
        <v>127</v>
      </c>
      <c r="B1574">
        <v>13.341877603396799</v>
      </c>
      <c r="C1574" s="1">
        <v>42247</v>
      </c>
    </row>
    <row r="1575" spans="1:3">
      <c r="A1575" t="s">
        <v>129</v>
      </c>
      <c r="B1575">
        <v>3.9889175792265701</v>
      </c>
      <c r="C1575" s="1">
        <v>42247</v>
      </c>
    </row>
    <row r="1576" spans="1:3">
      <c r="A1576" t="s">
        <v>131</v>
      </c>
      <c r="B1576">
        <v>5.6542963228499996</v>
      </c>
      <c r="C1576" s="1">
        <v>42247</v>
      </c>
    </row>
    <row r="1577" spans="1:3">
      <c r="A1577" t="s">
        <v>134</v>
      </c>
      <c r="B1577">
        <v>2.4946755376414198</v>
      </c>
      <c r="C1577" s="1">
        <v>42247</v>
      </c>
    </row>
    <row r="1578" spans="1:3">
      <c r="A1578" t="s">
        <v>136</v>
      </c>
      <c r="B1578">
        <v>12.241174585882</v>
      </c>
      <c r="C1578" s="1">
        <v>42247</v>
      </c>
    </row>
    <row r="1579" spans="1:3">
      <c r="A1579" t="s">
        <v>138</v>
      </c>
      <c r="B1579">
        <v>24.0420679647581</v>
      </c>
      <c r="C1579" s="1">
        <v>42247</v>
      </c>
    </row>
    <row r="1580" spans="1:3">
      <c r="A1580" t="s">
        <v>140</v>
      </c>
      <c r="B1580">
        <v>6.9012571385825199</v>
      </c>
      <c r="C1580" s="1">
        <v>42247</v>
      </c>
    </row>
    <row r="1581" spans="1:3">
      <c r="A1581" t="s">
        <v>142</v>
      </c>
      <c r="B1581">
        <v>8.1361554554929594</v>
      </c>
      <c r="C1581" s="1">
        <v>42247</v>
      </c>
    </row>
    <row r="1582" spans="1:3">
      <c r="A1582" t="s">
        <v>144</v>
      </c>
      <c r="B1582">
        <v>4.8430932770651101</v>
      </c>
      <c r="C1582" s="1">
        <v>42247</v>
      </c>
    </row>
    <row r="1583" spans="1:3">
      <c r="A1583" t="s">
        <v>146</v>
      </c>
      <c r="B1583">
        <v>3.2048551557913698</v>
      </c>
      <c r="C1583" s="1">
        <v>42247</v>
      </c>
    </row>
    <row r="1584" spans="1:3">
      <c r="A1584" t="s">
        <v>148</v>
      </c>
      <c r="B1584">
        <v>11.016077049264499</v>
      </c>
      <c r="C1584" s="1">
        <v>42247</v>
      </c>
    </row>
    <row r="1585" spans="1:3">
      <c r="A1585" t="s">
        <v>150</v>
      </c>
      <c r="B1585">
        <v>6.1066400286779903</v>
      </c>
      <c r="C1585" s="1">
        <v>42247</v>
      </c>
    </row>
    <row r="1586" spans="1:3">
      <c r="A1586" t="s">
        <v>152</v>
      </c>
      <c r="B1586">
        <v>8.0509640575620196</v>
      </c>
      <c r="C1586" s="1">
        <v>42247</v>
      </c>
    </row>
    <row r="1587" spans="1:3">
      <c r="A1587" t="s">
        <v>154</v>
      </c>
      <c r="B1587">
        <v>22.602107167872301</v>
      </c>
      <c r="C1587" s="1">
        <v>42247</v>
      </c>
    </row>
    <row r="1588" spans="1:3">
      <c r="A1588" t="s">
        <v>156</v>
      </c>
      <c r="B1588">
        <v>32.034227340562502</v>
      </c>
      <c r="C1588" s="1">
        <v>42247</v>
      </c>
    </row>
    <row r="1589" spans="1:3">
      <c r="A1589" t="s">
        <v>158</v>
      </c>
      <c r="B1589">
        <v>24.139321861511199</v>
      </c>
      <c r="C1589" s="1">
        <v>42247</v>
      </c>
    </row>
    <row r="1590" spans="1:3">
      <c r="A1590" t="s">
        <v>160</v>
      </c>
      <c r="B1590">
        <v>17.790677950215201</v>
      </c>
      <c r="C1590" s="1">
        <v>42247</v>
      </c>
    </row>
    <row r="1591" spans="1:3">
      <c r="A1591" t="s">
        <v>162</v>
      </c>
      <c r="B1591">
        <v>3.7333433854337601</v>
      </c>
      <c r="C1591" s="1">
        <v>42247</v>
      </c>
    </row>
    <row r="1592" spans="1:3">
      <c r="A1592" t="s">
        <v>164</v>
      </c>
      <c r="B1592">
        <v>3.21088640520242</v>
      </c>
      <c r="C1592" s="1">
        <v>42247</v>
      </c>
    </row>
    <row r="1593" spans="1:3">
      <c r="A1593" t="s">
        <v>166</v>
      </c>
      <c r="B1593">
        <v>6.4232806227575896</v>
      </c>
      <c r="C1593" s="1">
        <v>42247</v>
      </c>
    </row>
    <row r="1594" spans="1:3">
      <c r="A1594" t="s">
        <v>168</v>
      </c>
      <c r="B1594">
        <v>5.3557494770035197</v>
      </c>
      <c r="C1594" s="1">
        <v>42247</v>
      </c>
    </row>
    <row r="1595" spans="1:3">
      <c r="A1595" t="s">
        <v>8</v>
      </c>
      <c r="B1595">
        <v>20.909090908996799</v>
      </c>
      <c r="C1595" s="1">
        <v>42277</v>
      </c>
    </row>
    <row r="1596" spans="1:3">
      <c r="A1596" t="s">
        <v>11</v>
      </c>
      <c r="B1596">
        <v>54.9858971574875</v>
      </c>
      <c r="C1596" s="1">
        <v>42277</v>
      </c>
    </row>
    <row r="1597" spans="1:3">
      <c r="A1597" t="s">
        <v>14</v>
      </c>
      <c r="B1597">
        <v>7.6950893179664002</v>
      </c>
      <c r="C1597" s="1">
        <v>42277</v>
      </c>
    </row>
    <row r="1598" spans="1:3">
      <c r="A1598" t="s">
        <v>17</v>
      </c>
      <c r="B1598">
        <v>7.7818760395976003</v>
      </c>
      <c r="C1598" s="1">
        <v>42277</v>
      </c>
    </row>
    <row r="1599" spans="1:3">
      <c r="A1599" t="s">
        <v>20</v>
      </c>
      <c r="B1599">
        <v>1.5874737831707</v>
      </c>
      <c r="C1599" s="1">
        <v>42277</v>
      </c>
    </row>
    <row r="1600" spans="1:3">
      <c r="A1600" t="s">
        <v>24</v>
      </c>
      <c r="B1600">
        <v>2.6180661025412002</v>
      </c>
      <c r="C1600" s="1">
        <v>42277</v>
      </c>
    </row>
    <row r="1601" spans="1:3">
      <c r="A1601" t="s">
        <v>27</v>
      </c>
      <c r="B1601">
        <v>8.3604541838056008</v>
      </c>
      <c r="C1601" s="1">
        <v>42277</v>
      </c>
    </row>
    <row r="1602" spans="1:3">
      <c r="A1602" t="s">
        <v>29</v>
      </c>
      <c r="B1602">
        <v>2.5753959644058599</v>
      </c>
      <c r="C1602" s="1">
        <v>42277</v>
      </c>
    </row>
    <row r="1603" spans="1:3">
      <c r="A1603" t="s">
        <v>32</v>
      </c>
      <c r="B1603">
        <v>9.9443118535749999</v>
      </c>
      <c r="C1603" s="1">
        <v>42277</v>
      </c>
    </row>
    <row r="1604" spans="1:3">
      <c r="A1604" t="s">
        <v>35</v>
      </c>
      <c r="B1604">
        <v>3.6088811744973999</v>
      </c>
      <c r="C1604" s="1">
        <v>42277</v>
      </c>
    </row>
    <row r="1605" spans="1:3">
      <c r="A1605" t="s">
        <v>37</v>
      </c>
      <c r="B1605">
        <v>0.71237434005610001</v>
      </c>
      <c r="C1605" s="1">
        <v>42277</v>
      </c>
    </row>
    <row r="1606" spans="1:3">
      <c r="A1606" t="s">
        <v>39</v>
      </c>
      <c r="B1606">
        <v>1.26491646777474</v>
      </c>
      <c r="C1606" s="1">
        <v>42277</v>
      </c>
    </row>
    <row r="1607" spans="1:3">
      <c r="A1607" t="s">
        <v>42</v>
      </c>
      <c r="B1607">
        <v>1.5187676285459999</v>
      </c>
      <c r="C1607" s="1">
        <v>42277</v>
      </c>
    </row>
    <row r="1608" spans="1:3">
      <c r="A1608" t="s">
        <v>44</v>
      </c>
      <c r="B1608">
        <v>3.7969190713650001</v>
      </c>
      <c r="C1608" s="1">
        <v>42277</v>
      </c>
    </row>
    <row r="1609" spans="1:3">
      <c r="A1609" t="s">
        <v>47</v>
      </c>
      <c r="B1609">
        <v>9.3295725753539998</v>
      </c>
      <c r="C1609" s="1">
        <v>42277</v>
      </c>
    </row>
    <row r="1610" spans="1:3">
      <c r="A1610" t="s">
        <v>49</v>
      </c>
      <c r="B1610">
        <v>13.379619584809999</v>
      </c>
      <c r="C1610" s="1">
        <v>42277</v>
      </c>
    </row>
    <row r="1611" spans="1:3">
      <c r="A1611" t="s">
        <v>51</v>
      </c>
      <c r="B1611">
        <v>1.33217617703892</v>
      </c>
      <c r="C1611" s="1">
        <v>42277</v>
      </c>
    </row>
    <row r="1612" spans="1:3">
      <c r="A1612" t="s">
        <v>53</v>
      </c>
      <c r="B1612">
        <v>1.27721125333916</v>
      </c>
      <c r="C1612" s="1">
        <v>42277</v>
      </c>
    </row>
    <row r="1613" spans="1:3">
      <c r="A1613" t="s">
        <v>55</v>
      </c>
      <c r="B1613">
        <v>4.7219208794175396</v>
      </c>
      <c r="C1613" s="1">
        <v>42277</v>
      </c>
    </row>
    <row r="1614" spans="1:3">
      <c r="A1614" t="s">
        <v>57</v>
      </c>
      <c r="B1614">
        <v>4.8123237144500397</v>
      </c>
      <c r="C1614" s="1">
        <v>42277</v>
      </c>
    </row>
    <row r="1615" spans="1:3">
      <c r="A1615" t="s">
        <v>59</v>
      </c>
      <c r="B1615">
        <v>8.3901063136962595</v>
      </c>
      <c r="C1615" s="1">
        <v>42277</v>
      </c>
    </row>
    <row r="1616" spans="1:3">
      <c r="A1616" t="s">
        <v>61</v>
      </c>
      <c r="B1616">
        <v>36.233456281026001</v>
      </c>
      <c r="C1616" s="1">
        <v>42277</v>
      </c>
    </row>
    <row r="1617" spans="1:3">
      <c r="A1617" t="s">
        <v>63</v>
      </c>
      <c r="B1617">
        <v>12.594199754047599</v>
      </c>
      <c r="C1617" s="1">
        <v>42277</v>
      </c>
    </row>
    <row r="1618" spans="1:3">
      <c r="A1618" t="s">
        <v>65</v>
      </c>
      <c r="B1618">
        <v>0.84617053590419999</v>
      </c>
      <c r="C1618" s="1">
        <v>42277</v>
      </c>
    </row>
    <row r="1619" spans="1:3">
      <c r="A1619" t="s">
        <v>67</v>
      </c>
      <c r="B1619">
        <v>9.9558834164591605</v>
      </c>
      <c r="C1619" s="1">
        <v>42277</v>
      </c>
    </row>
    <row r="1620" spans="1:3">
      <c r="A1620" t="s">
        <v>69</v>
      </c>
      <c r="B1620">
        <v>6.1488392275705204</v>
      </c>
      <c r="C1620" s="1">
        <v>42277</v>
      </c>
    </row>
    <row r="1621" spans="1:3">
      <c r="A1621" t="s">
        <v>71</v>
      </c>
      <c r="B1621">
        <v>0.88884067403953904</v>
      </c>
      <c r="C1621" s="1">
        <v>42277</v>
      </c>
    </row>
    <row r="1622" spans="1:3">
      <c r="A1622" t="s">
        <v>73</v>
      </c>
      <c r="B1622">
        <v>2.6252983293437899</v>
      </c>
      <c r="C1622" s="1">
        <v>42277</v>
      </c>
    </row>
    <row r="1623" spans="1:3">
      <c r="A1623" t="s">
        <v>75</v>
      </c>
      <c r="B1623">
        <v>0.36812034425234003</v>
      </c>
      <c r="C1623" s="1">
        <v>42277</v>
      </c>
    </row>
    <row r="1624" spans="1:3">
      <c r="A1624" t="s">
        <v>77</v>
      </c>
      <c r="B1624">
        <v>1.8550661748669</v>
      </c>
      <c r="C1624" s="1">
        <v>42277</v>
      </c>
    </row>
    <row r="1625" spans="1:3">
      <c r="A1625" t="s">
        <v>79</v>
      </c>
      <c r="B1625">
        <v>9.7635061835099997</v>
      </c>
      <c r="C1625" s="1">
        <v>42277</v>
      </c>
    </row>
    <row r="1626" spans="1:3">
      <c r="A1626" t="s">
        <v>81</v>
      </c>
      <c r="B1626">
        <v>8.0270485282057393</v>
      </c>
      <c r="C1626" s="1">
        <v>42277</v>
      </c>
    </row>
    <row r="1627" spans="1:3">
      <c r="A1627" t="s">
        <v>83</v>
      </c>
      <c r="B1627">
        <v>0.46358573804665998</v>
      </c>
      <c r="C1627" s="1">
        <v>42277</v>
      </c>
    </row>
    <row r="1628" spans="1:3">
      <c r="A1628" t="s">
        <v>85</v>
      </c>
      <c r="B1628">
        <v>8.7300209734184602</v>
      </c>
      <c r="C1628" s="1">
        <v>42277</v>
      </c>
    </row>
    <row r="1629" spans="1:3">
      <c r="A1629" t="s">
        <v>87</v>
      </c>
      <c r="B1629">
        <v>21.262746799643999</v>
      </c>
      <c r="C1629" s="1">
        <v>42277</v>
      </c>
    </row>
    <row r="1630" spans="1:3">
      <c r="A1630" t="s">
        <v>89</v>
      </c>
      <c r="B1630">
        <v>9.9804729875879996</v>
      </c>
      <c r="C1630" s="1">
        <v>42277</v>
      </c>
    </row>
    <row r="1631" spans="1:3">
      <c r="A1631" t="s">
        <v>91</v>
      </c>
      <c r="B1631">
        <v>16.344832573876001</v>
      </c>
      <c r="C1631" s="1">
        <v>42277</v>
      </c>
    </row>
    <row r="1632" spans="1:3">
      <c r="A1632" t="s">
        <v>93</v>
      </c>
      <c r="B1632">
        <v>22.0590149706102</v>
      </c>
      <c r="C1632" s="1">
        <v>42277</v>
      </c>
    </row>
    <row r="1633" spans="1:3">
      <c r="A1633" t="s">
        <v>95</v>
      </c>
      <c r="B1633">
        <v>1.06747667606376</v>
      </c>
      <c r="C1633" s="1">
        <v>42277</v>
      </c>
    </row>
    <row r="1634" spans="1:3">
      <c r="A1634" t="s">
        <v>97</v>
      </c>
      <c r="B1634">
        <v>10.7832501626766</v>
      </c>
      <c r="C1634" s="1">
        <v>42277</v>
      </c>
    </row>
    <row r="1635" spans="1:3">
      <c r="A1635" t="s">
        <v>99</v>
      </c>
      <c r="B1635">
        <v>6.9718666377064</v>
      </c>
      <c r="C1635" s="1">
        <v>42277</v>
      </c>
    </row>
    <row r="1636" spans="1:3">
      <c r="A1636" t="s">
        <v>101</v>
      </c>
      <c r="B1636">
        <v>7.8556447529841202</v>
      </c>
      <c r="C1636" s="1">
        <v>42277</v>
      </c>
    </row>
    <row r="1637" spans="1:3">
      <c r="A1637" t="s">
        <v>103</v>
      </c>
      <c r="B1637">
        <v>1.0920662471925999</v>
      </c>
      <c r="C1637" s="1">
        <v>42277</v>
      </c>
    </row>
    <row r="1638" spans="1:3">
      <c r="A1638" t="s">
        <v>105</v>
      </c>
      <c r="B1638">
        <v>1.2367107832446</v>
      </c>
      <c r="C1638" s="1">
        <v>42277</v>
      </c>
    </row>
    <row r="1639" spans="1:3">
      <c r="A1639" t="s">
        <v>107</v>
      </c>
      <c r="B1639">
        <v>6.2920373182620004</v>
      </c>
      <c r="C1639" s="1">
        <v>42277</v>
      </c>
    </row>
    <row r="1640" spans="1:3">
      <c r="A1640" t="s">
        <v>109</v>
      </c>
      <c r="B1640">
        <v>0.62414117306437999</v>
      </c>
      <c r="C1640" s="1">
        <v>42277</v>
      </c>
    </row>
    <row r="1641" spans="1:3">
      <c r="A1641" t="s">
        <v>111</v>
      </c>
      <c r="B1641">
        <v>6.6471396542696599</v>
      </c>
      <c r="C1641" s="1">
        <v>42277</v>
      </c>
    </row>
    <row r="1642" spans="1:3">
      <c r="A1642" t="s">
        <v>113</v>
      </c>
      <c r="B1642">
        <v>10.1489838720885</v>
      </c>
      <c r="C1642" s="1">
        <v>42277</v>
      </c>
    </row>
    <row r="1643" spans="1:3">
      <c r="A1643" t="s">
        <v>115</v>
      </c>
      <c r="B1643">
        <v>7.0007955449167998</v>
      </c>
      <c r="C1643" s="1">
        <v>42277</v>
      </c>
    </row>
    <row r="1644" spans="1:3">
      <c r="A1644" t="s">
        <v>117</v>
      </c>
      <c r="B1644">
        <v>4.7949663701237997</v>
      </c>
      <c r="C1644" s="1">
        <v>42277</v>
      </c>
    </row>
    <row r="1645" spans="1:3">
      <c r="A1645" t="s">
        <v>119</v>
      </c>
      <c r="B1645">
        <v>5.6772980400410002</v>
      </c>
      <c r="C1645" s="1">
        <v>42277</v>
      </c>
    </row>
    <row r="1646" spans="1:3">
      <c r="A1646" t="s">
        <v>121</v>
      </c>
      <c r="B1646">
        <v>18.2338902147151</v>
      </c>
      <c r="C1646" s="1">
        <v>42277</v>
      </c>
    </row>
    <row r="1647" spans="1:3">
      <c r="A1647" t="s">
        <v>123</v>
      </c>
      <c r="B1647">
        <v>4.3248716279548001</v>
      </c>
      <c r="C1647" s="1">
        <v>42277</v>
      </c>
    </row>
    <row r="1648" spans="1:3">
      <c r="A1648" t="s">
        <v>125</v>
      </c>
      <c r="B1648">
        <v>125.165256381877</v>
      </c>
      <c r="C1648" s="1">
        <v>42277</v>
      </c>
    </row>
    <row r="1649" spans="1:3">
      <c r="A1649" t="s">
        <v>127</v>
      </c>
      <c r="B1649">
        <v>12.873363708628</v>
      </c>
      <c r="C1649" s="1">
        <v>42277</v>
      </c>
    </row>
    <row r="1650" spans="1:3">
      <c r="A1650" t="s">
        <v>129</v>
      </c>
      <c r="B1650">
        <v>3.5546394734778999</v>
      </c>
      <c r="C1650" s="1">
        <v>42277</v>
      </c>
    </row>
    <row r="1651" spans="1:3">
      <c r="A1651" t="s">
        <v>131</v>
      </c>
      <c r="B1651">
        <v>4.4839806176119996</v>
      </c>
      <c r="C1651" s="1">
        <v>42277</v>
      </c>
    </row>
    <row r="1652" spans="1:3">
      <c r="A1652" t="s">
        <v>134</v>
      </c>
      <c r="B1652">
        <v>2.0915599913119198</v>
      </c>
      <c r="C1652" s="1">
        <v>42277</v>
      </c>
    </row>
    <row r="1653" spans="1:3">
      <c r="A1653" t="s">
        <v>136</v>
      </c>
      <c r="B1653">
        <v>11.366167642966101</v>
      </c>
      <c r="C1653" s="1">
        <v>42277</v>
      </c>
    </row>
    <row r="1654" spans="1:3">
      <c r="A1654" t="s">
        <v>138</v>
      </c>
      <c r="B1654">
        <v>23.592970275441701</v>
      </c>
      <c r="C1654" s="1">
        <v>42277</v>
      </c>
    </row>
    <row r="1655" spans="1:3">
      <c r="A1655" t="s">
        <v>140</v>
      </c>
      <c r="B1655">
        <v>6.4967093367755799</v>
      </c>
      <c r="C1655" s="1">
        <v>42277</v>
      </c>
    </row>
    <row r="1656" spans="1:3">
      <c r="A1656" t="s">
        <v>142</v>
      </c>
      <c r="B1656">
        <v>7.6553120705520996</v>
      </c>
      <c r="C1656" s="1">
        <v>42277</v>
      </c>
    </row>
    <row r="1657" spans="1:3">
      <c r="A1657" t="s">
        <v>144</v>
      </c>
      <c r="B1657">
        <v>4.4116583495860002</v>
      </c>
      <c r="C1657" s="1">
        <v>42277</v>
      </c>
    </row>
    <row r="1658" spans="1:3">
      <c r="A1658" t="s">
        <v>146</v>
      </c>
      <c r="B1658">
        <v>3.0736963911049999</v>
      </c>
      <c r="C1658" s="1">
        <v>42277</v>
      </c>
    </row>
    <row r="1659" spans="1:3">
      <c r="A1659" t="s">
        <v>148</v>
      </c>
      <c r="B1659">
        <v>9.7635061835099997</v>
      </c>
      <c r="C1659" s="1">
        <v>42277</v>
      </c>
    </row>
    <row r="1660" spans="1:3">
      <c r="A1660" t="s">
        <v>150</v>
      </c>
      <c r="B1660">
        <v>6.3325377883565599</v>
      </c>
      <c r="C1660" s="1">
        <v>42277</v>
      </c>
    </row>
    <row r="1661" spans="1:3">
      <c r="A1661" t="s">
        <v>152</v>
      </c>
      <c r="B1661">
        <v>7.9185651261667402</v>
      </c>
      <c r="C1661" s="1">
        <v>42277</v>
      </c>
    </row>
    <row r="1662" spans="1:3">
      <c r="A1662" t="s">
        <v>154</v>
      </c>
      <c r="B1662">
        <v>22.0431040716445</v>
      </c>
      <c r="C1662" s="1">
        <v>42277</v>
      </c>
    </row>
    <row r="1663" spans="1:3">
      <c r="A1663" t="s">
        <v>156</v>
      </c>
      <c r="B1663">
        <v>28.032111086877599</v>
      </c>
      <c r="C1663" s="1">
        <v>42277</v>
      </c>
    </row>
    <row r="1664" spans="1:3">
      <c r="A1664" t="s">
        <v>158</v>
      </c>
      <c r="B1664">
        <v>16.567585159396</v>
      </c>
      <c r="C1664" s="1">
        <v>42277</v>
      </c>
    </row>
    <row r="1665" spans="1:3">
      <c r="A1665" t="s">
        <v>160</v>
      </c>
      <c r="B1665">
        <v>15.8892022853122</v>
      </c>
      <c r="C1665" s="1">
        <v>42277</v>
      </c>
    </row>
    <row r="1666" spans="1:3">
      <c r="A1666" t="s">
        <v>162</v>
      </c>
      <c r="B1666">
        <v>2.7786215375589198</v>
      </c>
      <c r="C1666" s="1">
        <v>42277</v>
      </c>
    </row>
    <row r="1667" spans="1:3">
      <c r="A1667" t="s">
        <v>164</v>
      </c>
      <c r="B1667">
        <v>2.6072177623372998</v>
      </c>
      <c r="C1667" s="1">
        <v>42277</v>
      </c>
    </row>
    <row r="1668" spans="1:3">
      <c r="A1668" t="s">
        <v>166</v>
      </c>
      <c r="B1668">
        <v>5.4530990091604004</v>
      </c>
      <c r="C1668" s="1">
        <v>42277</v>
      </c>
    </row>
    <row r="1669" spans="1:3">
      <c r="A1669" t="s">
        <v>168</v>
      </c>
      <c r="B1669">
        <v>3.7513560425086201</v>
      </c>
      <c r="C1669" s="1">
        <v>42277</v>
      </c>
    </row>
    <row r="1670" spans="1:3">
      <c r="A1670" t="s">
        <v>8</v>
      </c>
      <c r="B1670">
        <v>23.265600272276</v>
      </c>
      <c r="C1670" s="1">
        <v>42308</v>
      </c>
    </row>
    <row r="1671" spans="1:3">
      <c r="A1671" t="s">
        <v>11</v>
      </c>
      <c r="B1671">
        <v>59.447440182666</v>
      </c>
      <c r="C1671" s="1">
        <v>42308</v>
      </c>
    </row>
    <row r="1672" spans="1:3">
      <c r="A1672" t="s">
        <v>14</v>
      </c>
      <c r="B1672">
        <v>8.3452539174760005</v>
      </c>
      <c r="C1672" s="1">
        <v>42308</v>
      </c>
    </row>
    <row r="1673" spans="1:3">
      <c r="A1673" t="s">
        <v>17</v>
      </c>
      <c r="B1673">
        <v>8.6342450920180003</v>
      </c>
      <c r="C1673" s="1">
        <v>42308</v>
      </c>
    </row>
    <row r="1674" spans="1:3">
      <c r="A1674" t="s">
        <v>20</v>
      </c>
      <c r="B1674">
        <v>1.5825707177299999</v>
      </c>
      <c r="C1674" s="1">
        <v>42308</v>
      </c>
    </row>
    <row r="1675" spans="1:3">
      <c r="A1675" t="s">
        <v>24</v>
      </c>
      <c r="B1675">
        <v>2.8971546319999999</v>
      </c>
      <c r="C1675" s="1">
        <v>42308</v>
      </c>
    </row>
    <row r="1676" spans="1:3">
      <c r="A1676" t="s">
        <v>27</v>
      </c>
      <c r="B1676">
        <v>8.4350657110680007</v>
      </c>
      <c r="C1676" s="1">
        <v>42308</v>
      </c>
    </row>
    <row r="1677" spans="1:3">
      <c r="A1677" t="s">
        <v>29</v>
      </c>
      <c r="B1677">
        <v>2.7957542198800001</v>
      </c>
      <c r="C1677" s="1">
        <v>42308</v>
      </c>
    </row>
    <row r="1678" spans="1:3">
      <c r="A1678" t="s">
        <v>32</v>
      </c>
      <c r="B1678">
        <v>10.849119808182</v>
      </c>
      <c r="C1678" s="1">
        <v>42308</v>
      </c>
    </row>
    <row r="1679" spans="1:3">
      <c r="A1679" t="s">
        <v>35</v>
      </c>
      <c r="B1679">
        <v>3.7663010215999999</v>
      </c>
      <c r="C1679" s="1">
        <v>42308</v>
      </c>
    </row>
    <row r="1680" spans="1:3">
      <c r="A1680" t="s">
        <v>37</v>
      </c>
      <c r="B1680">
        <v>0.84379628657000005</v>
      </c>
      <c r="C1680" s="1">
        <v>42308</v>
      </c>
    </row>
    <row r="1681" spans="1:3">
      <c r="A1681" t="s">
        <v>39</v>
      </c>
      <c r="B1681">
        <v>1.1979734403319999</v>
      </c>
      <c r="C1681" s="1">
        <v>42308</v>
      </c>
    </row>
    <row r="1682" spans="1:3">
      <c r="A1682" t="s">
        <v>42</v>
      </c>
      <c r="B1682">
        <v>1.83245030474</v>
      </c>
      <c r="C1682" s="1">
        <v>42308</v>
      </c>
    </row>
    <row r="1683" spans="1:3">
      <c r="A1683" t="s">
        <v>44</v>
      </c>
      <c r="B1683">
        <v>4.1624869175260004</v>
      </c>
      <c r="C1683" s="1">
        <v>42308</v>
      </c>
    </row>
    <row r="1684" spans="1:3">
      <c r="A1684" t="s">
        <v>47</v>
      </c>
      <c r="B1684">
        <v>9.6692535842999998</v>
      </c>
      <c r="C1684" s="1">
        <v>42308</v>
      </c>
    </row>
    <row r="1685" spans="1:3">
      <c r="A1685" t="s">
        <v>49</v>
      </c>
      <c r="B1685">
        <v>14.401755675672</v>
      </c>
      <c r="C1685" s="1">
        <v>42308</v>
      </c>
    </row>
    <row r="1686" spans="1:3">
      <c r="A1686" t="s">
        <v>51</v>
      </c>
      <c r="B1686">
        <v>1.3870127800700001</v>
      </c>
      <c r="C1686" s="1">
        <v>42308</v>
      </c>
    </row>
    <row r="1687" spans="1:3">
      <c r="A1687" t="s">
        <v>53</v>
      </c>
      <c r="B1687">
        <v>1.33269113072</v>
      </c>
      <c r="C1687" s="1">
        <v>42308</v>
      </c>
    </row>
    <row r="1688" spans="1:3">
      <c r="A1688" t="s">
        <v>55</v>
      </c>
      <c r="B1688">
        <v>5.2873072034000002</v>
      </c>
      <c r="C1688" s="1">
        <v>42308</v>
      </c>
    </row>
    <row r="1689" spans="1:3">
      <c r="A1689" t="s">
        <v>57</v>
      </c>
      <c r="B1689">
        <v>5.2655785436600002</v>
      </c>
      <c r="C1689" s="1">
        <v>42308</v>
      </c>
    </row>
    <row r="1690" spans="1:3">
      <c r="A1690" t="s">
        <v>59</v>
      </c>
      <c r="B1690">
        <v>8.8363216276000003</v>
      </c>
      <c r="C1690" s="1">
        <v>42308</v>
      </c>
    </row>
    <row r="1691" spans="1:3">
      <c r="A1691" t="s">
        <v>61</v>
      </c>
      <c r="B1691">
        <v>43.3486761813</v>
      </c>
      <c r="C1691" s="1">
        <v>42308</v>
      </c>
    </row>
    <row r="1692" spans="1:3">
      <c r="A1692" t="s">
        <v>63</v>
      </c>
      <c r="B1692">
        <v>12.602622649200001</v>
      </c>
      <c r="C1692" s="1">
        <v>42308</v>
      </c>
    </row>
    <row r="1693" spans="1:3">
      <c r="A1693" t="s">
        <v>65</v>
      </c>
      <c r="B1693">
        <v>0.83727768864800001</v>
      </c>
      <c r="C1693" s="1">
        <v>42308</v>
      </c>
    </row>
    <row r="1694" spans="1:3">
      <c r="A1694" t="s">
        <v>67</v>
      </c>
      <c r="B1694">
        <v>10.7194721384</v>
      </c>
      <c r="C1694" s="1">
        <v>42308</v>
      </c>
    </row>
    <row r="1695" spans="1:3">
      <c r="A1695" t="s">
        <v>69</v>
      </c>
      <c r="B1695">
        <v>6.7902061687500002</v>
      </c>
      <c r="C1695" s="1">
        <v>42308</v>
      </c>
    </row>
    <row r="1696" spans="1:3">
      <c r="A1696" t="s">
        <v>71</v>
      </c>
      <c r="B1696">
        <v>0.91767372968600003</v>
      </c>
      <c r="C1696" s="1">
        <v>42308</v>
      </c>
    </row>
    <row r="1697" spans="1:3">
      <c r="A1697" t="s">
        <v>73</v>
      </c>
      <c r="B1697">
        <v>2.8544216011780001</v>
      </c>
      <c r="C1697" s="1">
        <v>42308</v>
      </c>
    </row>
    <row r="1698" spans="1:3">
      <c r="A1698" t="s">
        <v>75</v>
      </c>
      <c r="B1698">
        <v>0.37735439081799999</v>
      </c>
      <c r="C1698" s="1">
        <v>42308</v>
      </c>
    </row>
    <row r="1699" spans="1:3">
      <c r="A1699" t="s">
        <v>77</v>
      </c>
      <c r="B1699">
        <v>1.837520325346</v>
      </c>
      <c r="C1699" s="1">
        <v>42308</v>
      </c>
    </row>
    <row r="1700" spans="1:3">
      <c r="A1700" t="s">
        <v>79</v>
      </c>
      <c r="B1700">
        <v>9.7634111098399998</v>
      </c>
      <c r="C1700" s="1">
        <v>42308</v>
      </c>
    </row>
    <row r="1701" spans="1:3">
      <c r="A1701" t="s">
        <v>81</v>
      </c>
      <c r="B1701">
        <v>9.3802624097580001</v>
      </c>
      <c r="C1701" s="1">
        <v>42308</v>
      </c>
    </row>
    <row r="1702" spans="1:3">
      <c r="A1702" t="s">
        <v>83</v>
      </c>
      <c r="B1702">
        <v>0.53235216363000004</v>
      </c>
      <c r="C1702" s="1">
        <v>42308</v>
      </c>
    </row>
    <row r="1703" spans="1:3">
      <c r="A1703" t="s">
        <v>85</v>
      </c>
      <c r="B1703">
        <v>9.0898226578999992</v>
      </c>
      <c r="C1703" s="1">
        <v>42308</v>
      </c>
    </row>
    <row r="1704" spans="1:3">
      <c r="A1704" t="s">
        <v>87</v>
      </c>
      <c r="B1704">
        <v>22.511615779298001</v>
      </c>
      <c r="C1704" s="1">
        <v>42308</v>
      </c>
    </row>
    <row r="1705" spans="1:3">
      <c r="A1705" t="s">
        <v>89</v>
      </c>
      <c r="B1705">
        <v>10.2486845107</v>
      </c>
      <c r="C1705" s="1">
        <v>42308</v>
      </c>
    </row>
    <row r="1706" spans="1:3">
      <c r="A1706" t="s">
        <v>91</v>
      </c>
      <c r="B1706">
        <v>16.1516370734</v>
      </c>
      <c r="C1706" s="1">
        <v>42308</v>
      </c>
    </row>
    <row r="1707" spans="1:3">
      <c r="A1707" t="s">
        <v>93</v>
      </c>
      <c r="B1707">
        <v>23.937740146900001</v>
      </c>
      <c r="C1707" s="1">
        <v>42308</v>
      </c>
    </row>
    <row r="1708" spans="1:3">
      <c r="A1708" t="s">
        <v>95</v>
      </c>
      <c r="B1708">
        <v>1.0842601210259999</v>
      </c>
      <c r="C1708" s="1">
        <v>42308</v>
      </c>
    </row>
    <row r="1709" spans="1:3">
      <c r="A1709" t="s">
        <v>97</v>
      </c>
      <c r="B1709">
        <v>11.1178309003</v>
      </c>
      <c r="C1709" s="1">
        <v>42308</v>
      </c>
    </row>
    <row r="1710" spans="1:3">
      <c r="A1710" t="s">
        <v>99</v>
      </c>
      <c r="B1710">
        <v>7.4703132186119996</v>
      </c>
      <c r="C1710" s="1">
        <v>42308</v>
      </c>
    </row>
    <row r="1711" spans="1:3">
      <c r="A1711" t="s">
        <v>101</v>
      </c>
      <c r="B1711">
        <v>7.8947463722000002</v>
      </c>
      <c r="C1711" s="1">
        <v>42308</v>
      </c>
    </row>
    <row r="1712" spans="1:3">
      <c r="A1712" t="s">
        <v>103</v>
      </c>
      <c r="B1712">
        <v>1.1878333991200001</v>
      </c>
      <c r="C1712" s="1">
        <v>42308</v>
      </c>
    </row>
    <row r="1713" spans="1:3">
      <c r="A1713" t="s">
        <v>105</v>
      </c>
      <c r="B1713">
        <v>1.2059406155700001</v>
      </c>
      <c r="C1713" s="1">
        <v>42308</v>
      </c>
    </row>
    <row r="1714" spans="1:3">
      <c r="A1714" t="s">
        <v>107</v>
      </c>
      <c r="B1714">
        <v>6.935788189008</v>
      </c>
      <c r="C1714" s="1">
        <v>42308</v>
      </c>
    </row>
    <row r="1715" spans="1:3">
      <c r="A1715" t="s">
        <v>109</v>
      </c>
      <c r="B1715">
        <v>0.712700039472</v>
      </c>
      <c r="C1715" s="1">
        <v>42308</v>
      </c>
    </row>
    <row r="1716" spans="1:3">
      <c r="A1716" t="s">
        <v>111</v>
      </c>
      <c r="B1716">
        <v>6.8952280241599997</v>
      </c>
      <c r="C1716" s="1">
        <v>42308</v>
      </c>
    </row>
    <row r="1717" spans="1:3">
      <c r="A1717" t="s">
        <v>113</v>
      </c>
      <c r="B1717">
        <v>10.239268758146</v>
      </c>
      <c r="C1717" s="1">
        <v>42308</v>
      </c>
    </row>
    <row r="1718" spans="1:3">
      <c r="A1718" t="s">
        <v>115</v>
      </c>
      <c r="B1718">
        <v>7.4254073218160004</v>
      </c>
      <c r="C1718" s="1">
        <v>42308</v>
      </c>
    </row>
    <row r="1719" spans="1:3">
      <c r="A1719" t="s">
        <v>117</v>
      </c>
      <c r="B1719">
        <v>4.8454911220200003</v>
      </c>
      <c r="C1719" s="1">
        <v>42308</v>
      </c>
    </row>
    <row r="1720" spans="1:3">
      <c r="A1720" t="s">
        <v>119</v>
      </c>
      <c r="B1720">
        <v>4.339937638736</v>
      </c>
      <c r="C1720" s="1">
        <v>42308</v>
      </c>
    </row>
    <row r="1721" spans="1:3">
      <c r="A1721" t="s">
        <v>121</v>
      </c>
      <c r="B1721">
        <v>20.081627331707999</v>
      </c>
      <c r="C1721" s="1">
        <v>42308</v>
      </c>
    </row>
    <row r="1722" spans="1:3">
      <c r="A1722" t="s">
        <v>123</v>
      </c>
      <c r="B1722">
        <v>4.5268041124999998</v>
      </c>
      <c r="C1722" s="1">
        <v>42308</v>
      </c>
    </row>
    <row r="1723" spans="1:3">
      <c r="A1723" t="s">
        <v>125</v>
      </c>
      <c r="B1723">
        <v>146.81331097660001</v>
      </c>
      <c r="C1723" s="1">
        <v>42308</v>
      </c>
    </row>
    <row r="1724" spans="1:3">
      <c r="A1724" t="s">
        <v>127</v>
      </c>
      <c r="B1724">
        <v>11.429275023240001</v>
      </c>
      <c r="C1724" s="1">
        <v>42308</v>
      </c>
    </row>
    <row r="1725" spans="1:3">
      <c r="A1725" t="s">
        <v>129</v>
      </c>
      <c r="B1725">
        <v>3.6786620939820001</v>
      </c>
      <c r="C1725" s="1">
        <v>42308</v>
      </c>
    </row>
    <row r="1726" spans="1:3">
      <c r="A1726" t="s">
        <v>131</v>
      </c>
      <c r="B1726">
        <v>4.2914102986499998</v>
      </c>
      <c r="C1726" s="1">
        <v>42308</v>
      </c>
    </row>
    <row r="1727" spans="1:3">
      <c r="A1727" t="s">
        <v>134</v>
      </c>
      <c r="B1727">
        <v>2.358283870448</v>
      </c>
      <c r="C1727" s="1">
        <v>42308</v>
      </c>
    </row>
    <row r="1728" spans="1:3">
      <c r="A1728" t="s">
        <v>136</v>
      </c>
      <c r="B1728">
        <v>10.4297566752</v>
      </c>
      <c r="C1728" s="1">
        <v>42308</v>
      </c>
    </row>
    <row r="1729" spans="1:3">
      <c r="A1729" t="s">
        <v>138</v>
      </c>
      <c r="B1729">
        <v>25.6398184932</v>
      </c>
      <c r="C1729" s="1">
        <v>42308</v>
      </c>
    </row>
    <row r="1730" spans="1:3">
      <c r="A1730" t="s">
        <v>140</v>
      </c>
      <c r="B1730">
        <v>7.3225583323799999</v>
      </c>
      <c r="C1730" s="1">
        <v>42308</v>
      </c>
    </row>
    <row r="1731" spans="1:3">
      <c r="A1731" t="s">
        <v>142</v>
      </c>
      <c r="B1731">
        <v>8.3025208866539995</v>
      </c>
      <c r="C1731" s="1">
        <v>42308</v>
      </c>
    </row>
    <row r="1732" spans="1:3">
      <c r="A1732" t="s">
        <v>144</v>
      </c>
      <c r="B1732">
        <v>4.887499864184</v>
      </c>
      <c r="C1732" s="1">
        <v>42308</v>
      </c>
    </row>
    <row r="1733" spans="1:3">
      <c r="A1733" t="s">
        <v>146</v>
      </c>
      <c r="B1733">
        <v>3.9582375159700001</v>
      </c>
      <c r="C1733" s="1">
        <v>42308</v>
      </c>
    </row>
    <row r="1734" spans="1:3">
      <c r="A1734" t="s">
        <v>148</v>
      </c>
      <c r="B1734">
        <v>10.424686654594</v>
      </c>
      <c r="C1734" s="1">
        <v>42308</v>
      </c>
    </row>
    <row r="1735" spans="1:3">
      <c r="A1735" t="s">
        <v>150</v>
      </c>
      <c r="B1735">
        <v>6.3809830769799998</v>
      </c>
      <c r="C1735" s="1">
        <v>42308</v>
      </c>
    </row>
    <row r="1736" spans="1:3">
      <c r="A1736" t="s">
        <v>152</v>
      </c>
      <c r="B1736">
        <v>8.5270503706340008</v>
      </c>
      <c r="C1736" s="1">
        <v>42308</v>
      </c>
    </row>
    <row r="1737" spans="1:3">
      <c r="A1737" t="s">
        <v>154</v>
      </c>
      <c r="B1737">
        <v>22.933876066911999</v>
      </c>
      <c r="C1737" s="1">
        <v>42308</v>
      </c>
    </row>
    <row r="1738" spans="1:3">
      <c r="A1738" t="s">
        <v>156</v>
      </c>
      <c r="B1738">
        <v>32.099024745244002</v>
      </c>
      <c r="C1738" s="1">
        <v>42308</v>
      </c>
    </row>
    <row r="1739" spans="1:3">
      <c r="A1739" t="s">
        <v>158</v>
      </c>
      <c r="B1739">
        <v>17.579210018318001</v>
      </c>
      <c r="C1739" s="1">
        <v>42308</v>
      </c>
    </row>
    <row r="1740" spans="1:3">
      <c r="A1740" t="s">
        <v>160</v>
      </c>
      <c r="B1740">
        <v>16.694129278241999</v>
      </c>
      <c r="C1740" s="1">
        <v>42308</v>
      </c>
    </row>
    <row r="1741" spans="1:3">
      <c r="A1741" t="s">
        <v>162</v>
      </c>
      <c r="B1741">
        <v>2.7392597045559999</v>
      </c>
      <c r="C1741" s="1">
        <v>42308</v>
      </c>
    </row>
    <row r="1742" spans="1:3">
      <c r="A1742" t="s">
        <v>164</v>
      </c>
      <c r="B1742">
        <v>2.662485106808</v>
      </c>
      <c r="C1742" s="1">
        <v>42308</v>
      </c>
    </row>
    <row r="1743" spans="1:3">
      <c r="A1743" t="s">
        <v>166</v>
      </c>
      <c r="B1743">
        <v>5.662488728244</v>
      </c>
      <c r="C1743" s="1">
        <v>42308</v>
      </c>
    </row>
    <row r="1744" spans="1:3">
      <c r="A1744" t="s">
        <v>168</v>
      </c>
      <c r="B1744">
        <v>3.8300384235039999</v>
      </c>
      <c r="C1744" s="1">
        <v>42308</v>
      </c>
    </row>
    <row r="1745" spans="1:3">
      <c r="A1745" t="s">
        <v>8</v>
      </c>
      <c r="B1745">
        <v>23.001386962699598</v>
      </c>
      <c r="C1745" s="1">
        <v>42338</v>
      </c>
    </row>
    <row r="1746" spans="1:3">
      <c r="A1746" t="s">
        <v>11</v>
      </c>
      <c r="B1746">
        <v>58.602635229225001</v>
      </c>
      <c r="C1746" s="1">
        <v>42338</v>
      </c>
    </row>
    <row r="1747" spans="1:3">
      <c r="A1747" t="s">
        <v>14</v>
      </c>
      <c r="B1747">
        <v>8.4597780860459899</v>
      </c>
      <c r="C1747" s="1">
        <v>42338</v>
      </c>
    </row>
    <row r="1748" spans="1:3">
      <c r="A1748" t="s">
        <v>17</v>
      </c>
      <c r="B1748">
        <v>7.4590846047635599</v>
      </c>
      <c r="C1748" s="1">
        <v>42338</v>
      </c>
    </row>
    <row r="1749" spans="1:3">
      <c r="A1749" t="s">
        <v>20</v>
      </c>
      <c r="B1749">
        <v>1.4063800277482801</v>
      </c>
      <c r="C1749" s="1">
        <v>42338</v>
      </c>
    </row>
    <row r="1750" spans="1:3">
      <c r="A1750" t="s">
        <v>24</v>
      </c>
      <c r="B1750">
        <v>3.4327323162494898</v>
      </c>
      <c r="C1750" s="1">
        <v>42338</v>
      </c>
    </row>
    <row r="1751" spans="1:3">
      <c r="A1751" t="s">
        <v>27</v>
      </c>
      <c r="B1751">
        <v>6.0901525659198104</v>
      </c>
      <c r="C1751" s="1">
        <v>42338</v>
      </c>
    </row>
    <row r="1752" spans="1:3">
      <c r="A1752" t="s">
        <v>29</v>
      </c>
      <c r="B1752">
        <v>2.4757281553557</v>
      </c>
      <c r="C1752" s="1">
        <v>42338</v>
      </c>
    </row>
    <row r="1753" spans="1:3">
      <c r="A1753" t="s">
        <v>32</v>
      </c>
      <c r="B1753">
        <v>10.124826629746</v>
      </c>
      <c r="C1753" s="1">
        <v>42338</v>
      </c>
    </row>
    <row r="1754" spans="1:3">
      <c r="A1754" t="s">
        <v>35</v>
      </c>
      <c r="B1754">
        <v>3.4646324549459599</v>
      </c>
      <c r="C1754" s="1">
        <v>42338</v>
      </c>
    </row>
    <row r="1755" spans="1:3">
      <c r="A1755" t="s">
        <v>37</v>
      </c>
      <c r="B1755">
        <v>0.86685159501249998</v>
      </c>
      <c r="C1755" s="1">
        <v>42338</v>
      </c>
    </row>
    <row r="1756" spans="1:3">
      <c r="A1756" t="s">
        <v>39</v>
      </c>
      <c r="B1756">
        <v>1.1809986130450301</v>
      </c>
      <c r="C1756" s="1">
        <v>42338</v>
      </c>
    </row>
    <row r="1757" spans="1:3">
      <c r="A1757" t="s">
        <v>42</v>
      </c>
      <c r="B1757">
        <v>2.1012482663103</v>
      </c>
      <c r="C1757" s="1">
        <v>42338</v>
      </c>
    </row>
    <row r="1758" spans="1:3">
      <c r="A1758" t="s">
        <v>44</v>
      </c>
      <c r="B1758">
        <v>3.1206657420449999</v>
      </c>
      <c r="C1758" s="1">
        <v>42338</v>
      </c>
    </row>
    <row r="1759" spans="1:3">
      <c r="A1759" t="s">
        <v>47</v>
      </c>
      <c r="B1759">
        <v>9.0381414702383296</v>
      </c>
      <c r="C1759" s="1">
        <v>42338</v>
      </c>
    </row>
    <row r="1760" spans="1:3">
      <c r="A1760" t="s">
        <v>49</v>
      </c>
      <c r="B1760">
        <v>12.5929264910655</v>
      </c>
      <c r="C1760" s="1">
        <v>42338</v>
      </c>
    </row>
    <row r="1761" spans="1:3">
      <c r="A1761" t="s">
        <v>51</v>
      </c>
      <c r="B1761">
        <v>1.2725381414783501</v>
      </c>
      <c r="C1761" s="1">
        <v>42338</v>
      </c>
    </row>
    <row r="1762" spans="1:3">
      <c r="A1762" t="s">
        <v>53</v>
      </c>
      <c r="B1762">
        <v>1.2018030513253199</v>
      </c>
      <c r="C1762" s="1">
        <v>42338</v>
      </c>
    </row>
    <row r="1763" spans="1:3">
      <c r="A1763" t="s">
        <v>55</v>
      </c>
      <c r="B1763">
        <v>4.2142857143127701</v>
      </c>
      <c r="C1763" s="1">
        <v>42338</v>
      </c>
    </row>
    <row r="1764" spans="1:3">
      <c r="A1764" t="s">
        <v>57</v>
      </c>
      <c r="B1764">
        <v>4.2864077670178098</v>
      </c>
      <c r="C1764" s="1">
        <v>42338</v>
      </c>
    </row>
    <row r="1765" spans="1:3">
      <c r="A1765" t="s">
        <v>59</v>
      </c>
      <c r="B1765">
        <v>8.6338418863244897</v>
      </c>
      <c r="C1765" s="1">
        <v>42338</v>
      </c>
    </row>
    <row r="1766" spans="1:3">
      <c r="A1766" t="s">
        <v>61</v>
      </c>
      <c r="B1766">
        <v>41.608876560599903</v>
      </c>
      <c r="C1766" s="1">
        <v>42338</v>
      </c>
    </row>
    <row r="1767" spans="1:3">
      <c r="A1767" t="s">
        <v>63</v>
      </c>
      <c r="B1767">
        <v>8.1830790569180003</v>
      </c>
      <c r="C1767" s="1">
        <v>42338</v>
      </c>
    </row>
    <row r="1768" spans="1:3">
      <c r="A1768" t="s">
        <v>65</v>
      </c>
      <c r="B1768">
        <v>0.73162274619055001</v>
      </c>
      <c r="C1768" s="1">
        <v>42338</v>
      </c>
    </row>
    <row r="1769" spans="1:3">
      <c r="A1769" t="s">
        <v>67</v>
      </c>
      <c r="B1769">
        <v>10.002773925168199</v>
      </c>
      <c r="C1769" s="1">
        <v>42338</v>
      </c>
    </row>
    <row r="1770" spans="1:3">
      <c r="A1770" t="s">
        <v>69</v>
      </c>
      <c r="B1770">
        <v>6.5540915395705097</v>
      </c>
      <c r="C1770" s="1">
        <v>42338</v>
      </c>
    </row>
    <row r="1771" spans="1:3">
      <c r="A1771" t="s">
        <v>71</v>
      </c>
      <c r="B1771">
        <v>0.92441054092132902</v>
      </c>
      <c r="C1771" s="1">
        <v>42338</v>
      </c>
    </row>
    <row r="1772" spans="1:3">
      <c r="A1772" t="s">
        <v>73</v>
      </c>
      <c r="B1772">
        <v>2.4965325936359899</v>
      </c>
      <c r="C1772" s="1">
        <v>42338</v>
      </c>
    </row>
    <row r="1773" spans="1:3">
      <c r="A1773" t="s">
        <v>75</v>
      </c>
      <c r="B1773">
        <v>0.3259361997247</v>
      </c>
      <c r="C1773" s="1">
        <v>42338</v>
      </c>
    </row>
    <row r="1774" spans="1:3">
      <c r="A1774" t="s">
        <v>77</v>
      </c>
      <c r="B1774">
        <v>1.6733703190121201</v>
      </c>
      <c r="C1774" s="1">
        <v>42338</v>
      </c>
    </row>
    <row r="1775" spans="1:3">
      <c r="A1775" t="s">
        <v>79</v>
      </c>
      <c r="B1775">
        <v>9.6435506241950595</v>
      </c>
      <c r="C1775" s="1">
        <v>42338</v>
      </c>
    </row>
    <row r="1776" spans="1:3">
      <c r="A1776" t="s">
        <v>81</v>
      </c>
      <c r="B1776">
        <v>8.3203883495679793</v>
      </c>
      <c r="C1776" s="1">
        <v>42338</v>
      </c>
    </row>
    <row r="1777" spans="1:3">
      <c r="A1777" t="s">
        <v>83</v>
      </c>
      <c r="B1777">
        <v>0.50346740638325904</v>
      </c>
      <c r="C1777" s="1">
        <v>42338</v>
      </c>
    </row>
    <row r="1778" spans="1:3">
      <c r="A1778" t="s">
        <v>85</v>
      </c>
      <c r="B1778">
        <v>8.3536754508164499</v>
      </c>
      <c r="C1778" s="1">
        <v>42338</v>
      </c>
    </row>
    <row r="1779" spans="1:3">
      <c r="A1779" t="s">
        <v>87</v>
      </c>
      <c r="B1779">
        <v>21.678918169348599</v>
      </c>
      <c r="C1779" s="1">
        <v>42338</v>
      </c>
    </row>
    <row r="1780" spans="1:3">
      <c r="A1780" t="s">
        <v>89</v>
      </c>
      <c r="B1780">
        <v>8.07975034679251</v>
      </c>
      <c r="C1780" s="1">
        <v>42338</v>
      </c>
    </row>
    <row r="1781" spans="1:3">
      <c r="A1781" t="s">
        <v>91</v>
      </c>
      <c r="B1781">
        <v>14.649098474435201</v>
      </c>
      <c r="C1781" s="1">
        <v>42338</v>
      </c>
    </row>
    <row r="1782" spans="1:3">
      <c r="A1782" t="s">
        <v>93</v>
      </c>
      <c r="B1782">
        <v>22.469486824000001</v>
      </c>
      <c r="C1782" s="1">
        <v>42338</v>
      </c>
    </row>
    <row r="1783" spans="1:3">
      <c r="A1783" t="s">
        <v>95</v>
      </c>
      <c r="B1783">
        <v>0.93689320388950903</v>
      </c>
      <c r="C1783" s="1">
        <v>42338</v>
      </c>
    </row>
    <row r="1784" spans="1:3">
      <c r="A1784" t="s">
        <v>97</v>
      </c>
      <c r="B1784">
        <v>8.8765603329279994</v>
      </c>
      <c r="C1784" s="1">
        <v>42338</v>
      </c>
    </row>
    <row r="1785" spans="1:3">
      <c r="A1785" t="s">
        <v>99</v>
      </c>
      <c r="B1785">
        <v>7.8363384189129999</v>
      </c>
      <c r="C1785" s="1">
        <v>42338</v>
      </c>
    </row>
    <row r="1786" spans="1:3">
      <c r="A1786" t="s">
        <v>101</v>
      </c>
      <c r="B1786">
        <v>7.4209431345830099</v>
      </c>
      <c r="C1786" s="1">
        <v>42338</v>
      </c>
    </row>
    <row r="1787" spans="1:3">
      <c r="A1787" t="s">
        <v>103</v>
      </c>
      <c r="B1787">
        <v>1.0416088765670199</v>
      </c>
      <c r="C1787" s="1">
        <v>42338</v>
      </c>
    </row>
    <row r="1788" spans="1:3">
      <c r="A1788" t="s">
        <v>105</v>
      </c>
      <c r="B1788">
        <v>1.16088765604073</v>
      </c>
      <c r="C1788" s="1">
        <v>42338</v>
      </c>
    </row>
    <row r="1789" spans="1:3">
      <c r="A1789" t="s">
        <v>107</v>
      </c>
      <c r="B1789">
        <v>6.2586685159902498</v>
      </c>
      <c r="C1789" s="1">
        <v>42338</v>
      </c>
    </row>
    <row r="1790" spans="1:3">
      <c r="A1790" t="s">
        <v>109</v>
      </c>
      <c r="B1790">
        <v>0.63938973648121999</v>
      </c>
      <c r="C1790" s="1">
        <v>42338</v>
      </c>
    </row>
    <row r="1791" spans="1:3">
      <c r="A1791" t="s">
        <v>111</v>
      </c>
      <c r="B1791">
        <v>6.3453536754914897</v>
      </c>
      <c r="C1791" s="1">
        <v>42338</v>
      </c>
    </row>
    <row r="1792" spans="1:3">
      <c r="A1792" t="s">
        <v>113</v>
      </c>
      <c r="B1792">
        <v>8.9812760056054994</v>
      </c>
      <c r="C1792" s="1">
        <v>42338</v>
      </c>
    </row>
    <row r="1793" spans="1:3">
      <c r="A1793" t="s">
        <v>115</v>
      </c>
      <c r="B1793">
        <v>7.0735090153019904</v>
      </c>
      <c r="C1793" s="1">
        <v>42338</v>
      </c>
    </row>
    <row r="1794" spans="1:3">
      <c r="A1794" t="s">
        <v>117</v>
      </c>
      <c r="B1794">
        <v>4.5353675451053999</v>
      </c>
      <c r="C1794" s="1">
        <v>42338</v>
      </c>
    </row>
    <row r="1795" spans="1:3">
      <c r="A1795" t="s">
        <v>119</v>
      </c>
      <c r="B1795">
        <v>3.1199722607689901</v>
      </c>
      <c r="C1795" s="1">
        <v>42338</v>
      </c>
    </row>
    <row r="1796" spans="1:3">
      <c r="A1796" t="s">
        <v>121</v>
      </c>
      <c r="B1796">
        <v>18.002080443943498</v>
      </c>
      <c r="C1796" s="1">
        <v>42338</v>
      </c>
    </row>
    <row r="1797" spans="1:3">
      <c r="A1797" t="s">
        <v>123</v>
      </c>
      <c r="B1797">
        <v>4.2718446602215998</v>
      </c>
      <c r="C1797" s="1">
        <v>42338</v>
      </c>
    </row>
    <row r="1798" spans="1:3">
      <c r="A1798" t="s">
        <v>125</v>
      </c>
      <c r="B1798">
        <v>149.43411927973801</v>
      </c>
      <c r="C1798" s="1">
        <v>42338</v>
      </c>
    </row>
    <row r="1799" spans="1:3">
      <c r="A1799" t="s">
        <v>127</v>
      </c>
      <c r="B1799">
        <v>10.0665742025611</v>
      </c>
      <c r="C1799" s="1">
        <v>42338</v>
      </c>
    </row>
    <row r="1800" spans="1:3">
      <c r="A1800" t="s">
        <v>129</v>
      </c>
      <c r="B1800">
        <v>3.2607489597990198</v>
      </c>
      <c r="C1800" s="1">
        <v>42338</v>
      </c>
    </row>
    <row r="1801" spans="1:3">
      <c r="A1801" t="s">
        <v>131</v>
      </c>
      <c r="B1801">
        <v>3.4951456310903999</v>
      </c>
      <c r="C1801" s="1">
        <v>42338</v>
      </c>
    </row>
    <row r="1802" spans="1:3">
      <c r="A1802" t="s">
        <v>134</v>
      </c>
      <c r="B1802">
        <v>2.5818307905852298</v>
      </c>
      <c r="C1802" s="1">
        <v>42338</v>
      </c>
    </row>
    <row r="1803" spans="1:3">
      <c r="A1803" t="s">
        <v>136</v>
      </c>
      <c r="B1803">
        <v>9.8453536755139694</v>
      </c>
      <c r="C1803" s="1">
        <v>42338</v>
      </c>
    </row>
    <row r="1804" spans="1:3">
      <c r="A1804" t="s">
        <v>138</v>
      </c>
      <c r="B1804">
        <v>23.373092926641</v>
      </c>
      <c r="C1804" s="1">
        <v>42338</v>
      </c>
    </row>
    <row r="1805" spans="1:3">
      <c r="A1805" t="s">
        <v>140</v>
      </c>
      <c r="B1805">
        <v>6.7274618585730099</v>
      </c>
      <c r="C1805" s="1">
        <v>42338</v>
      </c>
    </row>
    <row r="1806" spans="1:3">
      <c r="A1806" t="s">
        <v>142</v>
      </c>
      <c r="B1806">
        <v>8.3911234397209995</v>
      </c>
      <c r="C1806" s="1">
        <v>42338</v>
      </c>
    </row>
    <row r="1807" spans="1:3">
      <c r="A1807" t="s">
        <v>144</v>
      </c>
      <c r="B1807">
        <v>4.7565880721525797</v>
      </c>
      <c r="C1807" s="1">
        <v>42338</v>
      </c>
    </row>
    <row r="1808" spans="1:3">
      <c r="A1808" t="s">
        <v>146</v>
      </c>
      <c r="B1808">
        <v>4.3411927878225898</v>
      </c>
      <c r="C1808" s="1">
        <v>42338</v>
      </c>
    </row>
    <row r="1809" spans="1:3">
      <c r="A1809" t="s">
        <v>148</v>
      </c>
      <c r="B1809">
        <v>9.0041608877138302</v>
      </c>
      <c r="C1809" s="1">
        <v>42338</v>
      </c>
    </row>
    <row r="1810" spans="1:3">
      <c r="A1810" t="s">
        <v>150</v>
      </c>
      <c r="B1810">
        <v>5.7073509015622896</v>
      </c>
      <c r="C1810" s="1">
        <v>42338</v>
      </c>
    </row>
    <row r="1811" spans="1:3">
      <c r="A1811" t="s">
        <v>152</v>
      </c>
      <c r="B1811">
        <v>6.3328710125233103</v>
      </c>
      <c r="C1811" s="1">
        <v>42338</v>
      </c>
    </row>
    <row r="1812" spans="1:3">
      <c r="A1812" t="s">
        <v>154</v>
      </c>
      <c r="B1812">
        <v>23.1054091541011</v>
      </c>
      <c r="C1812" s="1">
        <v>42338</v>
      </c>
    </row>
    <row r="1813" spans="1:3">
      <c r="A1813" t="s">
        <v>156</v>
      </c>
      <c r="B1813">
        <v>27.916782247058499</v>
      </c>
      <c r="C1813" s="1">
        <v>42338</v>
      </c>
    </row>
    <row r="1814" spans="1:3">
      <c r="A1814" t="s">
        <v>158</v>
      </c>
      <c r="B1814">
        <v>13.8696255202</v>
      </c>
      <c r="C1814" s="1">
        <v>42338</v>
      </c>
    </row>
    <row r="1815" spans="1:3">
      <c r="A1815" t="s">
        <v>160</v>
      </c>
      <c r="B1815">
        <v>14.6289875174309</v>
      </c>
      <c r="C1815" s="1">
        <v>42338</v>
      </c>
    </row>
    <row r="1816" spans="1:3">
      <c r="A1816" t="s">
        <v>162</v>
      </c>
      <c r="B1816">
        <v>2.1927877947436198</v>
      </c>
      <c r="C1816" s="1">
        <v>42338</v>
      </c>
    </row>
    <row r="1817" spans="1:3">
      <c r="A1817" t="s">
        <v>164</v>
      </c>
      <c r="B1817">
        <v>2.5506241331647801</v>
      </c>
      <c r="C1817" s="1">
        <v>42338</v>
      </c>
    </row>
    <row r="1818" spans="1:3">
      <c r="A1818" t="s">
        <v>166</v>
      </c>
      <c r="B1818">
        <v>5.3009708738204298</v>
      </c>
      <c r="C1818" s="1">
        <v>42338</v>
      </c>
    </row>
    <row r="1819" spans="1:3">
      <c r="A1819" t="s">
        <v>168</v>
      </c>
      <c r="B1819">
        <v>3.0020804438472899</v>
      </c>
      <c r="C1819" s="1">
        <v>42338</v>
      </c>
    </row>
    <row r="1820" spans="1:3">
      <c r="A1820" t="s">
        <v>8</v>
      </c>
      <c r="B1820">
        <v>19.909651189118101</v>
      </c>
      <c r="C1820" s="1">
        <v>42369</v>
      </c>
    </row>
    <row r="1821" spans="1:3">
      <c r="A1821" t="s">
        <v>11</v>
      </c>
      <c r="B1821">
        <v>56.347971992047498</v>
      </c>
      <c r="C1821" s="1">
        <v>42369</v>
      </c>
    </row>
    <row r="1822" spans="1:3">
      <c r="A1822" t="s">
        <v>14</v>
      </c>
      <c r="B1822">
        <v>7.1046432835564897</v>
      </c>
      <c r="C1822" s="1">
        <v>42369</v>
      </c>
    </row>
    <row r="1823" spans="1:3">
      <c r="A1823" t="s">
        <v>17</v>
      </c>
      <c r="B1823">
        <v>7.2020909296475999</v>
      </c>
      <c r="C1823" s="1">
        <v>42369</v>
      </c>
    </row>
    <row r="1824" spans="1:3">
      <c r="A1824" t="s">
        <v>20</v>
      </c>
      <c r="B1824">
        <v>1.1771159368886399</v>
      </c>
      <c r="C1824" s="1">
        <v>42369</v>
      </c>
    </row>
    <row r="1825" spans="1:3">
      <c r="A1825" t="s">
        <v>24</v>
      </c>
      <c r="B1825">
        <v>3.7294698460961899</v>
      </c>
      <c r="C1825" s="1">
        <v>42369</v>
      </c>
    </row>
    <row r="1826" spans="1:3">
      <c r="A1826" t="s">
        <v>27</v>
      </c>
      <c r="B1826">
        <v>4.4522603336593898</v>
      </c>
      <c r="C1826" s="1">
        <v>42369</v>
      </c>
    </row>
    <row r="1827" spans="1:3">
      <c r="A1827" t="s">
        <v>29</v>
      </c>
      <c r="B1827">
        <v>2.2632377141822699</v>
      </c>
      <c r="C1827" s="1">
        <v>42369</v>
      </c>
    </row>
    <row r="1828" spans="1:3">
      <c r="A1828" t="s">
        <v>32</v>
      </c>
      <c r="B1828">
        <v>9.8357587687060093</v>
      </c>
      <c r="C1828" s="1">
        <v>42369</v>
      </c>
    </row>
    <row r="1829" spans="1:3">
      <c r="A1829" t="s">
        <v>35</v>
      </c>
      <c r="B1829">
        <v>3.2254525507507799</v>
      </c>
      <c r="C1829" s="1">
        <v>42369</v>
      </c>
    </row>
    <row r="1830" spans="1:3">
      <c r="A1830" t="s">
        <v>37</v>
      </c>
      <c r="B1830">
        <v>0.78409860927615005</v>
      </c>
      <c r="C1830" s="1">
        <v>42369</v>
      </c>
    </row>
    <row r="1831" spans="1:3">
      <c r="A1831" t="s">
        <v>39</v>
      </c>
      <c r="B1831">
        <v>1.08741247459285</v>
      </c>
      <c r="C1831" s="1">
        <v>42369</v>
      </c>
    </row>
    <row r="1832" spans="1:3">
      <c r="A1832" t="s">
        <v>42</v>
      </c>
      <c r="B1832">
        <v>1.9037785163495</v>
      </c>
      <c r="C1832" s="1">
        <v>42369</v>
      </c>
    </row>
    <row r="1833" spans="1:3">
      <c r="A1833" t="s">
        <v>44</v>
      </c>
      <c r="B1833">
        <v>2.8421154528824299</v>
      </c>
      <c r="C1833" s="1">
        <v>42369</v>
      </c>
    </row>
    <row r="1834" spans="1:3">
      <c r="A1834" t="s">
        <v>47</v>
      </c>
      <c r="B1834">
        <v>8.2604627150079999</v>
      </c>
      <c r="C1834" s="1">
        <v>42369</v>
      </c>
    </row>
    <row r="1835" spans="1:3">
      <c r="A1835" t="s">
        <v>49</v>
      </c>
      <c r="B1835">
        <v>11.880868639319999</v>
      </c>
      <c r="C1835" s="1">
        <v>42369</v>
      </c>
    </row>
    <row r="1836" spans="1:3">
      <c r="A1836" t="s">
        <v>51</v>
      </c>
      <c r="B1836">
        <v>1.0906392178408999</v>
      </c>
      <c r="C1836" s="1">
        <v>42369</v>
      </c>
    </row>
    <row r="1837" spans="1:3">
      <c r="A1837" t="s">
        <v>53</v>
      </c>
      <c r="B1837">
        <v>1.0461101610178101</v>
      </c>
      <c r="C1837" s="1">
        <v>42369</v>
      </c>
    </row>
    <row r="1838" spans="1:3">
      <c r="A1838" t="s">
        <v>55</v>
      </c>
      <c r="B1838">
        <v>3.4138943564369</v>
      </c>
      <c r="C1838" s="1">
        <v>42369</v>
      </c>
    </row>
    <row r="1839" spans="1:3">
      <c r="A1839" t="s">
        <v>57</v>
      </c>
      <c r="B1839">
        <v>4.1515278629411299</v>
      </c>
      <c r="C1839" s="1">
        <v>42369</v>
      </c>
    </row>
    <row r="1840" spans="1:3">
      <c r="A1840" t="s">
        <v>59</v>
      </c>
      <c r="B1840">
        <v>7.4537769029955001</v>
      </c>
      <c r="C1840" s="1">
        <v>42369</v>
      </c>
    </row>
    <row r="1841" spans="1:3">
      <c r="A1841" t="s">
        <v>61</v>
      </c>
      <c r="B1841">
        <v>34.755896873396097</v>
      </c>
      <c r="C1841" s="1">
        <v>42369</v>
      </c>
    </row>
    <row r="1842" spans="1:3">
      <c r="A1842" t="s">
        <v>63</v>
      </c>
      <c r="B1842">
        <v>7.4860443354759996</v>
      </c>
      <c r="C1842" s="1">
        <v>42369</v>
      </c>
    </row>
    <row r="1843" spans="1:3">
      <c r="A1843" t="s">
        <v>65</v>
      </c>
      <c r="B1843">
        <v>0.62598819012169904</v>
      </c>
      <c r="C1843" s="1">
        <v>42369</v>
      </c>
    </row>
    <row r="1844" spans="1:3">
      <c r="A1844" t="s">
        <v>67</v>
      </c>
      <c r="B1844">
        <v>8.5799102965649396</v>
      </c>
      <c r="C1844" s="1">
        <v>42369</v>
      </c>
    </row>
    <row r="1845" spans="1:3">
      <c r="A1845" t="s">
        <v>69</v>
      </c>
      <c r="B1845">
        <v>5.8823529411951503</v>
      </c>
      <c r="C1845" s="1">
        <v>42369</v>
      </c>
    </row>
    <row r="1846" spans="1:3">
      <c r="A1846" t="s">
        <v>71</v>
      </c>
      <c r="B1846">
        <v>0.93962763383215997</v>
      </c>
      <c r="C1846" s="1">
        <v>42369</v>
      </c>
    </row>
    <row r="1847" spans="1:3">
      <c r="A1847" t="s">
        <v>73</v>
      </c>
      <c r="B1847">
        <v>2.1877319221778899</v>
      </c>
      <c r="C1847" s="1">
        <v>42369</v>
      </c>
    </row>
    <row r="1848" spans="1:3">
      <c r="A1848" t="s">
        <v>75</v>
      </c>
      <c r="B1848">
        <v>0.29686037882059901</v>
      </c>
      <c r="C1848" s="1">
        <v>42369</v>
      </c>
    </row>
    <row r="1849" spans="1:3">
      <c r="A1849" t="s">
        <v>77</v>
      </c>
      <c r="B1849">
        <v>1.49914491304403</v>
      </c>
      <c r="C1849" s="1">
        <v>42369</v>
      </c>
    </row>
    <row r="1850" spans="1:3">
      <c r="A1850" t="s">
        <v>79</v>
      </c>
      <c r="B1850">
        <v>8.3895324449299995</v>
      </c>
      <c r="C1850" s="1">
        <v>42369</v>
      </c>
    </row>
    <row r="1851" spans="1:3">
      <c r="A1851" t="s">
        <v>81</v>
      </c>
      <c r="B1851">
        <v>7.3092188054828604</v>
      </c>
      <c r="C1851" s="1">
        <v>42369</v>
      </c>
    </row>
    <row r="1852" spans="1:3">
      <c r="A1852" t="s">
        <v>83</v>
      </c>
      <c r="B1852">
        <v>0.44529056823090002</v>
      </c>
      <c r="C1852" s="1">
        <v>42369</v>
      </c>
    </row>
    <row r="1853" spans="1:3">
      <c r="A1853" t="s">
        <v>85</v>
      </c>
      <c r="B1853">
        <v>6.6696782937193397</v>
      </c>
      <c r="C1853" s="1">
        <v>42369</v>
      </c>
    </row>
    <row r="1854" spans="1:3">
      <c r="A1854" t="s">
        <v>87</v>
      </c>
      <c r="B1854">
        <v>19.972250008130199</v>
      </c>
      <c r="C1854" s="1">
        <v>42369</v>
      </c>
    </row>
    <row r="1855" spans="1:3">
      <c r="A1855" t="s">
        <v>89</v>
      </c>
      <c r="B1855">
        <v>7.4537769029955001</v>
      </c>
      <c r="C1855" s="1">
        <v>42369</v>
      </c>
    </row>
    <row r="1856" spans="1:3">
      <c r="A1856" t="s">
        <v>91</v>
      </c>
      <c r="B1856">
        <v>12.2293569101095</v>
      </c>
      <c r="C1856" s="1">
        <v>42369</v>
      </c>
    </row>
    <row r="1857" spans="1:3">
      <c r="A1857" t="s">
        <v>93</v>
      </c>
      <c r="B1857">
        <v>19.360459488299998</v>
      </c>
      <c r="C1857" s="1">
        <v>42369</v>
      </c>
    </row>
    <row r="1858" spans="1:3">
      <c r="A1858" t="s">
        <v>95</v>
      </c>
      <c r="B1858">
        <v>0.728598625409689</v>
      </c>
      <c r="C1858" s="1">
        <v>42369</v>
      </c>
    </row>
    <row r="1859" spans="1:3">
      <c r="A1859" t="s">
        <v>97</v>
      </c>
      <c r="B1859">
        <v>8.5915265722579299</v>
      </c>
      <c r="C1859" s="1">
        <v>42369</v>
      </c>
    </row>
    <row r="1860" spans="1:3">
      <c r="A1860" t="s">
        <v>99</v>
      </c>
      <c r="B1860">
        <v>7.5505792004370003</v>
      </c>
      <c r="C1860" s="1">
        <v>42369</v>
      </c>
    </row>
    <row r="1861" spans="1:3">
      <c r="A1861" t="s">
        <v>101</v>
      </c>
      <c r="B1861">
        <v>6.1275854280469497</v>
      </c>
      <c r="C1861" s="1">
        <v>42369</v>
      </c>
    </row>
    <row r="1862" spans="1:3">
      <c r="A1862" t="s">
        <v>103</v>
      </c>
      <c r="B1862">
        <v>0.93575554193449995</v>
      </c>
      <c r="C1862" s="1">
        <v>42369</v>
      </c>
    </row>
    <row r="1863" spans="1:3">
      <c r="A1863" t="s">
        <v>105</v>
      </c>
      <c r="B1863">
        <v>0.99383692039939997</v>
      </c>
      <c r="C1863" s="1">
        <v>42369</v>
      </c>
    </row>
    <row r="1864" spans="1:3">
      <c r="A1864" t="s">
        <v>107</v>
      </c>
      <c r="B1864">
        <v>6.0114226711171499</v>
      </c>
      <c r="C1864" s="1">
        <v>42369</v>
      </c>
    </row>
    <row r="1865" spans="1:3">
      <c r="A1865" t="s">
        <v>109</v>
      </c>
      <c r="B1865">
        <v>1.0067438933916</v>
      </c>
      <c r="C1865" s="1">
        <v>42369</v>
      </c>
    </row>
    <row r="1866" spans="1:3">
      <c r="A1866" t="s">
        <v>111</v>
      </c>
      <c r="B1866">
        <v>5.7216611274422498</v>
      </c>
      <c r="C1866" s="1">
        <v>42369</v>
      </c>
    </row>
    <row r="1867" spans="1:3">
      <c r="A1867" t="s">
        <v>113</v>
      </c>
      <c r="B1867">
        <v>7.8590558549505802</v>
      </c>
      <c r="C1867" s="1">
        <v>42369</v>
      </c>
    </row>
    <row r="1868" spans="1:3">
      <c r="A1868" t="s">
        <v>115</v>
      </c>
      <c r="B1868">
        <v>6.4631667258441503</v>
      </c>
      <c r="C1868" s="1">
        <v>42369</v>
      </c>
    </row>
    <row r="1869" spans="1:3">
      <c r="A1869" t="s">
        <v>117</v>
      </c>
      <c r="B1869">
        <v>4.1947662224649997</v>
      </c>
      <c r="C1869" s="1">
        <v>42369</v>
      </c>
    </row>
    <row r="1870" spans="1:3">
      <c r="A1870" t="s">
        <v>119</v>
      </c>
      <c r="B1870">
        <v>2.6588364363932002</v>
      </c>
      <c r="C1870" s="1">
        <v>42369</v>
      </c>
    </row>
    <row r="1871" spans="1:3">
      <c r="A1871" t="s">
        <v>121</v>
      </c>
      <c r="B1871">
        <v>15.824594237086799</v>
      </c>
      <c r="C1871" s="1">
        <v>42369</v>
      </c>
    </row>
    <row r="1872" spans="1:3">
      <c r="A1872" t="s">
        <v>123</v>
      </c>
      <c r="B1872">
        <v>3.9069407247389401</v>
      </c>
      <c r="C1872" s="1">
        <v>42369</v>
      </c>
    </row>
    <row r="1873" spans="1:3">
      <c r="A1873" t="s">
        <v>125</v>
      </c>
      <c r="B1873">
        <v>136.81391371731999</v>
      </c>
      <c r="C1873" s="1">
        <v>42369</v>
      </c>
    </row>
    <row r="1874" spans="1:3">
      <c r="A1874" t="s">
        <v>127</v>
      </c>
      <c r="B1874">
        <v>8.5760382046672898</v>
      </c>
      <c r="C1874" s="1">
        <v>42369</v>
      </c>
    </row>
    <row r="1875" spans="1:3">
      <c r="A1875" t="s">
        <v>129</v>
      </c>
      <c r="B1875">
        <v>2.73434222839757</v>
      </c>
      <c r="C1875" s="1">
        <v>42369</v>
      </c>
    </row>
    <row r="1876" spans="1:3">
      <c r="A1876" t="s">
        <v>131</v>
      </c>
      <c r="B1876">
        <v>3.3235455454915002</v>
      </c>
      <c r="C1876" s="1">
        <v>42369</v>
      </c>
    </row>
    <row r="1877" spans="1:3">
      <c r="A1877" t="s">
        <v>134</v>
      </c>
      <c r="B1877">
        <v>2.4484527766203299</v>
      </c>
      <c r="C1877" s="1">
        <v>42369</v>
      </c>
    </row>
    <row r="1878" spans="1:3">
      <c r="A1878" t="s">
        <v>136</v>
      </c>
      <c r="B1878">
        <v>9.2452647543128599</v>
      </c>
      <c r="C1878" s="1">
        <v>42369</v>
      </c>
    </row>
    <row r="1879" spans="1:3">
      <c r="A1879" t="s">
        <v>138</v>
      </c>
      <c r="B1879">
        <v>21.1809880288498</v>
      </c>
      <c r="C1879" s="1">
        <v>42369</v>
      </c>
    </row>
    <row r="1880" spans="1:3">
      <c r="A1880" t="s">
        <v>140</v>
      </c>
      <c r="B1880">
        <v>5.7436029815289897</v>
      </c>
      <c r="C1880" s="1">
        <v>42369</v>
      </c>
    </row>
    <row r="1881" spans="1:3">
      <c r="A1881" t="s">
        <v>142</v>
      </c>
      <c r="B1881">
        <v>7.0665677132294897</v>
      </c>
      <c r="C1881" s="1">
        <v>42369</v>
      </c>
    </row>
    <row r="1882" spans="1:3">
      <c r="A1882" t="s">
        <v>144</v>
      </c>
      <c r="B1882">
        <v>4.4064405795370796</v>
      </c>
      <c r="C1882" s="1">
        <v>42369</v>
      </c>
    </row>
    <row r="1883" spans="1:3">
      <c r="A1883" t="s">
        <v>146</v>
      </c>
      <c r="B1883">
        <v>4.21154528735486</v>
      </c>
      <c r="C1883" s="1">
        <v>42369</v>
      </c>
    </row>
    <row r="1884" spans="1:3">
      <c r="A1884" t="s">
        <v>148</v>
      </c>
      <c r="B1884">
        <v>7.3247071730734996</v>
      </c>
      <c r="C1884" s="1">
        <v>42369</v>
      </c>
    </row>
    <row r="1885" spans="1:3">
      <c r="A1885" t="s">
        <v>150</v>
      </c>
      <c r="B1885">
        <v>4.9937078506821697</v>
      </c>
      <c r="C1885" s="1">
        <v>42369</v>
      </c>
    </row>
    <row r="1886" spans="1:3">
      <c r="A1886" t="s">
        <v>152</v>
      </c>
      <c r="B1886">
        <v>6.85747475075586</v>
      </c>
      <c r="C1886" s="1">
        <v>42369</v>
      </c>
    </row>
    <row r="1887" spans="1:3">
      <c r="A1887" t="s">
        <v>154</v>
      </c>
      <c r="B1887">
        <v>20.4214126682588</v>
      </c>
      <c r="C1887" s="1">
        <v>42369</v>
      </c>
    </row>
    <row r="1888" spans="1:3">
      <c r="A1888" t="s">
        <v>156</v>
      </c>
      <c r="B1888">
        <v>27.065922364643399</v>
      </c>
      <c r="C1888" s="1">
        <v>42369</v>
      </c>
    </row>
    <row r="1889" spans="1:3">
      <c r="A1889" t="s">
        <v>158</v>
      </c>
      <c r="B1889">
        <v>11.9608918718717</v>
      </c>
      <c r="C1889" s="1">
        <v>42369</v>
      </c>
    </row>
    <row r="1890" spans="1:3">
      <c r="A1890" t="s">
        <v>160</v>
      </c>
      <c r="B1890">
        <v>12.1719208802942</v>
      </c>
      <c r="C1890" s="1">
        <v>42369</v>
      </c>
    </row>
    <row r="1891" spans="1:3">
      <c r="A1891" t="s">
        <v>162</v>
      </c>
      <c r="B1891">
        <v>1.6159530186234301</v>
      </c>
      <c r="C1891" s="1">
        <v>42369</v>
      </c>
    </row>
    <row r="1892" spans="1:3">
      <c r="A1892" t="s">
        <v>164</v>
      </c>
      <c r="B1892">
        <v>2.7233713013542</v>
      </c>
      <c r="C1892" s="1">
        <v>42369</v>
      </c>
    </row>
    <row r="1893" spans="1:3">
      <c r="A1893" t="s">
        <v>166</v>
      </c>
      <c r="B1893">
        <v>3.9992255816331599</v>
      </c>
      <c r="C1893" s="1">
        <v>42369</v>
      </c>
    </row>
    <row r="1894" spans="1:3">
      <c r="A1894" t="s">
        <v>168</v>
      </c>
      <c r="B1894">
        <v>2.80403988255545</v>
      </c>
      <c r="C1894" s="1">
        <v>42369</v>
      </c>
    </row>
    <row r="1895" spans="1:3">
      <c r="A1895" t="s">
        <v>8</v>
      </c>
      <c r="B1895">
        <v>16.289308176098999</v>
      </c>
      <c r="C1895" s="1">
        <v>42400</v>
      </c>
    </row>
    <row r="1896" spans="1:3">
      <c r="A1896" t="s">
        <v>11</v>
      </c>
      <c r="B1896">
        <v>54.974842767290099</v>
      </c>
      <c r="C1896" s="1">
        <v>42400</v>
      </c>
    </row>
    <row r="1897" spans="1:3">
      <c r="A1897" t="s">
        <v>14</v>
      </c>
      <c r="B1897">
        <v>6.4150943396219997</v>
      </c>
      <c r="C1897" s="1">
        <v>42400</v>
      </c>
    </row>
    <row r="1898" spans="1:3">
      <c r="A1898" t="s">
        <v>17</v>
      </c>
      <c r="B1898">
        <v>6.4729559748421197</v>
      </c>
      <c r="C1898" s="1">
        <v>42400</v>
      </c>
    </row>
    <row r="1899" spans="1:3">
      <c r="A1899" t="s">
        <v>20</v>
      </c>
      <c r="B1899">
        <v>1.0597484276728499</v>
      </c>
      <c r="C1899" s="1">
        <v>42400</v>
      </c>
    </row>
    <row r="1900" spans="1:3">
      <c r="A1900" t="s">
        <v>24</v>
      </c>
      <c r="B1900">
        <v>2.6729559748425</v>
      </c>
      <c r="C1900" s="1">
        <v>42400</v>
      </c>
    </row>
    <row r="1901" spans="1:3">
      <c r="A1901" t="s">
        <v>27</v>
      </c>
      <c r="B1901">
        <v>3.9622641509430001</v>
      </c>
      <c r="C1901" s="1">
        <v>42400</v>
      </c>
    </row>
    <row r="1902" spans="1:3">
      <c r="A1902" t="s">
        <v>29</v>
      </c>
      <c r="B1902">
        <v>2.1968553459117302</v>
      </c>
      <c r="C1902" s="1">
        <v>42400</v>
      </c>
    </row>
    <row r="1903" spans="1:3">
      <c r="A1903" t="s">
        <v>32</v>
      </c>
      <c r="B1903">
        <v>9.1345911949676406</v>
      </c>
      <c r="C1903" s="1">
        <v>42400</v>
      </c>
    </row>
    <row r="1904" spans="1:3">
      <c r="A1904" t="s">
        <v>35</v>
      </c>
      <c r="B1904">
        <v>2.4522012578613901</v>
      </c>
      <c r="C1904" s="1">
        <v>42400</v>
      </c>
    </row>
    <row r="1905" spans="1:3">
      <c r="A1905" t="s">
        <v>37</v>
      </c>
      <c r="B1905">
        <v>0.77169811320746995</v>
      </c>
      <c r="C1905" s="1">
        <v>42400</v>
      </c>
    </row>
    <row r="1906" spans="1:3">
      <c r="A1906" t="s">
        <v>39</v>
      </c>
      <c r="B1906">
        <v>0.88238993710683</v>
      </c>
      <c r="C1906" s="1">
        <v>42400</v>
      </c>
    </row>
    <row r="1907" spans="1:3">
      <c r="A1907" t="s">
        <v>42</v>
      </c>
      <c r="B1907">
        <v>1.4402515723269</v>
      </c>
      <c r="C1907" s="1">
        <v>42400</v>
      </c>
    </row>
    <row r="1908" spans="1:3">
      <c r="A1908" t="s">
        <v>44</v>
      </c>
      <c r="B1908">
        <v>3.8176100628927001</v>
      </c>
      <c r="C1908" s="1">
        <v>42400</v>
      </c>
    </row>
    <row r="1909" spans="1:3">
      <c r="A1909" t="s">
        <v>47</v>
      </c>
      <c r="B1909">
        <v>8.0874213836469906</v>
      </c>
      <c r="C1909" s="1">
        <v>42400</v>
      </c>
    </row>
    <row r="1910" spans="1:3">
      <c r="A1910" t="s">
        <v>49</v>
      </c>
      <c r="B1910">
        <v>11.511320754715801</v>
      </c>
      <c r="C1910" s="1">
        <v>42400</v>
      </c>
    </row>
    <row r="1911" spans="1:3">
      <c r="A1911" t="s">
        <v>51</v>
      </c>
      <c r="B1911">
        <v>0.96855345911940005</v>
      </c>
      <c r="C1911" s="1">
        <v>42400</v>
      </c>
    </row>
    <row r="1912" spans="1:3">
      <c r="A1912" t="s">
        <v>53</v>
      </c>
      <c r="B1912">
        <v>0.96289308176091004</v>
      </c>
      <c r="C1912" s="1">
        <v>42400</v>
      </c>
    </row>
    <row r="1913" spans="1:3">
      <c r="A1913" t="s">
        <v>55</v>
      </c>
      <c r="B1913">
        <v>3.8408805031442701</v>
      </c>
      <c r="C1913" s="1">
        <v>42400</v>
      </c>
    </row>
    <row r="1914" spans="1:3">
      <c r="A1914" t="s">
        <v>57</v>
      </c>
      <c r="B1914">
        <v>4.0251572327040002</v>
      </c>
      <c r="C1914" s="1">
        <v>42400</v>
      </c>
    </row>
    <row r="1915" spans="1:3">
      <c r="A1915" t="s">
        <v>59</v>
      </c>
      <c r="B1915">
        <v>7.4088050314457998</v>
      </c>
      <c r="C1915" s="1">
        <v>42400</v>
      </c>
    </row>
    <row r="1916" spans="1:3">
      <c r="A1916" t="s">
        <v>61</v>
      </c>
      <c r="B1916">
        <v>30.251572327041</v>
      </c>
      <c r="C1916" s="1">
        <v>42400</v>
      </c>
    </row>
    <row r="1917" spans="1:3">
      <c r="A1917" t="s">
        <v>63</v>
      </c>
      <c r="B1917">
        <v>6.1383647798735996</v>
      </c>
      <c r="C1917" s="1">
        <v>42400</v>
      </c>
    </row>
    <row r="1918" spans="1:3">
      <c r="A1918" t="s">
        <v>65</v>
      </c>
      <c r="B1918">
        <v>0.5974842767295</v>
      </c>
      <c r="C1918" s="1">
        <v>42400</v>
      </c>
    </row>
    <row r="1919" spans="1:3">
      <c r="A1919" t="s">
        <v>67</v>
      </c>
      <c r="B1919">
        <v>8.0817610062885006</v>
      </c>
      <c r="C1919" s="1">
        <v>42400</v>
      </c>
    </row>
    <row r="1920" spans="1:3">
      <c r="A1920" t="s">
        <v>69</v>
      </c>
      <c r="B1920">
        <v>6.1660377358484402</v>
      </c>
      <c r="C1920" s="1">
        <v>42400</v>
      </c>
    </row>
    <row r="1921" spans="1:3">
      <c r="A1921" t="s">
        <v>71</v>
      </c>
      <c r="B1921">
        <v>0.87924528301878002</v>
      </c>
      <c r="C1921" s="1">
        <v>42400</v>
      </c>
    </row>
    <row r="1922" spans="1:3">
      <c r="A1922" t="s">
        <v>73</v>
      </c>
      <c r="B1922">
        <v>2.1132075471695999</v>
      </c>
      <c r="C1922" s="1">
        <v>42400</v>
      </c>
    </row>
    <row r="1923" spans="1:3">
      <c r="A1923" t="s">
        <v>75</v>
      </c>
      <c r="B1923">
        <v>0.27358490566034999</v>
      </c>
      <c r="C1923" s="1">
        <v>42400</v>
      </c>
    </row>
    <row r="1924" spans="1:3">
      <c r="A1924" t="s">
        <v>77</v>
      </c>
      <c r="B1924">
        <v>1.4333333333331899</v>
      </c>
      <c r="C1924" s="1">
        <v>42400</v>
      </c>
    </row>
    <row r="1925" spans="1:3">
      <c r="A1925" t="s">
        <v>79</v>
      </c>
      <c r="B1925">
        <v>7.3056603773577597</v>
      </c>
      <c r="C1925" s="1">
        <v>42400</v>
      </c>
    </row>
    <row r="1926" spans="1:3">
      <c r="A1926" t="s">
        <v>81</v>
      </c>
      <c r="B1926">
        <v>6.7031446540873798</v>
      </c>
      <c r="C1926" s="1">
        <v>42400</v>
      </c>
    </row>
    <row r="1927" spans="1:3">
      <c r="A1927" t="s">
        <v>83</v>
      </c>
      <c r="B1927">
        <v>0.36981132075467998</v>
      </c>
      <c r="C1927" s="1">
        <v>42400</v>
      </c>
    </row>
    <row r="1928" spans="1:3">
      <c r="A1928" t="s">
        <v>85</v>
      </c>
      <c r="B1928">
        <v>6.3597484276723204</v>
      </c>
      <c r="C1928" s="1">
        <v>42400</v>
      </c>
    </row>
    <row r="1929" spans="1:3">
      <c r="A1929" t="s">
        <v>87</v>
      </c>
      <c r="B1929">
        <v>16.918238993709</v>
      </c>
      <c r="C1929" s="1">
        <v>42400</v>
      </c>
    </row>
    <row r="1930" spans="1:3">
      <c r="A1930" t="s">
        <v>89</v>
      </c>
      <c r="B1930">
        <v>6.5176100628924303</v>
      </c>
      <c r="C1930" s="1">
        <v>42400</v>
      </c>
    </row>
    <row r="1931" spans="1:3">
      <c r="A1931" t="s">
        <v>91</v>
      </c>
      <c r="B1931">
        <v>11.2276729559737</v>
      </c>
      <c r="C1931" s="1">
        <v>42400</v>
      </c>
    </row>
    <row r="1932" spans="1:3">
      <c r="A1932" t="s">
        <v>93</v>
      </c>
      <c r="B1932">
        <v>17.232075471696302</v>
      </c>
      <c r="C1932" s="1">
        <v>42400</v>
      </c>
    </row>
    <row r="1933" spans="1:3">
      <c r="A1933" t="s">
        <v>95</v>
      </c>
      <c r="B1933">
        <v>0.62264150943389995</v>
      </c>
      <c r="C1933" s="1">
        <v>42400</v>
      </c>
    </row>
    <row r="1934" spans="1:3">
      <c r="A1934" t="s">
        <v>97</v>
      </c>
      <c r="B1934">
        <v>7.3584905660370001</v>
      </c>
      <c r="C1934" s="1">
        <v>42400</v>
      </c>
    </row>
    <row r="1935" spans="1:3">
      <c r="A1935" t="s">
        <v>99</v>
      </c>
      <c r="B1935">
        <v>7.0352201257854601</v>
      </c>
      <c r="C1935" s="1">
        <v>42400</v>
      </c>
    </row>
    <row r="1936" spans="1:3">
      <c r="A1936" t="s">
        <v>101</v>
      </c>
      <c r="B1936">
        <v>6.2893081760999996</v>
      </c>
      <c r="C1936" s="1">
        <v>42400</v>
      </c>
    </row>
    <row r="1937" spans="1:3">
      <c r="A1937" t="s">
        <v>103</v>
      </c>
      <c r="B1937">
        <v>0.76729559748419995</v>
      </c>
      <c r="C1937" s="1">
        <v>42400</v>
      </c>
    </row>
    <row r="1938" spans="1:3">
      <c r="A1938" t="s">
        <v>105</v>
      </c>
      <c r="B1938">
        <v>0.82264150943388004</v>
      </c>
      <c r="C1938" s="1">
        <v>42400</v>
      </c>
    </row>
    <row r="1939" spans="1:3">
      <c r="A1939" t="s">
        <v>107</v>
      </c>
      <c r="B1939">
        <v>4.9056603773580001</v>
      </c>
      <c r="C1939" s="1">
        <v>42400</v>
      </c>
    </row>
    <row r="1940" spans="1:3">
      <c r="A1940" t="s">
        <v>109</v>
      </c>
      <c r="B1940">
        <v>1.8301886792451001</v>
      </c>
      <c r="C1940" s="1">
        <v>42400</v>
      </c>
    </row>
    <row r="1941" spans="1:3">
      <c r="A1941" t="s">
        <v>111</v>
      </c>
      <c r="B1941">
        <v>5.2125786163516796</v>
      </c>
      <c r="C1941" s="1">
        <v>42400</v>
      </c>
    </row>
    <row r="1942" spans="1:3">
      <c r="A1942" t="s">
        <v>113</v>
      </c>
      <c r="B1942">
        <v>7.7635220125778401</v>
      </c>
      <c r="C1942" s="1">
        <v>42400</v>
      </c>
    </row>
    <row r="1943" spans="1:3">
      <c r="A1943" t="s">
        <v>115</v>
      </c>
      <c r="B1943">
        <v>5.8805031446534999</v>
      </c>
      <c r="C1943" s="1">
        <v>42400</v>
      </c>
    </row>
    <row r="1944" spans="1:3">
      <c r="A1944" t="s">
        <v>117</v>
      </c>
      <c r="B1944">
        <v>3.6792452830185001</v>
      </c>
      <c r="C1944" s="1">
        <v>42400</v>
      </c>
    </row>
    <row r="1945" spans="1:3">
      <c r="A1945" t="s">
        <v>119</v>
      </c>
      <c r="B1945">
        <v>2.18742138364758</v>
      </c>
      <c r="C1945" s="1">
        <v>42400</v>
      </c>
    </row>
    <row r="1946" spans="1:3">
      <c r="A1946" t="s">
        <v>121</v>
      </c>
      <c r="B1946">
        <v>15.774213836476401</v>
      </c>
      <c r="C1946" s="1">
        <v>42400</v>
      </c>
    </row>
    <row r="1947" spans="1:3">
      <c r="A1947" t="s">
        <v>123</v>
      </c>
      <c r="B1947">
        <v>3.6477987421379998</v>
      </c>
      <c r="C1947" s="1">
        <v>42400</v>
      </c>
    </row>
    <row r="1948" spans="1:3">
      <c r="A1948" t="s">
        <v>125</v>
      </c>
      <c r="B1948">
        <v>125.53459119495599</v>
      </c>
      <c r="C1948" s="1">
        <v>42400</v>
      </c>
    </row>
    <row r="1949" spans="1:3">
      <c r="A1949" t="s">
        <v>127</v>
      </c>
      <c r="B1949">
        <v>8.7735849056595008</v>
      </c>
      <c r="C1949" s="1">
        <v>42400</v>
      </c>
    </row>
    <row r="1950" spans="1:3">
      <c r="A1950" t="s">
        <v>129</v>
      </c>
      <c r="B1950">
        <v>2.81257861635192</v>
      </c>
      <c r="C1950" s="1">
        <v>42400</v>
      </c>
    </row>
    <row r="1951" spans="1:3">
      <c r="A1951" t="s">
        <v>131</v>
      </c>
      <c r="B1951">
        <v>2.6522012578613698</v>
      </c>
      <c r="C1951" s="1">
        <v>42400</v>
      </c>
    </row>
    <row r="1952" spans="1:3">
      <c r="A1952" t="s">
        <v>134</v>
      </c>
      <c r="B1952">
        <v>2.452830188679</v>
      </c>
      <c r="C1952" s="1">
        <v>42400</v>
      </c>
    </row>
    <row r="1953" spans="1:3">
      <c r="A1953" t="s">
        <v>136</v>
      </c>
      <c r="B1953">
        <v>9.1742138364770707</v>
      </c>
      <c r="C1953" s="1">
        <v>42400</v>
      </c>
    </row>
    <row r="1954" spans="1:3">
      <c r="A1954" t="s">
        <v>138</v>
      </c>
      <c r="B1954">
        <v>22.9396226415071</v>
      </c>
      <c r="C1954" s="1">
        <v>42400</v>
      </c>
    </row>
    <row r="1955" spans="1:3">
      <c r="A1955" t="s">
        <v>140</v>
      </c>
      <c r="B1955">
        <v>5.4654088050308998</v>
      </c>
      <c r="C1955" s="1">
        <v>42400</v>
      </c>
    </row>
    <row r="1956" spans="1:3">
      <c r="A1956" t="s">
        <v>142</v>
      </c>
      <c r="B1956">
        <v>6.4534591194962099</v>
      </c>
      <c r="C1956" s="1">
        <v>42400</v>
      </c>
    </row>
    <row r="1957" spans="1:3">
      <c r="A1957" t="s">
        <v>144</v>
      </c>
      <c r="B1957">
        <v>4.0289308176096599</v>
      </c>
      <c r="C1957" s="1">
        <v>42400</v>
      </c>
    </row>
    <row r="1958" spans="1:3">
      <c r="A1958" t="s">
        <v>146</v>
      </c>
      <c r="B1958">
        <v>4.5333333333328802</v>
      </c>
      <c r="C1958" s="1">
        <v>42400</v>
      </c>
    </row>
    <row r="1959" spans="1:3">
      <c r="A1959" t="s">
        <v>148</v>
      </c>
      <c r="B1959">
        <v>7.0572327044018097</v>
      </c>
      <c r="C1959" s="1">
        <v>42400</v>
      </c>
    </row>
    <row r="1960" spans="1:3">
      <c r="A1960" t="s">
        <v>150</v>
      </c>
      <c r="B1960">
        <v>5.0062893081755897</v>
      </c>
      <c r="C1960" s="1">
        <v>42400</v>
      </c>
    </row>
    <row r="1961" spans="1:3">
      <c r="A1961" t="s">
        <v>152</v>
      </c>
      <c r="B1961">
        <v>8.5050314465400305</v>
      </c>
      <c r="C1961" s="1">
        <v>42400</v>
      </c>
    </row>
    <row r="1962" spans="1:3">
      <c r="A1962" t="s">
        <v>154</v>
      </c>
      <c r="B1962">
        <v>18.299371069180498</v>
      </c>
      <c r="C1962" s="1">
        <v>42400</v>
      </c>
    </row>
    <row r="1963" spans="1:3">
      <c r="A1963" t="s">
        <v>156</v>
      </c>
      <c r="B1963">
        <v>26.289308176098</v>
      </c>
      <c r="C1963" s="1">
        <v>42400</v>
      </c>
    </row>
    <row r="1964" spans="1:3">
      <c r="A1964" t="s">
        <v>158</v>
      </c>
      <c r="B1964">
        <v>14.554088050313</v>
      </c>
      <c r="C1964" s="1">
        <v>42400</v>
      </c>
    </row>
    <row r="1965" spans="1:3">
      <c r="A1965" t="s">
        <v>160</v>
      </c>
      <c r="B1965">
        <v>11.7886792452818</v>
      </c>
      <c r="C1965" s="1">
        <v>42400</v>
      </c>
    </row>
    <row r="1966" spans="1:3">
      <c r="A1966" t="s">
        <v>162</v>
      </c>
      <c r="B1966">
        <v>2.0679245283016798</v>
      </c>
      <c r="C1966" s="1">
        <v>42400</v>
      </c>
    </row>
    <row r="1967" spans="1:3">
      <c r="A1967" t="s">
        <v>164</v>
      </c>
      <c r="B1967">
        <v>3.3522012578612999</v>
      </c>
      <c r="C1967" s="1">
        <v>42400</v>
      </c>
    </row>
    <row r="1968" spans="1:3">
      <c r="A1968" t="s">
        <v>166</v>
      </c>
      <c r="B1968">
        <v>4.4459119496850903</v>
      </c>
      <c r="C1968" s="1">
        <v>42400</v>
      </c>
    </row>
    <row r="1969" spans="1:3">
      <c r="A1969" t="s">
        <v>168</v>
      </c>
      <c r="B1969">
        <v>3.5899371069178798</v>
      </c>
      <c r="C1969" s="1">
        <v>42400</v>
      </c>
    </row>
    <row r="1970" spans="1:3">
      <c r="A1970" t="s">
        <v>8</v>
      </c>
      <c r="B1970">
        <v>17.848069991074599</v>
      </c>
      <c r="C1970" s="1">
        <v>42429</v>
      </c>
    </row>
    <row r="1971" spans="1:3">
      <c r="A1971" t="s">
        <v>11</v>
      </c>
      <c r="B1971">
        <v>54.545166583662898</v>
      </c>
      <c r="C1971" s="1">
        <v>42429</v>
      </c>
    </row>
    <row r="1972" spans="1:3">
      <c r="A1972" t="s">
        <v>14</v>
      </c>
      <c r="B1972">
        <v>6.5328256752196001</v>
      </c>
      <c r="C1972" s="1">
        <v>42429</v>
      </c>
    </row>
    <row r="1973" spans="1:3">
      <c r="A1973" t="s">
        <v>17</v>
      </c>
      <c r="B1973">
        <v>6.3510063415512397</v>
      </c>
      <c r="C1973" s="1">
        <v>42429</v>
      </c>
    </row>
    <row r="1974" spans="1:3">
      <c r="A1974" t="s">
        <v>20</v>
      </c>
      <c r="B1974">
        <v>1.0769786314849901</v>
      </c>
      <c r="C1974" s="1">
        <v>42429</v>
      </c>
    </row>
    <row r="1975" spans="1:3">
      <c r="A1975" t="s">
        <v>24</v>
      </c>
      <c r="B1975">
        <v>2.9775291576349998</v>
      </c>
      <c r="C1975" s="1">
        <v>42429</v>
      </c>
    </row>
    <row r="1976" spans="1:3">
      <c r="A1976" t="s">
        <v>27</v>
      </c>
      <c r="B1976">
        <v>6.5860410899517898</v>
      </c>
      <c r="C1976" s="1">
        <v>42429</v>
      </c>
    </row>
    <row r="1977" spans="1:3">
      <c r="A1977" t="s">
        <v>29</v>
      </c>
      <c r="B1977">
        <v>2.22174356506935</v>
      </c>
      <c r="C1977" s="1">
        <v>42429</v>
      </c>
    </row>
    <row r="1978" spans="1:3">
      <c r="A1978" t="s">
        <v>32</v>
      </c>
      <c r="B1978">
        <v>9.5223916528535497</v>
      </c>
      <c r="C1978" s="1">
        <v>42429</v>
      </c>
    </row>
    <row r="1979" spans="1:3">
      <c r="A1979" t="s">
        <v>35</v>
      </c>
      <c r="B1979">
        <v>2.4390398418924999</v>
      </c>
      <c r="C1979" s="1">
        <v>42429</v>
      </c>
    </row>
    <row r="1980" spans="1:3">
      <c r="A1980" t="s">
        <v>37</v>
      </c>
      <c r="B1980">
        <v>0.85461421992544995</v>
      </c>
      <c r="C1980" s="1">
        <v>42429</v>
      </c>
    </row>
    <row r="1981" spans="1:3">
      <c r="A1981" t="s">
        <v>39</v>
      </c>
      <c r="B1981">
        <v>1.0136269472799999</v>
      </c>
      <c r="C1981" s="1">
        <v>42429</v>
      </c>
    </row>
    <row r="1982" spans="1:3">
      <c r="A1982" t="s">
        <v>42</v>
      </c>
      <c r="B1982">
        <v>1.53437779144509</v>
      </c>
      <c r="C1982" s="1">
        <v>42429</v>
      </c>
    </row>
    <row r="1983" spans="1:3">
      <c r="A1983" t="s">
        <v>44</v>
      </c>
      <c r="B1983">
        <v>4.5739915996009897</v>
      </c>
      <c r="C1983" s="1">
        <v>42429</v>
      </c>
    </row>
    <row r="1984" spans="1:3">
      <c r="A1984" t="s">
        <v>47</v>
      </c>
      <c r="B1984">
        <v>8.9674308992177494</v>
      </c>
      <c r="C1984" s="1">
        <v>42429</v>
      </c>
    </row>
    <row r="1985" spans="1:3">
      <c r="A1985" t="s">
        <v>49</v>
      </c>
      <c r="B1985">
        <v>11.3184119000652</v>
      </c>
      <c r="C1985" s="1">
        <v>42429</v>
      </c>
    </row>
    <row r="1986" spans="1:3">
      <c r="A1986" t="s">
        <v>51</v>
      </c>
      <c r="B1986">
        <v>0.99905605991284896</v>
      </c>
      <c r="C1986" s="1">
        <v>42429</v>
      </c>
    </row>
    <row r="1987" spans="1:3">
      <c r="A1987" t="s">
        <v>53</v>
      </c>
      <c r="B1987">
        <v>0.95027526307499899</v>
      </c>
      <c r="C1987" s="1">
        <v>42429</v>
      </c>
    </row>
    <row r="1988" spans="1:3">
      <c r="A1988" t="s">
        <v>55</v>
      </c>
      <c r="B1988">
        <v>3.9987583070195898</v>
      </c>
      <c r="C1988" s="1">
        <v>42429</v>
      </c>
    </row>
    <row r="1989" spans="1:3">
      <c r="A1989" t="s">
        <v>57</v>
      </c>
      <c r="B1989">
        <v>3.4197239133858899</v>
      </c>
      <c r="C1989" s="1">
        <v>42429</v>
      </c>
    </row>
    <row r="1990" spans="1:3">
      <c r="A1990" t="s">
        <v>59</v>
      </c>
      <c r="B1990">
        <v>7.7922571572149897</v>
      </c>
      <c r="C1990" s="1">
        <v>42429</v>
      </c>
    </row>
    <row r="1991" spans="1:3">
      <c r="A1991" t="s">
        <v>61</v>
      </c>
      <c r="B1991">
        <v>30.028698313169901</v>
      </c>
      <c r="C1991" s="1">
        <v>42429</v>
      </c>
    </row>
    <row r="1992" spans="1:3">
      <c r="A1992" t="s">
        <v>63</v>
      </c>
      <c r="B1992">
        <v>6.3161629152384897</v>
      </c>
      <c r="C1992" s="1">
        <v>42429</v>
      </c>
    </row>
    <row r="1993" spans="1:3">
      <c r="A1993" t="s">
        <v>65</v>
      </c>
      <c r="B1993">
        <v>0.65188883046944901</v>
      </c>
      <c r="C1993" s="1">
        <v>42429</v>
      </c>
    </row>
    <row r="1994" spans="1:3">
      <c r="A1994" t="s">
        <v>67</v>
      </c>
      <c r="B1994">
        <v>7.2265266172643399</v>
      </c>
      <c r="C1994" s="1">
        <v>42429</v>
      </c>
    </row>
    <row r="1995" spans="1:3">
      <c r="A1995" t="s">
        <v>69</v>
      </c>
      <c r="B1995">
        <v>5.4355745047889901</v>
      </c>
      <c r="C1995" s="1">
        <v>42429</v>
      </c>
    </row>
    <row r="1996" spans="1:3">
      <c r="A1996" t="s">
        <v>71</v>
      </c>
      <c r="B1996">
        <v>0.85968235466184995</v>
      </c>
      <c r="C1996" s="1">
        <v>42429</v>
      </c>
    </row>
    <row r="1997" spans="1:3">
      <c r="A1997" t="s">
        <v>73</v>
      </c>
      <c r="B1997">
        <v>2.0481599503476402</v>
      </c>
      <c r="C1997" s="1">
        <v>42429</v>
      </c>
    </row>
    <row r="1998" spans="1:3">
      <c r="A1998" t="s">
        <v>75</v>
      </c>
      <c r="B1998">
        <v>0.29141774734299902</v>
      </c>
      <c r="C1998" s="1">
        <v>42429</v>
      </c>
    </row>
    <row r="1999" spans="1:3">
      <c r="A1999" t="s">
        <v>77</v>
      </c>
      <c r="B1999">
        <v>1.53247724091895</v>
      </c>
      <c r="C1999" s="1">
        <v>42429</v>
      </c>
    </row>
    <row r="2000" spans="1:3">
      <c r="A2000" t="s">
        <v>79</v>
      </c>
      <c r="B2000">
        <v>7.3234546940979897</v>
      </c>
      <c r="C2000" s="1">
        <v>42429</v>
      </c>
    </row>
    <row r="2001" spans="1:3">
      <c r="A2001" t="s">
        <v>81</v>
      </c>
      <c r="B2001">
        <v>7.7922571572149897</v>
      </c>
      <c r="C2001" s="1">
        <v>42429</v>
      </c>
    </row>
    <row r="2002" spans="1:3">
      <c r="A2002" t="s">
        <v>83</v>
      </c>
      <c r="B2002">
        <v>0.38327768944024998</v>
      </c>
      <c r="C2002" s="1">
        <v>42429</v>
      </c>
    </row>
    <row r="2003" spans="1:3">
      <c r="A2003" t="s">
        <v>85</v>
      </c>
      <c r="B2003">
        <v>6.5904757078461396</v>
      </c>
      <c r="C2003" s="1">
        <v>42429</v>
      </c>
    </row>
    <row r="2004" spans="1:3">
      <c r="A2004" t="s">
        <v>87</v>
      </c>
      <c r="B2004">
        <v>17.813860081603899</v>
      </c>
      <c r="C2004" s="1">
        <v>42429</v>
      </c>
    </row>
    <row r="2005" spans="1:3">
      <c r="A2005" t="s">
        <v>89</v>
      </c>
      <c r="B2005">
        <v>6.5252234731149903</v>
      </c>
      <c r="C2005" s="1">
        <v>42429</v>
      </c>
    </row>
    <row r="2006" spans="1:3">
      <c r="A2006" t="s">
        <v>91</v>
      </c>
      <c r="B2006">
        <v>12.6101527410052</v>
      </c>
      <c r="C2006" s="1">
        <v>42429</v>
      </c>
    </row>
    <row r="2007" spans="1:3">
      <c r="A2007" t="s">
        <v>93</v>
      </c>
      <c r="B2007">
        <v>18.181933366834901</v>
      </c>
      <c r="C2007" s="1">
        <v>42429</v>
      </c>
    </row>
    <row r="2008" spans="1:3">
      <c r="A2008" t="s">
        <v>95</v>
      </c>
      <c r="B2008">
        <v>0.58030142731779999</v>
      </c>
      <c r="C2008" s="1">
        <v>42429</v>
      </c>
    </row>
    <row r="2009" spans="1:3">
      <c r="A2009" t="s">
        <v>97</v>
      </c>
      <c r="B2009">
        <v>7.6085372730204899</v>
      </c>
      <c r="C2009" s="1">
        <v>42429</v>
      </c>
    </row>
    <row r="2010" spans="1:3">
      <c r="A2010" t="s">
        <v>99</v>
      </c>
      <c r="B2010">
        <v>7.2854436835749903</v>
      </c>
      <c r="C2010" s="1">
        <v>42429</v>
      </c>
    </row>
    <row r="2011" spans="1:3">
      <c r="A2011" t="s">
        <v>101</v>
      </c>
      <c r="B2011">
        <v>6.0475517742092899</v>
      </c>
      <c r="C2011" s="1">
        <v>42429</v>
      </c>
    </row>
    <row r="2012" spans="1:3">
      <c r="A2012" t="s">
        <v>103</v>
      </c>
      <c r="B2012">
        <v>0.86158290518799896</v>
      </c>
      <c r="C2012" s="1">
        <v>42429</v>
      </c>
    </row>
    <row r="2013" spans="1:3">
      <c r="A2013" t="s">
        <v>105</v>
      </c>
      <c r="B2013">
        <v>0.72220919993699995</v>
      </c>
      <c r="C2013" s="1">
        <v>42429</v>
      </c>
    </row>
    <row r="2014" spans="1:3">
      <c r="A2014" t="s">
        <v>107</v>
      </c>
      <c r="B2014">
        <v>4.4042090859315897</v>
      </c>
      <c r="C2014" s="1">
        <v>42429</v>
      </c>
    </row>
    <row r="2015" spans="1:3">
      <c r="A2015" t="s">
        <v>109</v>
      </c>
      <c r="B2015">
        <v>3.2398051302436999</v>
      </c>
      <c r="C2015" s="1">
        <v>42429</v>
      </c>
    </row>
    <row r="2016" spans="1:3">
      <c r="A2016" t="s">
        <v>111</v>
      </c>
      <c r="B2016">
        <v>5.5115965258349897</v>
      </c>
      <c r="C2016" s="1">
        <v>42429</v>
      </c>
    </row>
    <row r="2017" spans="1:3">
      <c r="A2017" t="s">
        <v>113</v>
      </c>
      <c r="B2017">
        <v>7.3975761646178402</v>
      </c>
      <c r="C2017" s="1">
        <v>42429</v>
      </c>
    </row>
    <row r="2018" spans="1:3">
      <c r="A2018" t="s">
        <v>115</v>
      </c>
      <c r="B2018">
        <v>5.1181825669219503</v>
      </c>
      <c r="C2018" s="1">
        <v>42429</v>
      </c>
    </row>
    <row r="2019" spans="1:3">
      <c r="A2019" t="s">
        <v>117</v>
      </c>
      <c r="B2019">
        <v>3.5692338881097001</v>
      </c>
      <c r="C2019" s="1">
        <v>42429</v>
      </c>
    </row>
    <row r="2020" spans="1:3">
      <c r="A2020" t="s">
        <v>119</v>
      </c>
      <c r="B2020">
        <v>4.5860284195999403</v>
      </c>
      <c r="C2020" s="1">
        <v>42429</v>
      </c>
    </row>
    <row r="2021" spans="1:3">
      <c r="A2021" t="s">
        <v>121</v>
      </c>
      <c r="B2021">
        <v>15.273457544983399</v>
      </c>
      <c r="C2021" s="1">
        <v>42429</v>
      </c>
    </row>
    <row r="2022" spans="1:3">
      <c r="A2022" t="s">
        <v>123</v>
      </c>
      <c r="B2022">
        <v>3.3893151049674999</v>
      </c>
      <c r="C2022" s="1">
        <v>42429</v>
      </c>
    </row>
    <row r="2023" spans="1:3">
      <c r="A2023" t="s">
        <v>125</v>
      </c>
      <c r="B2023">
        <v>119.40525438958301</v>
      </c>
      <c r="C2023" s="1">
        <v>42429</v>
      </c>
    </row>
    <row r="2024" spans="1:3">
      <c r="A2024" t="s">
        <v>127</v>
      </c>
      <c r="B2024">
        <v>8.4764553466290007</v>
      </c>
      <c r="C2024" s="1">
        <v>42429</v>
      </c>
    </row>
    <row r="2025" spans="1:3">
      <c r="A2025" t="s">
        <v>129</v>
      </c>
      <c r="B2025">
        <v>2.8083801608076402</v>
      </c>
      <c r="C2025" s="1">
        <v>42429</v>
      </c>
    </row>
    <row r="2026" spans="1:3">
      <c r="A2026" t="s">
        <v>131</v>
      </c>
      <c r="B2026">
        <v>2.9445862818483901</v>
      </c>
      <c r="C2026" s="1">
        <v>42429</v>
      </c>
    </row>
    <row r="2027" spans="1:3">
      <c r="A2027" t="s">
        <v>134</v>
      </c>
      <c r="B2027">
        <v>2.6442992987167</v>
      </c>
      <c r="C2027" s="1">
        <v>42429</v>
      </c>
    </row>
    <row r="2028" spans="1:3">
      <c r="A2028" t="s">
        <v>136</v>
      </c>
      <c r="B2028">
        <v>9.7713637717791997</v>
      </c>
      <c r="C2028" s="1">
        <v>42429</v>
      </c>
    </row>
    <row r="2029" spans="1:3">
      <c r="A2029" t="s">
        <v>138</v>
      </c>
      <c r="B2029">
        <v>22.634923249604402</v>
      </c>
      <c r="C2029" s="1">
        <v>42429</v>
      </c>
    </row>
    <row r="2030" spans="1:3">
      <c r="A2030" t="s">
        <v>140</v>
      </c>
      <c r="B2030">
        <v>5.8600307889624998</v>
      </c>
      <c r="C2030" s="1">
        <v>42429</v>
      </c>
    </row>
    <row r="2031" spans="1:3">
      <c r="A2031" t="s">
        <v>142</v>
      </c>
      <c r="B2031">
        <v>6.5271240236411403</v>
      </c>
      <c r="C2031" s="1">
        <v>42429</v>
      </c>
    </row>
    <row r="2032" spans="1:3">
      <c r="A2032" t="s">
        <v>144</v>
      </c>
      <c r="B2032">
        <v>3.98482093649449</v>
      </c>
      <c r="C2032" s="1">
        <v>42429</v>
      </c>
    </row>
    <row r="2033" spans="1:3">
      <c r="A2033" t="s">
        <v>146</v>
      </c>
      <c r="B2033">
        <v>4.0937858333271002</v>
      </c>
      <c r="C2033" s="1">
        <v>42429</v>
      </c>
    </row>
    <row r="2034" spans="1:3">
      <c r="A2034" t="s">
        <v>148</v>
      </c>
      <c r="B2034">
        <v>6.9173703983439401</v>
      </c>
      <c r="C2034" s="1">
        <v>42429</v>
      </c>
    </row>
    <row r="2035" spans="1:3">
      <c r="A2035" t="s">
        <v>150</v>
      </c>
      <c r="B2035">
        <v>4.8514719764188996</v>
      </c>
      <c r="C2035" s="1">
        <v>42429</v>
      </c>
    </row>
    <row r="2036" spans="1:3">
      <c r="A2036" t="s">
        <v>152</v>
      </c>
      <c r="B2036">
        <v>12.9402150157132</v>
      </c>
      <c r="C2036" s="1">
        <v>42429</v>
      </c>
    </row>
    <row r="2037" spans="1:3">
      <c r="A2037" t="s">
        <v>154</v>
      </c>
      <c r="B2037">
        <v>18.5202313604896</v>
      </c>
      <c r="C2037" s="1">
        <v>42429</v>
      </c>
    </row>
    <row r="2038" spans="1:3">
      <c r="A2038" t="s">
        <v>156</v>
      </c>
      <c r="B2038">
        <v>27.060038391323602</v>
      </c>
      <c r="C2038" s="1">
        <v>42429</v>
      </c>
    </row>
    <row r="2039" spans="1:3">
      <c r="A2039" t="s">
        <v>158</v>
      </c>
      <c r="B2039">
        <v>20.740707891874901</v>
      </c>
      <c r="C2039" s="1">
        <v>42429</v>
      </c>
    </row>
    <row r="2040" spans="1:3">
      <c r="A2040" t="s">
        <v>160</v>
      </c>
      <c r="B2040">
        <v>11.5395092779407</v>
      </c>
      <c r="C2040" s="1">
        <v>42429</v>
      </c>
    </row>
    <row r="2041" spans="1:3">
      <c r="A2041" t="s">
        <v>162</v>
      </c>
      <c r="B2041">
        <v>2.1197473534992999</v>
      </c>
      <c r="C2041" s="1">
        <v>42429</v>
      </c>
    </row>
    <row r="2042" spans="1:3">
      <c r="A2042" t="s">
        <v>164</v>
      </c>
      <c r="B2042">
        <v>4.1527028996377497</v>
      </c>
      <c r="C2042" s="1">
        <v>42429</v>
      </c>
    </row>
    <row r="2043" spans="1:3">
      <c r="A2043" t="s">
        <v>166</v>
      </c>
      <c r="B2043">
        <v>4.1248281585875404</v>
      </c>
      <c r="C2043" s="1">
        <v>42429</v>
      </c>
    </row>
    <row r="2044" spans="1:3">
      <c r="A2044" t="s">
        <v>168</v>
      </c>
      <c r="B2044">
        <v>5.5242668626759999</v>
      </c>
      <c r="C2044" s="1">
        <v>42429</v>
      </c>
    </row>
    <row r="2045" spans="1:3">
      <c r="A2045" t="s">
        <v>8</v>
      </c>
      <c r="B2045">
        <v>19.226951319053899</v>
      </c>
      <c r="C2045" s="1">
        <v>42460</v>
      </c>
    </row>
    <row r="2046" spans="1:3">
      <c r="A2046" t="s">
        <v>11</v>
      </c>
      <c r="B2046">
        <v>58.511014414057797</v>
      </c>
      <c r="C2046" s="1">
        <v>42460</v>
      </c>
    </row>
    <row r="2047" spans="1:3">
      <c r="A2047" t="s">
        <v>14</v>
      </c>
      <c r="B2047">
        <v>7.3973347838079997</v>
      </c>
      <c r="C2047" s="1">
        <v>42460</v>
      </c>
    </row>
    <row r="2048" spans="1:3">
      <c r="A2048" t="s">
        <v>17</v>
      </c>
      <c r="B2048">
        <v>6.6283655153809002</v>
      </c>
      <c r="C2048" s="1">
        <v>42460</v>
      </c>
    </row>
    <row r="2049" spans="1:3">
      <c r="A2049" t="s">
        <v>20</v>
      </c>
      <c r="B2049">
        <v>1.325809083495</v>
      </c>
      <c r="C2049" s="1">
        <v>42460</v>
      </c>
    </row>
    <row r="2050" spans="1:3">
      <c r="A2050" t="s">
        <v>24</v>
      </c>
      <c r="B2050">
        <v>2.9541745988644998</v>
      </c>
      <c r="C2050" s="1">
        <v>42460</v>
      </c>
    </row>
    <row r="2051" spans="1:3">
      <c r="A2051" t="s">
        <v>27</v>
      </c>
      <c r="B2051">
        <v>7.8542289910432004</v>
      </c>
      <c r="C2051" s="1">
        <v>42460</v>
      </c>
    </row>
    <row r="2052" spans="1:3">
      <c r="A2052" t="s">
        <v>29</v>
      </c>
      <c r="B2052">
        <v>2.4258906717488</v>
      </c>
      <c r="C2052" s="1">
        <v>42460</v>
      </c>
    </row>
    <row r="2053" spans="1:3">
      <c r="A2053" t="s">
        <v>32</v>
      </c>
      <c r="B2053">
        <v>10.9144683165873</v>
      </c>
      <c r="C2053" s="1">
        <v>42460</v>
      </c>
    </row>
    <row r="2054" spans="1:3">
      <c r="A2054" t="s">
        <v>35</v>
      </c>
      <c r="B2054">
        <v>2.9908893119458999</v>
      </c>
      <c r="C2054" s="1">
        <v>42460</v>
      </c>
    </row>
    <row r="2055" spans="1:3">
      <c r="A2055" t="s">
        <v>37</v>
      </c>
      <c r="B2055">
        <v>1.0368506935024999</v>
      </c>
      <c r="C2055" s="1">
        <v>42460</v>
      </c>
    </row>
    <row r="2056" spans="1:3">
      <c r="A2056" t="s">
        <v>39</v>
      </c>
      <c r="B2056">
        <v>1.2469404405794</v>
      </c>
      <c r="C2056" s="1">
        <v>42460</v>
      </c>
    </row>
    <row r="2057" spans="1:3">
      <c r="A2057" t="s">
        <v>42</v>
      </c>
      <c r="B2057">
        <v>1.56377481643</v>
      </c>
      <c r="C2057" s="1">
        <v>42460</v>
      </c>
    </row>
    <row r="2058" spans="1:3">
      <c r="A2058" t="s">
        <v>44</v>
      </c>
      <c r="B2058">
        <v>4.8952950775200001</v>
      </c>
      <c r="C2058" s="1">
        <v>42460</v>
      </c>
    </row>
    <row r="2059" spans="1:3">
      <c r="A2059" t="s">
        <v>47</v>
      </c>
      <c r="B2059">
        <v>10.130541202090001</v>
      </c>
      <c r="C2059" s="1">
        <v>42460</v>
      </c>
    </row>
    <row r="2060" spans="1:3">
      <c r="A2060" t="s">
        <v>49</v>
      </c>
      <c r="B2060">
        <v>13.53005167259</v>
      </c>
      <c r="C2060" s="1">
        <v>42460</v>
      </c>
    </row>
    <row r="2061" spans="1:3">
      <c r="A2061" t="s">
        <v>51</v>
      </c>
      <c r="B2061">
        <v>1.15583355997</v>
      </c>
      <c r="C2061" s="1">
        <v>42460</v>
      </c>
    </row>
    <row r="2062" spans="1:3">
      <c r="A2062" t="s">
        <v>53</v>
      </c>
      <c r="B2062">
        <v>1.0300516725615001</v>
      </c>
      <c r="C2062" s="1">
        <v>42460</v>
      </c>
    </row>
    <row r="2063" spans="1:3">
      <c r="A2063" t="s">
        <v>55</v>
      </c>
      <c r="B2063">
        <v>4.9904813706939999</v>
      </c>
      <c r="C2063" s="1">
        <v>42460</v>
      </c>
    </row>
    <row r="2064" spans="1:3">
      <c r="A2064" t="s">
        <v>57</v>
      </c>
      <c r="B2064">
        <v>3.9141963557336998</v>
      </c>
      <c r="C2064" s="1">
        <v>42460</v>
      </c>
    </row>
    <row r="2065" spans="1:3">
      <c r="A2065" t="s">
        <v>59</v>
      </c>
      <c r="B2065">
        <v>9.2153929834313999</v>
      </c>
      <c r="C2065" s="1">
        <v>42460</v>
      </c>
    </row>
    <row r="2066" spans="1:3">
      <c r="A2066" t="s">
        <v>61</v>
      </c>
      <c r="B2066">
        <v>38.960429698212302</v>
      </c>
      <c r="C2066" s="1">
        <v>42460</v>
      </c>
    </row>
    <row r="2067" spans="1:3">
      <c r="A2067" t="s">
        <v>63</v>
      </c>
      <c r="B2067">
        <v>7.5469132445099998</v>
      </c>
      <c r="C2067" s="1">
        <v>42460</v>
      </c>
    </row>
    <row r="2068" spans="1:3">
      <c r="A2068" t="s">
        <v>65</v>
      </c>
      <c r="B2068">
        <v>0.81452270873179999</v>
      </c>
      <c r="C2068" s="1">
        <v>42460</v>
      </c>
    </row>
    <row r="2069" spans="1:3">
      <c r="A2069" t="s">
        <v>67</v>
      </c>
      <c r="B2069">
        <v>8.260810443315</v>
      </c>
      <c r="C2069" s="1">
        <v>42460</v>
      </c>
    </row>
    <row r="2070" spans="1:3">
      <c r="A2070" t="s">
        <v>69</v>
      </c>
      <c r="B2070">
        <v>6.6779983682501998</v>
      </c>
      <c r="C2070" s="1">
        <v>42460</v>
      </c>
    </row>
    <row r="2071" spans="1:3">
      <c r="A2071" t="s">
        <v>71</v>
      </c>
      <c r="B2071">
        <v>0.93486537938750003</v>
      </c>
      <c r="C2071" s="1">
        <v>42460</v>
      </c>
    </row>
    <row r="2072" spans="1:3">
      <c r="A2072" t="s">
        <v>73</v>
      </c>
      <c r="B2072">
        <v>2.4544465597010001</v>
      </c>
      <c r="C2072" s="1">
        <v>42460</v>
      </c>
    </row>
    <row r="2073" spans="1:3">
      <c r="A2073" t="s">
        <v>75</v>
      </c>
      <c r="B2073">
        <v>0.32839271145030002</v>
      </c>
      <c r="C2073" s="1">
        <v>42460</v>
      </c>
    </row>
    <row r="2074" spans="1:3">
      <c r="A2074" t="s">
        <v>77</v>
      </c>
      <c r="B2074">
        <v>1.6705194452037</v>
      </c>
      <c r="C2074" s="1">
        <v>42460</v>
      </c>
    </row>
    <row r="2075" spans="1:3">
      <c r="A2075" t="s">
        <v>79</v>
      </c>
      <c r="B2075">
        <v>7.9480554800289998</v>
      </c>
      <c r="C2075" s="1">
        <v>42460</v>
      </c>
    </row>
    <row r="2076" spans="1:3">
      <c r="A2076" t="s">
        <v>81</v>
      </c>
      <c r="B2076">
        <v>8.0908349197899998</v>
      </c>
      <c r="C2076" s="1">
        <v>42460</v>
      </c>
    </row>
    <row r="2077" spans="1:3">
      <c r="A2077" t="s">
        <v>83</v>
      </c>
      <c r="B2077">
        <v>0.43853685069449999</v>
      </c>
      <c r="C2077" s="1">
        <v>42460</v>
      </c>
    </row>
    <row r="2078" spans="1:3">
      <c r="A2078" t="s">
        <v>85</v>
      </c>
      <c r="B2078">
        <v>8.0004079412747</v>
      </c>
      <c r="C2078" s="1">
        <v>42460</v>
      </c>
    </row>
    <row r="2079" spans="1:3">
      <c r="A2079" t="s">
        <v>87</v>
      </c>
      <c r="B2079">
        <v>21.769105248893801</v>
      </c>
      <c r="C2079" s="1">
        <v>42460</v>
      </c>
    </row>
    <row r="2080" spans="1:3">
      <c r="A2080" t="s">
        <v>89</v>
      </c>
      <c r="B2080">
        <v>7.6162632581081997</v>
      </c>
      <c r="C2080" s="1">
        <v>42460</v>
      </c>
    </row>
    <row r="2081" spans="1:3">
      <c r="A2081" t="s">
        <v>91</v>
      </c>
      <c r="B2081">
        <v>15.961381561091599</v>
      </c>
      <c r="C2081" s="1">
        <v>42460</v>
      </c>
    </row>
    <row r="2082" spans="1:3">
      <c r="A2082" t="s">
        <v>93</v>
      </c>
      <c r="B2082">
        <v>22.028827848839999</v>
      </c>
      <c r="C2082" s="1">
        <v>42460</v>
      </c>
    </row>
    <row r="2083" spans="1:3">
      <c r="A2083" t="s">
        <v>95</v>
      </c>
      <c r="B2083">
        <v>0.78256731030909998</v>
      </c>
      <c r="C2083" s="1">
        <v>42460</v>
      </c>
    </row>
    <row r="2084" spans="1:3">
      <c r="A2084" t="s">
        <v>97</v>
      </c>
      <c r="B2084">
        <v>9.2806635844649996</v>
      </c>
      <c r="C2084" s="1">
        <v>42460</v>
      </c>
    </row>
    <row r="2085" spans="1:3">
      <c r="A2085" t="s">
        <v>99</v>
      </c>
      <c r="B2085">
        <v>8.4987761762500007</v>
      </c>
      <c r="C2085" s="1">
        <v>42460</v>
      </c>
    </row>
    <row r="2086" spans="1:3">
      <c r="A2086" t="s">
        <v>101</v>
      </c>
      <c r="B2086">
        <v>7.3429426162800002</v>
      </c>
      <c r="C2086" s="1">
        <v>42460</v>
      </c>
    </row>
    <row r="2087" spans="1:3">
      <c r="A2087" t="s">
        <v>103</v>
      </c>
      <c r="B2087">
        <v>0.95186293174000003</v>
      </c>
      <c r="C2087" s="1">
        <v>42460</v>
      </c>
    </row>
    <row r="2088" spans="1:3">
      <c r="A2088" t="s">
        <v>105</v>
      </c>
      <c r="B2088">
        <v>0.829480554802</v>
      </c>
      <c r="C2088" s="1">
        <v>42460</v>
      </c>
    </row>
    <row r="2089" spans="1:3">
      <c r="A2089" t="s">
        <v>107</v>
      </c>
      <c r="B2089">
        <v>4.6709273864669996</v>
      </c>
      <c r="C2089" s="1">
        <v>42460</v>
      </c>
    </row>
    <row r="2090" spans="1:3">
      <c r="A2090" t="s">
        <v>109</v>
      </c>
      <c r="B2090">
        <v>3.6055208050123002</v>
      </c>
      <c r="C2090" s="1">
        <v>42460</v>
      </c>
    </row>
    <row r="2091" spans="1:3">
      <c r="A2091" t="s">
        <v>111</v>
      </c>
      <c r="B2091">
        <v>6.1871090563099997</v>
      </c>
      <c r="C2091" s="1">
        <v>42460</v>
      </c>
    </row>
    <row r="2092" spans="1:3">
      <c r="A2092" t="s">
        <v>113</v>
      </c>
      <c r="B2092">
        <v>9.6165352189503999</v>
      </c>
      <c r="C2092" s="1">
        <v>42460</v>
      </c>
    </row>
    <row r="2093" spans="1:3">
      <c r="A2093" t="s">
        <v>115</v>
      </c>
      <c r="B2093">
        <v>6.0966820777946999</v>
      </c>
      <c r="C2093" s="1">
        <v>42460</v>
      </c>
    </row>
    <row r="2094" spans="1:3">
      <c r="A2094" t="s">
        <v>117</v>
      </c>
      <c r="B2094">
        <v>4.7756323089584001</v>
      </c>
      <c r="C2094" s="1">
        <v>42460</v>
      </c>
    </row>
    <row r="2095" spans="1:3">
      <c r="A2095" t="s">
        <v>119</v>
      </c>
      <c r="B2095">
        <v>5.4079412564713998</v>
      </c>
      <c r="C2095" s="1">
        <v>42460</v>
      </c>
    </row>
    <row r="2096" spans="1:3">
      <c r="A2096" t="s">
        <v>121</v>
      </c>
      <c r="B2096">
        <v>17.009790590193798</v>
      </c>
      <c r="C2096" s="1">
        <v>42460</v>
      </c>
    </row>
    <row r="2097" spans="1:3">
      <c r="A2097" t="s">
        <v>123</v>
      </c>
      <c r="B2097">
        <v>4.6566494424908997</v>
      </c>
      <c r="C2097" s="1">
        <v>42460</v>
      </c>
    </row>
    <row r="2098" spans="1:3">
      <c r="A2098" t="s">
        <v>125</v>
      </c>
      <c r="B2098">
        <v>140.12782159400999</v>
      </c>
      <c r="C2098" s="1">
        <v>42460</v>
      </c>
    </row>
    <row r="2099" spans="1:3">
      <c r="A2099" t="s">
        <v>127</v>
      </c>
      <c r="B2099">
        <v>9.1922763122319999</v>
      </c>
      <c r="C2099" s="1">
        <v>42460</v>
      </c>
    </row>
    <row r="2100" spans="1:3">
      <c r="A2100" t="s">
        <v>129</v>
      </c>
      <c r="B2100">
        <v>3.28868642916169</v>
      </c>
      <c r="C2100" s="1">
        <v>42460</v>
      </c>
    </row>
    <row r="2101" spans="1:3">
      <c r="A2101" t="s">
        <v>131</v>
      </c>
      <c r="B2101">
        <v>3.1255099265777</v>
      </c>
      <c r="C2101" s="1">
        <v>42460</v>
      </c>
    </row>
    <row r="2102" spans="1:3">
      <c r="A2102" t="s">
        <v>134</v>
      </c>
      <c r="B2102">
        <v>2.9670927386524002</v>
      </c>
      <c r="C2102" s="1">
        <v>42460</v>
      </c>
    </row>
    <row r="2103" spans="1:3">
      <c r="A2103" t="s">
        <v>136</v>
      </c>
      <c r="B2103">
        <v>11.804460157764201</v>
      </c>
      <c r="C2103" s="1">
        <v>42460</v>
      </c>
    </row>
    <row r="2104" spans="1:3">
      <c r="A2104" t="s">
        <v>138</v>
      </c>
      <c r="B2104">
        <v>25.360348109930001</v>
      </c>
      <c r="C2104" s="1">
        <v>42460</v>
      </c>
    </row>
    <row r="2105" spans="1:3">
      <c r="A2105" t="s">
        <v>140</v>
      </c>
      <c r="B2105">
        <v>6.6072885504638004</v>
      </c>
      <c r="C2105" s="1">
        <v>42460</v>
      </c>
    </row>
    <row r="2106" spans="1:3">
      <c r="A2106" t="s">
        <v>142</v>
      </c>
      <c r="B2106">
        <v>7.4728039162530999</v>
      </c>
      <c r="C2106" s="1">
        <v>42460</v>
      </c>
    </row>
    <row r="2107" spans="1:3">
      <c r="A2107" t="s">
        <v>144</v>
      </c>
      <c r="B2107">
        <v>4.7103617079248004</v>
      </c>
      <c r="C2107" s="1">
        <v>42460</v>
      </c>
    </row>
    <row r="2108" spans="1:3">
      <c r="A2108" t="s">
        <v>146</v>
      </c>
      <c r="B2108">
        <v>4.4445199891316998</v>
      </c>
      <c r="C2108" s="1">
        <v>42460</v>
      </c>
    </row>
    <row r="2109" spans="1:3">
      <c r="A2109" t="s">
        <v>148</v>
      </c>
      <c r="B2109">
        <v>9.0073429426368001</v>
      </c>
      <c r="C2109" s="1">
        <v>42460</v>
      </c>
    </row>
    <row r="2110" spans="1:3">
      <c r="A2110" t="s">
        <v>150</v>
      </c>
      <c r="B2110">
        <v>5.9069893935408002</v>
      </c>
      <c r="C2110" s="1">
        <v>42460</v>
      </c>
    </row>
    <row r="2111" spans="1:3">
      <c r="A2111" t="s">
        <v>152</v>
      </c>
      <c r="B2111">
        <v>13.903997824345</v>
      </c>
      <c r="C2111" s="1">
        <v>42460</v>
      </c>
    </row>
    <row r="2112" spans="1:3">
      <c r="A2112" t="s">
        <v>154</v>
      </c>
      <c r="B2112">
        <v>22.1124558064143</v>
      </c>
      <c r="C2112" s="1">
        <v>42460</v>
      </c>
    </row>
    <row r="2113" spans="1:3">
      <c r="A2113" t="s">
        <v>156</v>
      </c>
      <c r="B2113">
        <v>30.020397062891401</v>
      </c>
      <c r="C2113" s="1">
        <v>42460</v>
      </c>
    </row>
    <row r="2114" spans="1:3">
      <c r="A2114" t="s">
        <v>158</v>
      </c>
      <c r="B2114">
        <v>24.604296981290801</v>
      </c>
      <c r="C2114" s="1">
        <v>42460</v>
      </c>
    </row>
    <row r="2115" spans="1:3">
      <c r="A2115" t="s">
        <v>160</v>
      </c>
      <c r="B2115">
        <v>13.207098177892499</v>
      </c>
      <c r="C2115" s="1">
        <v>42460</v>
      </c>
    </row>
    <row r="2116" spans="1:3">
      <c r="A2116" t="s">
        <v>162</v>
      </c>
      <c r="B2116">
        <v>3.1955398422700001</v>
      </c>
      <c r="C2116" s="1">
        <v>42460</v>
      </c>
    </row>
    <row r="2117" spans="1:3">
      <c r="A2117" t="s">
        <v>164</v>
      </c>
      <c r="B2117">
        <v>3.9740277400144999</v>
      </c>
      <c r="C2117" s="1">
        <v>42460</v>
      </c>
    </row>
    <row r="2118" spans="1:3">
      <c r="A2118" t="s">
        <v>166</v>
      </c>
      <c r="B2118">
        <v>5.140059831396</v>
      </c>
      <c r="C2118" s="1">
        <v>42460</v>
      </c>
    </row>
    <row r="2119" spans="1:3">
      <c r="A2119" t="s">
        <v>168</v>
      </c>
      <c r="B2119">
        <v>6.4611096002322999</v>
      </c>
      <c r="C2119" s="1">
        <v>42460</v>
      </c>
    </row>
    <row r="2120" spans="1:3">
      <c r="A2120" t="s">
        <v>8</v>
      </c>
      <c r="B2120">
        <v>19.270489924808199</v>
      </c>
      <c r="C2120" s="1">
        <v>42490</v>
      </c>
    </row>
    <row r="2121" spans="1:3">
      <c r="A2121" t="s">
        <v>11</v>
      </c>
      <c r="B2121">
        <v>61.461488285450699</v>
      </c>
      <c r="C2121" s="1">
        <v>42490</v>
      </c>
    </row>
    <row r="2122" spans="1:3">
      <c r="A2122" t="s">
        <v>14</v>
      </c>
      <c r="B2122">
        <v>7.6963489237514997</v>
      </c>
      <c r="C2122" s="1">
        <v>42490</v>
      </c>
    </row>
    <row r="2123" spans="1:3">
      <c r="A2123" t="s">
        <v>17</v>
      </c>
      <c r="B2123">
        <v>6.673836010114</v>
      </c>
      <c r="C2123" s="1">
        <v>42490</v>
      </c>
    </row>
    <row r="2124" spans="1:3">
      <c r="A2124" t="s">
        <v>20</v>
      </c>
      <c r="B2124">
        <v>1.46889268903924</v>
      </c>
      <c r="C2124" s="1">
        <v>42490</v>
      </c>
    </row>
    <row r="2125" spans="1:3">
      <c r="A2125" t="s">
        <v>24</v>
      </c>
      <c r="B2125">
        <v>2.7868765756520002</v>
      </c>
      <c r="C2125" s="1">
        <v>42490</v>
      </c>
    </row>
    <row r="2126" spans="1:3">
      <c r="A2126" t="s">
        <v>27</v>
      </c>
      <c r="B2126">
        <v>11.177123918037401</v>
      </c>
      <c r="C2126" s="1">
        <v>42490</v>
      </c>
    </row>
    <row r="2127" spans="1:3">
      <c r="A2127" t="s">
        <v>29</v>
      </c>
      <c r="B2127">
        <v>2.6366729545452499</v>
      </c>
      <c r="C2127" s="1">
        <v>42490</v>
      </c>
    </row>
    <row r="2128" spans="1:3">
      <c r="A2128" t="s">
        <v>32</v>
      </c>
      <c r="B2128">
        <v>11.6707508418625</v>
      </c>
      <c r="C2128" s="1">
        <v>42490</v>
      </c>
    </row>
    <row r="2129" spans="1:3">
      <c r="A2129" t="s">
        <v>35</v>
      </c>
      <c r="B2129">
        <v>2.9617615429499899</v>
      </c>
      <c r="C2129" s="1">
        <v>42490</v>
      </c>
    </row>
    <row r="2130" spans="1:3">
      <c r="A2130" t="s">
        <v>37</v>
      </c>
      <c r="B2130">
        <v>1.108545034647</v>
      </c>
      <c r="C2130" s="1">
        <v>42490</v>
      </c>
    </row>
    <row r="2131" spans="1:3">
      <c r="A2131" t="s">
        <v>39</v>
      </c>
      <c r="B2131">
        <v>1.3186890679324901</v>
      </c>
      <c r="C2131" s="1">
        <v>42490</v>
      </c>
    </row>
    <row r="2132" spans="1:3">
      <c r="A2132" t="s">
        <v>42</v>
      </c>
      <c r="B2132">
        <v>1.6853833542024901</v>
      </c>
      <c r="C2132" s="1">
        <v>42490</v>
      </c>
    </row>
    <row r="2133" spans="1:3">
      <c r="A2133" t="s">
        <v>44</v>
      </c>
      <c r="B2133">
        <v>6.3290023447562396</v>
      </c>
      <c r="C2133" s="1">
        <v>42490</v>
      </c>
    </row>
    <row r="2134" spans="1:3">
      <c r="A2134" t="s">
        <v>47</v>
      </c>
      <c r="B2134">
        <v>11.6361969571947</v>
      </c>
      <c r="C2134" s="1">
        <v>42490</v>
      </c>
    </row>
    <row r="2135" spans="1:3">
      <c r="A2135" t="s">
        <v>49</v>
      </c>
      <c r="B2135">
        <v>15.002732577681201</v>
      </c>
      <c r="C2135" s="1">
        <v>42490</v>
      </c>
    </row>
    <row r="2136" spans="1:3">
      <c r="A2136" t="s">
        <v>51</v>
      </c>
      <c r="B2136">
        <v>1.2256051337254901</v>
      </c>
      <c r="C2136" s="1">
        <v>42490</v>
      </c>
    </row>
    <row r="2137" spans="1:3">
      <c r="A2137" t="s">
        <v>53</v>
      </c>
      <c r="B2137">
        <v>1.1254693863209999</v>
      </c>
      <c r="C2137" s="1">
        <v>42490</v>
      </c>
    </row>
    <row r="2138" spans="1:3">
      <c r="A2138" t="s">
        <v>55</v>
      </c>
      <c r="B2138">
        <v>5.22045731010925</v>
      </c>
      <c r="C2138" s="1">
        <v>42490</v>
      </c>
    </row>
    <row r="2139" spans="1:3">
      <c r="A2139" t="s">
        <v>57</v>
      </c>
      <c r="B2139">
        <v>3.9969677203429899</v>
      </c>
      <c r="C2139" s="1">
        <v>42490</v>
      </c>
    </row>
    <row r="2140" spans="1:3">
      <c r="A2140" t="s">
        <v>59</v>
      </c>
      <c r="B2140">
        <v>9.5834141354024993</v>
      </c>
      <c r="C2140" s="1">
        <v>42490</v>
      </c>
    </row>
    <row r="2141" spans="1:3">
      <c r="A2141" t="s">
        <v>61</v>
      </c>
      <c r="B2141">
        <v>41.680447085143399</v>
      </c>
      <c r="C2141" s="1">
        <v>42490</v>
      </c>
    </row>
    <row r="2142" spans="1:3">
      <c r="A2142" t="s">
        <v>63</v>
      </c>
      <c r="B2142">
        <v>9.1264566402044895</v>
      </c>
      <c r="C2142" s="1">
        <v>42490</v>
      </c>
    </row>
    <row r="2143" spans="1:3">
      <c r="A2143" t="s">
        <v>65</v>
      </c>
      <c r="B2143">
        <v>0.86666784197274904</v>
      </c>
      <c r="C2143" s="1">
        <v>42490</v>
      </c>
    </row>
    <row r="2144" spans="1:3">
      <c r="A2144" t="s">
        <v>67</v>
      </c>
      <c r="B2144">
        <v>8.9713167498594899</v>
      </c>
      <c r="C2144" s="1">
        <v>42490</v>
      </c>
    </row>
    <row r="2145" spans="1:3">
      <c r="A2145" t="s">
        <v>69</v>
      </c>
      <c r="B2145">
        <v>7.4967826102622404</v>
      </c>
      <c r="C2145" s="1">
        <v>42490</v>
      </c>
    </row>
    <row r="2146" spans="1:3">
      <c r="A2146" t="s">
        <v>71</v>
      </c>
      <c r="B2146">
        <v>0.98020203445249998</v>
      </c>
      <c r="C2146" s="1">
        <v>42490</v>
      </c>
    </row>
    <row r="2147" spans="1:3">
      <c r="A2147" t="s">
        <v>73</v>
      </c>
      <c r="B2147">
        <v>2.5569874654134899</v>
      </c>
      <c r="C2147" s="1">
        <v>42490</v>
      </c>
    </row>
    <row r="2148" spans="1:3">
      <c r="A2148" t="s">
        <v>75</v>
      </c>
      <c r="B2148">
        <v>0.35470620383425</v>
      </c>
      <c r="C2148" s="1">
        <v>42490</v>
      </c>
    </row>
    <row r="2149" spans="1:3">
      <c r="A2149" t="s">
        <v>77</v>
      </c>
      <c r="B2149">
        <v>1.7735310191712499</v>
      </c>
      <c r="C2149" s="1">
        <v>42490</v>
      </c>
    </row>
    <row r="2150" spans="1:3">
      <c r="A2150" t="s">
        <v>79</v>
      </c>
      <c r="B2150">
        <v>8.0038079791624899</v>
      </c>
      <c r="C2150" s="1">
        <v>42490</v>
      </c>
    </row>
    <row r="2151" spans="1:3">
      <c r="A2151" t="s">
        <v>81</v>
      </c>
      <c r="B2151">
        <v>8.5679530349624997</v>
      </c>
      <c r="C2151" s="1">
        <v>42490</v>
      </c>
    </row>
    <row r="2152" spans="1:3">
      <c r="A2152" t="s">
        <v>83</v>
      </c>
      <c r="B2152">
        <v>0.44426423144249899</v>
      </c>
      <c r="C2152" s="1">
        <v>42490</v>
      </c>
    </row>
    <row r="2153" spans="1:3">
      <c r="A2153" t="s">
        <v>85</v>
      </c>
      <c r="B2153">
        <v>8.6645628757682491</v>
      </c>
      <c r="C2153" s="1">
        <v>42490</v>
      </c>
    </row>
    <row r="2154" spans="1:3">
      <c r="A2154" t="s">
        <v>87</v>
      </c>
      <c r="B2154">
        <v>23.657422914973001</v>
      </c>
      <c r="C2154" s="1">
        <v>42490</v>
      </c>
    </row>
    <row r="2155" spans="1:3">
      <c r="A2155" t="s">
        <v>89</v>
      </c>
      <c r="B2155">
        <v>8.4974349029875</v>
      </c>
      <c r="C2155" s="1">
        <v>42490</v>
      </c>
    </row>
    <row r="2156" spans="1:3">
      <c r="A2156" t="s">
        <v>91</v>
      </c>
      <c r="B2156">
        <v>16.560478113008902</v>
      </c>
      <c r="C2156" s="1">
        <v>42490</v>
      </c>
    </row>
    <row r="2157" spans="1:3">
      <c r="A2157" t="s">
        <v>93</v>
      </c>
      <c r="B2157">
        <v>24.472612520603999</v>
      </c>
      <c r="C2157" s="1">
        <v>42490</v>
      </c>
    </row>
    <row r="2158" spans="1:3">
      <c r="A2158" t="s">
        <v>95</v>
      </c>
      <c r="B2158">
        <v>1.00911446856225</v>
      </c>
      <c r="C2158" s="1">
        <v>42490</v>
      </c>
    </row>
    <row r="2159" spans="1:3">
      <c r="A2159" t="s">
        <v>97</v>
      </c>
      <c r="B2159">
        <v>9.8549089435062491</v>
      </c>
      <c r="C2159" s="1">
        <v>42490</v>
      </c>
    </row>
    <row r="2160" spans="1:3">
      <c r="A2160" t="s">
        <v>99</v>
      </c>
      <c r="B2160">
        <v>8.4868571831912494</v>
      </c>
      <c r="C2160" s="1">
        <v>42490</v>
      </c>
    </row>
    <row r="2161" spans="1:3">
      <c r="A2161" t="s">
        <v>101</v>
      </c>
      <c r="B2161">
        <v>7.9756007263724902</v>
      </c>
      <c r="C2161" s="1">
        <v>42490</v>
      </c>
    </row>
    <row r="2162" spans="1:3">
      <c r="A2162" t="s">
        <v>103</v>
      </c>
      <c r="B2162">
        <v>0.98725384764999902</v>
      </c>
      <c r="C2162" s="1">
        <v>42490</v>
      </c>
    </row>
    <row r="2163" spans="1:3">
      <c r="A2163" t="s">
        <v>105</v>
      </c>
      <c r="B2163">
        <v>1.057771979625</v>
      </c>
      <c r="C2163" s="1">
        <v>42490</v>
      </c>
    </row>
    <row r="2164" spans="1:3">
      <c r="A2164" t="s">
        <v>107</v>
      </c>
      <c r="B2164">
        <v>5.4298961620749999</v>
      </c>
      <c r="C2164" s="1">
        <v>42490</v>
      </c>
    </row>
    <row r="2165" spans="1:3">
      <c r="A2165" t="s">
        <v>109</v>
      </c>
      <c r="B2165">
        <v>3.5505879449412499</v>
      </c>
      <c r="C2165" s="1">
        <v>42490</v>
      </c>
    </row>
    <row r="2166" spans="1:3">
      <c r="A2166" t="s">
        <v>111</v>
      </c>
      <c r="B2166">
        <v>6.7760873014777498</v>
      </c>
      <c r="C2166" s="1">
        <v>42490</v>
      </c>
    </row>
    <row r="2167" spans="1:3">
      <c r="A2167" t="s">
        <v>113</v>
      </c>
      <c r="B2167">
        <v>10.764592845983699</v>
      </c>
      <c r="C2167" s="1">
        <v>42490</v>
      </c>
    </row>
    <row r="2168" spans="1:3">
      <c r="A2168" t="s">
        <v>115</v>
      </c>
      <c r="B2168">
        <v>6.4601660702297403</v>
      </c>
      <c r="C2168" s="1">
        <v>42490</v>
      </c>
    </row>
    <row r="2169" spans="1:3">
      <c r="A2169" t="s">
        <v>117</v>
      </c>
      <c r="B2169">
        <v>5.2091744089932499</v>
      </c>
      <c r="C2169" s="1">
        <v>42490</v>
      </c>
    </row>
    <row r="2170" spans="1:3">
      <c r="A2170" t="s">
        <v>119</v>
      </c>
      <c r="B2170">
        <v>8.1568323255482493</v>
      </c>
      <c r="C2170" s="1">
        <v>42490</v>
      </c>
    </row>
    <row r="2171" spans="1:3">
      <c r="A2171" t="s">
        <v>121</v>
      </c>
      <c r="B2171">
        <v>18.024434532809899</v>
      </c>
      <c r="C2171" s="1">
        <v>42490</v>
      </c>
    </row>
    <row r="2172" spans="1:3">
      <c r="A2172" t="s">
        <v>123</v>
      </c>
      <c r="B2172">
        <v>4.8657511062749998</v>
      </c>
      <c r="C2172" s="1">
        <v>42490</v>
      </c>
    </row>
    <row r="2173" spans="1:3">
      <c r="A2173" t="s">
        <v>125</v>
      </c>
      <c r="B2173">
        <v>137.73742573620899</v>
      </c>
      <c r="C2173" s="1">
        <v>42490</v>
      </c>
    </row>
    <row r="2174" spans="1:3">
      <c r="A2174" t="s">
        <v>127</v>
      </c>
      <c r="B2174">
        <v>10.5114327521935</v>
      </c>
      <c r="C2174" s="1">
        <v>42490</v>
      </c>
    </row>
    <row r="2175" spans="1:3">
      <c r="A2175" t="s">
        <v>129</v>
      </c>
      <c r="B2175">
        <v>3.2262045378562498</v>
      </c>
      <c r="C2175" s="1">
        <v>42490</v>
      </c>
    </row>
    <row r="2176" spans="1:3">
      <c r="A2176" t="s">
        <v>131</v>
      </c>
      <c r="B2176">
        <v>3.16979003227625</v>
      </c>
      <c r="C2176" s="1">
        <v>42490</v>
      </c>
    </row>
    <row r="2177" spans="1:3">
      <c r="A2177" t="s">
        <v>134</v>
      </c>
      <c r="B2177">
        <v>2.9011159494515</v>
      </c>
      <c r="C2177" s="1">
        <v>42490</v>
      </c>
    </row>
    <row r="2178" spans="1:3">
      <c r="A2178" t="s">
        <v>136</v>
      </c>
      <c r="B2178">
        <v>12.074819738079199</v>
      </c>
      <c r="C2178" s="1">
        <v>42490</v>
      </c>
    </row>
    <row r="2179" spans="1:3">
      <c r="A2179" t="s">
        <v>138</v>
      </c>
      <c r="B2179">
        <v>25.476790719927902</v>
      </c>
      <c r="C2179" s="1">
        <v>42490</v>
      </c>
    </row>
    <row r="2180" spans="1:3">
      <c r="A2180" t="s">
        <v>140</v>
      </c>
      <c r="B2180">
        <v>7.3317701814407403</v>
      </c>
      <c r="C2180" s="1">
        <v>42490</v>
      </c>
    </row>
    <row r="2181" spans="1:3">
      <c r="A2181" t="s">
        <v>142</v>
      </c>
      <c r="B2181">
        <v>7.7421857095352502</v>
      </c>
      <c r="C2181" s="1">
        <v>42490</v>
      </c>
    </row>
    <row r="2182" spans="1:3">
      <c r="A2182" t="s">
        <v>144</v>
      </c>
      <c r="B2182">
        <v>5.0448671614915002</v>
      </c>
      <c r="C2182" s="1">
        <v>42490</v>
      </c>
    </row>
    <row r="2183" spans="1:3">
      <c r="A2183" t="s">
        <v>146</v>
      </c>
      <c r="B2183">
        <v>4.3509687428574999</v>
      </c>
      <c r="C2183" s="1">
        <v>42490</v>
      </c>
    </row>
    <row r="2184" spans="1:3">
      <c r="A2184" t="s">
        <v>148</v>
      </c>
      <c r="B2184">
        <v>9.0065758158469897</v>
      </c>
      <c r="C2184" s="1">
        <v>42490</v>
      </c>
    </row>
    <row r="2185" spans="1:3">
      <c r="A2185" t="s">
        <v>150</v>
      </c>
      <c r="B2185">
        <v>6.2253406907529998</v>
      </c>
      <c r="C2185" s="1">
        <v>42490</v>
      </c>
    </row>
    <row r="2186" spans="1:3">
      <c r="A2186" t="s">
        <v>152</v>
      </c>
      <c r="B2186">
        <v>15.93709782635</v>
      </c>
      <c r="C2186" s="1">
        <v>42490</v>
      </c>
    </row>
    <row r="2187" spans="1:3">
      <c r="A2187" t="s">
        <v>154</v>
      </c>
      <c r="B2187">
        <v>24.832960174996199</v>
      </c>
      <c r="C2187" s="1">
        <v>42490</v>
      </c>
    </row>
    <row r="2188" spans="1:3">
      <c r="A2188" t="s">
        <v>156</v>
      </c>
      <c r="B2188">
        <v>32.748620489189904</v>
      </c>
      <c r="C2188" s="1">
        <v>42490</v>
      </c>
    </row>
    <row r="2189" spans="1:3">
      <c r="A2189" t="s">
        <v>158</v>
      </c>
      <c r="B2189">
        <v>28.9956455054805</v>
      </c>
      <c r="C2189" s="1">
        <v>42490</v>
      </c>
    </row>
    <row r="2190" spans="1:3">
      <c r="A2190" t="s">
        <v>160</v>
      </c>
      <c r="B2190">
        <v>12.841351832647399</v>
      </c>
      <c r="C2190" s="1">
        <v>42490</v>
      </c>
    </row>
    <row r="2191" spans="1:3">
      <c r="A2191" t="s">
        <v>162</v>
      </c>
      <c r="B2191">
        <v>4.1605697865249898</v>
      </c>
      <c r="C2191" s="1">
        <v>42490</v>
      </c>
    </row>
    <row r="2192" spans="1:3">
      <c r="A2192" t="s">
        <v>164</v>
      </c>
      <c r="B2192">
        <v>4.5611127761430001</v>
      </c>
      <c r="C2192" s="1">
        <v>42490</v>
      </c>
    </row>
    <row r="2193" spans="1:3">
      <c r="A2193" t="s">
        <v>166</v>
      </c>
      <c r="B2193">
        <v>5.8050526241819904</v>
      </c>
      <c r="C2193" s="1">
        <v>42490</v>
      </c>
    </row>
    <row r="2194" spans="1:3">
      <c r="A2194" t="s">
        <v>168</v>
      </c>
      <c r="B2194">
        <v>7.9050825943974896</v>
      </c>
      <c r="C2194" s="1">
        <v>42490</v>
      </c>
    </row>
    <row r="2195" spans="1:3">
      <c r="A2195" t="s">
        <v>8</v>
      </c>
      <c r="B2195">
        <v>19.581637843386499</v>
      </c>
      <c r="C2195" s="1">
        <v>42521</v>
      </c>
    </row>
    <row r="2196" spans="1:3">
      <c r="A2196" t="s">
        <v>11</v>
      </c>
      <c r="B2196">
        <v>61.6670905393227</v>
      </c>
      <c r="C2196" s="1">
        <v>42521</v>
      </c>
    </row>
    <row r="2197" spans="1:3">
      <c r="A2197" t="s">
        <v>14</v>
      </c>
      <c r="B2197">
        <v>6.8571973550530396</v>
      </c>
      <c r="C2197" s="1">
        <v>42521</v>
      </c>
    </row>
    <row r="2198" spans="1:3">
      <c r="A2198" t="s">
        <v>17</v>
      </c>
      <c r="B2198">
        <v>5.9072990844504298</v>
      </c>
      <c r="C2198" s="1">
        <v>42521</v>
      </c>
    </row>
    <row r="2199" spans="1:3">
      <c r="A2199" t="s">
        <v>20</v>
      </c>
      <c r="B2199">
        <v>1.25508646999302</v>
      </c>
      <c r="C2199" s="1">
        <v>42521</v>
      </c>
    </row>
    <row r="2200" spans="1:3">
      <c r="A2200" t="s">
        <v>24</v>
      </c>
      <c r="B2200">
        <v>2.5184384537195301</v>
      </c>
      <c r="C2200" s="1">
        <v>42521</v>
      </c>
    </row>
    <row r="2201" spans="1:3">
      <c r="A2201" t="s">
        <v>27</v>
      </c>
      <c r="B2201">
        <v>8.8816124110093693</v>
      </c>
      <c r="C2201" s="1">
        <v>42521</v>
      </c>
    </row>
    <row r="2202" spans="1:3">
      <c r="A2202" t="s">
        <v>29</v>
      </c>
      <c r="B2202">
        <v>2.4415055951231999</v>
      </c>
      <c r="C2202" s="1">
        <v>42521</v>
      </c>
    </row>
    <row r="2203" spans="1:3">
      <c r="A2203" t="s">
        <v>32</v>
      </c>
      <c r="B2203">
        <v>10.4526958291212</v>
      </c>
      <c r="C2203" s="1">
        <v>42521</v>
      </c>
    </row>
    <row r="2204" spans="1:3">
      <c r="A2204" t="s">
        <v>35</v>
      </c>
      <c r="B2204">
        <v>2.5877416073310999</v>
      </c>
      <c r="C2204" s="1">
        <v>42521</v>
      </c>
    </row>
    <row r="2205" spans="1:3">
      <c r="A2205" t="s">
        <v>37</v>
      </c>
      <c r="B2205">
        <v>0.99821973550609999</v>
      </c>
      <c r="C2205" s="1">
        <v>42521</v>
      </c>
    </row>
    <row r="2206" spans="1:3">
      <c r="A2206" t="s">
        <v>39</v>
      </c>
      <c r="B2206">
        <v>1.17179552390939</v>
      </c>
      <c r="C2206" s="1">
        <v>42521</v>
      </c>
    </row>
    <row r="2207" spans="1:3">
      <c r="A2207" t="s">
        <v>42</v>
      </c>
      <c r="B2207">
        <v>1.3447355035639399</v>
      </c>
      <c r="C2207" s="1">
        <v>42521</v>
      </c>
    </row>
    <row r="2208" spans="1:3">
      <c r="A2208" t="s">
        <v>44</v>
      </c>
      <c r="B2208">
        <v>3.9776195320548799</v>
      </c>
      <c r="C2208" s="1">
        <v>42521</v>
      </c>
    </row>
    <row r="2209" spans="1:3">
      <c r="A2209" t="s">
        <v>47</v>
      </c>
      <c r="B2209">
        <v>10.745167853537</v>
      </c>
      <c r="C2209" s="1">
        <v>42521</v>
      </c>
    </row>
    <row r="2210" spans="1:3">
      <c r="A2210" t="s">
        <v>49</v>
      </c>
      <c r="B2210">
        <v>12.864318413054001</v>
      </c>
      <c r="C2210" s="1">
        <v>42521</v>
      </c>
    </row>
    <row r="2211" spans="1:3">
      <c r="A2211" t="s">
        <v>51</v>
      </c>
      <c r="B2211">
        <v>1.0961342828105101</v>
      </c>
      <c r="C2211" s="1">
        <v>42521</v>
      </c>
    </row>
    <row r="2212" spans="1:3">
      <c r="A2212" t="s">
        <v>53</v>
      </c>
      <c r="B2212">
        <v>0.98995422177261005</v>
      </c>
      <c r="C2212" s="1">
        <v>42521</v>
      </c>
    </row>
    <row r="2213" spans="1:3">
      <c r="A2213" t="s">
        <v>55</v>
      </c>
      <c r="B2213">
        <v>4.3158697863792401</v>
      </c>
      <c r="C2213" s="1">
        <v>42521</v>
      </c>
    </row>
    <row r="2214" spans="1:3">
      <c r="A2214" t="s">
        <v>57</v>
      </c>
      <c r="B2214">
        <v>3.68578331638781</v>
      </c>
      <c r="C2214" s="1">
        <v>42521</v>
      </c>
    </row>
    <row r="2215" spans="1:3">
      <c r="A2215" t="s">
        <v>59</v>
      </c>
      <c r="B2215">
        <v>8.2725076297260305</v>
      </c>
      <c r="C2215" s="1">
        <v>42521</v>
      </c>
    </row>
    <row r="2216" spans="1:3">
      <c r="A2216" t="s">
        <v>61</v>
      </c>
      <c r="B2216">
        <v>37.8299847406862</v>
      </c>
      <c r="C2216" s="1">
        <v>42521</v>
      </c>
    </row>
    <row r="2217" spans="1:3">
      <c r="A2217" t="s">
        <v>63</v>
      </c>
      <c r="B2217">
        <v>7.8299847406099499</v>
      </c>
      <c r="C2217" s="1">
        <v>42521</v>
      </c>
    </row>
    <row r="2218" spans="1:3">
      <c r="A2218" t="s">
        <v>65</v>
      </c>
      <c r="B2218">
        <v>0.69621057985934998</v>
      </c>
      <c r="C2218" s="1">
        <v>42521</v>
      </c>
    </row>
    <row r="2219" spans="1:3">
      <c r="A2219" t="s">
        <v>67</v>
      </c>
      <c r="B2219">
        <v>7.6430569684833296</v>
      </c>
      <c r="C2219" s="1">
        <v>42521</v>
      </c>
    </row>
    <row r="2220" spans="1:3">
      <c r="A2220" t="s">
        <v>69</v>
      </c>
      <c r="B2220">
        <v>5.9778738555594497</v>
      </c>
      <c r="C2220" s="1">
        <v>42521</v>
      </c>
    </row>
    <row r="2221" spans="1:3">
      <c r="A2221" t="s">
        <v>71</v>
      </c>
      <c r="B2221">
        <v>0.92891658189452997</v>
      </c>
      <c r="C2221" s="1">
        <v>42521</v>
      </c>
    </row>
    <row r="2222" spans="1:3">
      <c r="A2222" t="s">
        <v>73</v>
      </c>
      <c r="B2222">
        <v>2.0771871821009098</v>
      </c>
      <c r="C2222" s="1">
        <v>42521</v>
      </c>
    </row>
    <row r="2223" spans="1:3">
      <c r="A2223" t="s">
        <v>75</v>
      </c>
      <c r="B2223">
        <v>0.30900305188277999</v>
      </c>
      <c r="C2223" s="1">
        <v>42521</v>
      </c>
    </row>
    <row r="2224" spans="1:3">
      <c r="A2224" t="s">
        <v>77</v>
      </c>
      <c r="B2224">
        <v>1.4941505595155</v>
      </c>
      <c r="C2224" s="1">
        <v>42521</v>
      </c>
    </row>
    <row r="2225" spans="1:3">
      <c r="A2225" t="s">
        <v>79</v>
      </c>
      <c r="B2225">
        <v>7.8204476093790003</v>
      </c>
      <c r="C2225" s="1">
        <v>42521</v>
      </c>
    </row>
    <row r="2226" spans="1:3">
      <c r="A2226" t="s">
        <v>81</v>
      </c>
      <c r="B2226">
        <v>7.375381485268</v>
      </c>
      <c r="C2226" s="1">
        <v>42521</v>
      </c>
    </row>
    <row r="2227" spans="1:3">
      <c r="A2227" t="s">
        <v>83</v>
      </c>
      <c r="B2227">
        <v>0.39165818921767998</v>
      </c>
      <c r="C2227" s="1">
        <v>42521</v>
      </c>
    </row>
    <row r="2228" spans="1:3">
      <c r="A2228" t="s">
        <v>85</v>
      </c>
      <c r="B2228">
        <v>7.4987283825216098</v>
      </c>
      <c r="C2228" s="1">
        <v>42521</v>
      </c>
    </row>
    <row r="2229" spans="1:3">
      <c r="A2229" t="s">
        <v>87</v>
      </c>
      <c r="B2229">
        <v>20.473041709105999</v>
      </c>
      <c r="C2229" s="1">
        <v>42521</v>
      </c>
    </row>
    <row r="2230" spans="1:3">
      <c r="A2230" t="s">
        <v>89</v>
      </c>
      <c r="B2230">
        <v>8.0105544252492695</v>
      </c>
      <c r="C2230" s="1">
        <v>42521</v>
      </c>
    </row>
    <row r="2231" spans="1:3">
      <c r="A2231" t="s">
        <v>91</v>
      </c>
      <c r="B2231">
        <v>14.501525941033799</v>
      </c>
      <c r="C2231" s="1">
        <v>42521</v>
      </c>
    </row>
    <row r="2232" spans="1:3">
      <c r="A2232" t="s">
        <v>93</v>
      </c>
      <c r="B2232">
        <v>23.079857578898999</v>
      </c>
      <c r="C2232" s="1">
        <v>42521</v>
      </c>
    </row>
    <row r="2233" spans="1:3">
      <c r="A2233" t="s">
        <v>95</v>
      </c>
      <c r="B2233">
        <v>0.67967955239236999</v>
      </c>
      <c r="C2233" s="1">
        <v>42521</v>
      </c>
    </row>
    <row r="2234" spans="1:3">
      <c r="A2234" t="s">
        <v>97</v>
      </c>
      <c r="B2234">
        <v>8.5834181078549996</v>
      </c>
      <c r="C2234" s="1">
        <v>42521</v>
      </c>
    </row>
    <row r="2235" spans="1:3">
      <c r="A2235" t="s">
        <v>99</v>
      </c>
      <c r="B2235">
        <v>7.4389623601409998</v>
      </c>
      <c r="C2235" s="1">
        <v>42521</v>
      </c>
    </row>
    <row r="2236" spans="1:3">
      <c r="A2236" t="s">
        <v>101</v>
      </c>
      <c r="B2236">
        <v>6.548830111919</v>
      </c>
      <c r="C2236" s="1">
        <v>42521</v>
      </c>
    </row>
    <row r="2237" spans="1:3">
      <c r="A2237" t="s">
        <v>103</v>
      </c>
      <c r="B2237">
        <v>0.89267548321691903</v>
      </c>
      <c r="C2237" s="1">
        <v>42521</v>
      </c>
    </row>
    <row r="2238" spans="1:3">
      <c r="A2238" t="s">
        <v>105</v>
      </c>
      <c r="B2238">
        <v>0.62309257375539995</v>
      </c>
      <c r="C2238" s="1">
        <v>42521</v>
      </c>
    </row>
    <row r="2239" spans="1:3">
      <c r="A2239" t="s">
        <v>107</v>
      </c>
      <c r="B2239">
        <v>4.6127924720361397</v>
      </c>
      <c r="C2239" s="1">
        <v>42521</v>
      </c>
    </row>
    <row r="2240" spans="1:3">
      <c r="A2240" t="s">
        <v>109</v>
      </c>
      <c r="B2240">
        <v>2.9196337741681599</v>
      </c>
      <c r="C2240" s="1">
        <v>42521</v>
      </c>
    </row>
    <row r="2241" spans="1:3">
      <c r="A2241" t="s">
        <v>111</v>
      </c>
      <c r="B2241">
        <v>5.5760427263621004</v>
      </c>
      <c r="C2241" s="1">
        <v>42521</v>
      </c>
    </row>
    <row r="2242" spans="1:3">
      <c r="A2242" t="s">
        <v>113</v>
      </c>
      <c r="B2242">
        <v>8.9013224822199994</v>
      </c>
      <c r="C2242" s="1">
        <v>42521</v>
      </c>
    </row>
    <row r="2243" spans="1:3">
      <c r="A2243" t="s">
        <v>115</v>
      </c>
      <c r="B2243">
        <v>5.2899287894336</v>
      </c>
      <c r="C2243" s="1">
        <v>42521</v>
      </c>
    </row>
    <row r="2244" spans="1:3">
      <c r="A2244" t="s">
        <v>117</v>
      </c>
      <c r="B2244">
        <v>4.5460325534194999</v>
      </c>
      <c r="C2244" s="1">
        <v>42521</v>
      </c>
    </row>
    <row r="2245" spans="1:3">
      <c r="A2245" t="s">
        <v>119</v>
      </c>
      <c r="B2245">
        <v>5.14941505596427</v>
      </c>
      <c r="C2245" s="1">
        <v>42521</v>
      </c>
    </row>
    <row r="2246" spans="1:3">
      <c r="A2246" t="s">
        <v>121</v>
      </c>
      <c r="B2246">
        <v>15.4565106816263</v>
      </c>
      <c r="C2246" s="1">
        <v>42521</v>
      </c>
    </row>
    <row r="2247" spans="1:3">
      <c r="A2247" t="s">
        <v>123</v>
      </c>
      <c r="B2247">
        <v>3.9566378433467899</v>
      </c>
      <c r="C2247" s="1">
        <v>42521</v>
      </c>
    </row>
    <row r="2248" spans="1:3">
      <c r="A2248" t="s">
        <v>125</v>
      </c>
      <c r="B2248">
        <v>146.97164293018</v>
      </c>
      <c r="C2248" s="1">
        <v>42521</v>
      </c>
    </row>
    <row r="2249" spans="1:3">
      <c r="A2249" t="s">
        <v>127</v>
      </c>
      <c r="B2249">
        <v>7.7886571719425</v>
      </c>
      <c r="C2249" s="1">
        <v>42521</v>
      </c>
    </row>
    <row r="2250" spans="1:3">
      <c r="A2250" t="s">
        <v>129</v>
      </c>
      <c r="B2250">
        <v>2.7021871821025001</v>
      </c>
      <c r="C2250" s="1">
        <v>42521</v>
      </c>
    </row>
    <row r="2251" spans="1:3">
      <c r="A2251" t="s">
        <v>131</v>
      </c>
      <c r="B2251">
        <v>2.8293489318485001</v>
      </c>
      <c r="C2251" s="1">
        <v>42521</v>
      </c>
    </row>
    <row r="2252" spans="1:3">
      <c r="A2252" t="s">
        <v>134</v>
      </c>
      <c r="B2252">
        <v>2.6424211597218799</v>
      </c>
      <c r="C2252" s="1">
        <v>42521</v>
      </c>
    </row>
    <row r="2253" spans="1:3">
      <c r="A2253" t="s">
        <v>136</v>
      </c>
      <c r="B2253">
        <v>10.4851220753064</v>
      </c>
      <c r="C2253" s="1">
        <v>42521</v>
      </c>
    </row>
    <row r="2254" spans="1:3">
      <c r="A2254" t="s">
        <v>138</v>
      </c>
      <c r="B2254">
        <v>7.9724059003254704</v>
      </c>
      <c r="C2254" s="1">
        <v>42521</v>
      </c>
    </row>
    <row r="2255" spans="1:3">
      <c r="A2255" t="s">
        <v>140</v>
      </c>
      <c r="B2255">
        <v>6.8476602238220998</v>
      </c>
      <c r="C2255" s="1">
        <v>42521</v>
      </c>
    </row>
    <row r="2256" spans="1:3">
      <c r="A2256" t="s">
        <v>142</v>
      </c>
      <c r="B2256">
        <v>6.7465666327740301</v>
      </c>
      <c r="C2256" s="1">
        <v>42521</v>
      </c>
    </row>
    <row r="2257" spans="1:3">
      <c r="A2257" t="s">
        <v>144</v>
      </c>
      <c r="B2257">
        <v>4.1893438453819698</v>
      </c>
      <c r="C2257" s="1">
        <v>42521</v>
      </c>
    </row>
    <row r="2258" spans="1:3">
      <c r="A2258" t="s">
        <v>146</v>
      </c>
      <c r="B2258">
        <v>4.6878179043862902</v>
      </c>
      <c r="C2258" s="1">
        <v>42521</v>
      </c>
    </row>
    <row r="2259" spans="1:3">
      <c r="A2259" t="s">
        <v>148</v>
      </c>
      <c r="B2259">
        <v>7.8846642930007302</v>
      </c>
      <c r="C2259" s="1">
        <v>42521</v>
      </c>
    </row>
    <row r="2260" spans="1:3">
      <c r="A2260" t="s">
        <v>150</v>
      </c>
      <c r="B2260">
        <v>5.3407934893320004</v>
      </c>
      <c r="C2260" s="1">
        <v>42521</v>
      </c>
    </row>
    <row r="2261" spans="1:3">
      <c r="A2261" t="s">
        <v>152</v>
      </c>
      <c r="B2261">
        <v>13.358341810817301</v>
      </c>
      <c r="C2261" s="1">
        <v>42521</v>
      </c>
    </row>
    <row r="2262" spans="1:3">
      <c r="A2262" t="s">
        <v>154</v>
      </c>
      <c r="B2262">
        <v>22.0943540183675</v>
      </c>
      <c r="C2262" s="1">
        <v>42521</v>
      </c>
    </row>
    <row r="2263" spans="1:3">
      <c r="A2263" t="s">
        <v>156</v>
      </c>
      <c r="B2263">
        <v>30.328077314421002</v>
      </c>
      <c r="C2263" s="1">
        <v>42521</v>
      </c>
    </row>
    <row r="2264" spans="1:3">
      <c r="A2264" t="s">
        <v>158</v>
      </c>
      <c r="B2264">
        <v>22.338504577879799</v>
      </c>
      <c r="C2264" s="1">
        <v>42521</v>
      </c>
    </row>
    <row r="2265" spans="1:3">
      <c r="A2265" t="s">
        <v>160</v>
      </c>
      <c r="B2265">
        <v>11.253814852521</v>
      </c>
      <c r="C2265" s="1">
        <v>42521</v>
      </c>
    </row>
    <row r="2266" spans="1:3">
      <c r="A2266" t="s">
        <v>162</v>
      </c>
      <c r="B2266">
        <v>2.861139369285</v>
      </c>
      <c r="C2266" s="1">
        <v>42521</v>
      </c>
    </row>
    <row r="2267" spans="1:3">
      <c r="A2267" t="s">
        <v>164</v>
      </c>
      <c r="B2267">
        <v>3.4727873855632598</v>
      </c>
      <c r="C2267" s="1">
        <v>42521</v>
      </c>
    </row>
    <row r="2268" spans="1:3">
      <c r="A2268" t="s">
        <v>166</v>
      </c>
      <c r="B2268">
        <v>4.5784587996047303</v>
      </c>
      <c r="C2268" s="1">
        <v>42521</v>
      </c>
    </row>
    <row r="2269" spans="1:3">
      <c r="A2269" t="s">
        <v>168</v>
      </c>
      <c r="B2269">
        <v>5.3395218718345401</v>
      </c>
      <c r="C2269" s="1">
        <v>42521</v>
      </c>
    </row>
    <row r="2270" spans="1:3">
      <c r="A2270" t="s">
        <v>8</v>
      </c>
      <c r="B2270">
        <v>18.298395356777199</v>
      </c>
      <c r="C2270" s="1">
        <v>42551</v>
      </c>
    </row>
    <row r="2271" spans="1:3">
      <c r="A2271" t="s">
        <v>11</v>
      </c>
      <c r="B2271">
        <v>63.792420621373097</v>
      </c>
      <c r="C2271" s="1">
        <v>42551</v>
      </c>
    </row>
    <row r="2272" spans="1:3">
      <c r="A2272" t="s">
        <v>14</v>
      </c>
      <c r="B2272">
        <v>6.1447593035166097</v>
      </c>
      <c r="C2272" s="1">
        <v>42551</v>
      </c>
    </row>
    <row r="2273" spans="1:3">
      <c r="A2273" t="s">
        <v>17</v>
      </c>
      <c r="B2273">
        <v>5.7855923523387398</v>
      </c>
      <c r="C2273" s="1">
        <v>42551</v>
      </c>
    </row>
    <row r="2274" spans="1:3">
      <c r="A2274" t="s">
        <v>20</v>
      </c>
      <c r="B2274">
        <v>1.28439740525777</v>
      </c>
      <c r="C2274" s="1">
        <v>42551</v>
      </c>
    </row>
    <row r="2275" spans="1:3">
      <c r="A2275" t="s">
        <v>24</v>
      </c>
      <c r="B2275">
        <v>2.6568794810515701</v>
      </c>
      <c r="C2275" s="1">
        <v>42551</v>
      </c>
    </row>
    <row r="2276" spans="1:3">
      <c r="A2276" t="s">
        <v>27</v>
      </c>
      <c r="B2276">
        <v>9.6278593376580002</v>
      </c>
      <c r="C2276" s="1">
        <v>42551</v>
      </c>
    </row>
    <row r="2277" spans="1:3">
      <c r="A2277" t="s">
        <v>29</v>
      </c>
      <c r="B2277">
        <v>2.4718333902356</v>
      </c>
      <c r="C2277" s="1">
        <v>42551</v>
      </c>
    </row>
    <row r="2278" spans="1:3">
      <c r="A2278" t="s">
        <v>32</v>
      </c>
      <c r="B2278">
        <v>11.4646637077502</v>
      </c>
      <c r="C2278" s="1">
        <v>42551</v>
      </c>
    </row>
    <row r="2279" spans="1:3">
      <c r="A2279" t="s">
        <v>35</v>
      </c>
      <c r="B2279">
        <v>3.0242403550700199</v>
      </c>
      <c r="C2279" s="1">
        <v>42551</v>
      </c>
    </row>
    <row r="2280" spans="1:3">
      <c r="A2280" t="s">
        <v>37</v>
      </c>
      <c r="B2280">
        <v>1.2618641174462399</v>
      </c>
      <c r="C2280" s="1">
        <v>42551</v>
      </c>
    </row>
    <row r="2281" spans="1:3">
      <c r="A2281" t="s">
        <v>39</v>
      </c>
      <c r="B2281">
        <v>1.3212700580403001</v>
      </c>
      <c r="C2281" s="1">
        <v>42551</v>
      </c>
    </row>
    <row r="2282" spans="1:3">
      <c r="A2282" t="s">
        <v>42</v>
      </c>
      <c r="B2282">
        <v>1.30556503926256</v>
      </c>
      <c r="C2282" s="1">
        <v>42551</v>
      </c>
    </row>
    <row r="2283" spans="1:3">
      <c r="A2283" t="s">
        <v>44</v>
      </c>
      <c r="B2283">
        <v>4.6063502902014797</v>
      </c>
      <c r="C2283" s="1">
        <v>42551</v>
      </c>
    </row>
    <row r="2284" spans="1:3">
      <c r="A2284" t="s">
        <v>47</v>
      </c>
      <c r="B2284">
        <v>12.6336633663367</v>
      </c>
      <c r="C2284" s="1">
        <v>42551</v>
      </c>
    </row>
    <row r="2285" spans="1:3">
      <c r="A2285" t="s">
        <v>49</v>
      </c>
      <c r="B2285">
        <v>13.793103448276</v>
      </c>
      <c r="C2285" s="1">
        <v>42551</v>
      </c>
    </row>
    <row r="2286" spans="1:3">
      <c r="A2286" t="s">
        <v>51</v>
      </c>
      <c r="B2286">
        <v>1.1614885626493801</v>
      </c>
      <c r="C2286" s="1">
        <v>42551</v>
      </c>
    </row>
    <row r="2287" spans="1:3">
      <c r="A2287" t="s">
        <v>53</v>
      </c>
      <c r="B2287">
        <v>0.92454762717651895</v>
      </c>
      <c r="C2287" s="1">
        <v>42551</v>
      </c>
    </row>
    <row r="2288" spans="1:3">
      <c r="A2288" t="s">
        <v>55</v>
      </c>
      <c r="B2288">
        <v>4.5674291567088199</v>
      </c>
      <c r="C2288" s="1">
        <v>42551</v>
      </c>
    </row>
    <row r="2289" spans="1:3">
      <c r="A2289" t="s">
        <v>57</v>
      </c>
      <c r="B2289">
        <v>4.5257767156026398</v>
      </c>
      <c r="C2289" s="1">
        <v>42551</v>
      </c>
    </row>
    <row r="2290" spans="1:3">
      <c r="A2290" t="s">
        <v>59</v>
      </c>
      <c r="B2290">
        <v>8.9996585865483993</v>
      </c>
      <c r="C2290" s="1">
        <v>42551</v>
      </c>
    </row>
    <row r="2291" spans="1:3">
      <c r="A2291" t="s">
        <v>61</v>
      </c>
      <c r="B2291">
        <v>40.628200751110001</v>
      </c>
      <c r="C2291" s="1">
        <v>42551</v>
      </c>
    </row>
    <row r="2292" spans="1:3">
      <c r="A2292" t="s">
        <v>63</v>
      </c>
      <c r="B2292">
        <v>8.6384431546603793</v>
      </c>
      <c r="C2292" s="1">
        <v>42551</v>
      </c>
    </row>
    <row r="2293" spans="1:3">
      <c r="A2293" t="s">
        <v>65</v>
      </c>
      <c r="B2293">
        <v>0.77296005462616002</v>
      </c>
      <c r="C2293" s="1">
        <v>42551</v>
      </c>
    </row>
    <row r="2294" spans="1:3">
      <c r="A2294" t="s">
        <v>67</v>
      </c>
      <c r="B2294">
        <v>8.3646295664050001</v>
      </c>
      <c r="C2294" s="1">
        <v>42551</v>
      </c>
    </row>
    <row r="2295" spans="1:3">
      <c r="A2295" t="s">
        <v>69</v>
      </c>
      <c r="B2295">
        <v>5.8586548310003996</v>
      </c>
      <c r="C2295" s="1">
        <v>42551</v>
      </c>
    </row>
    <row r="2296" spans="1:3">
      <c r="A2296" t="s">
        <v>71</v>
      </c>
      <c r="B2296">
        <v>1.0078525093888799</v>
      </c>
      <c r="C2296" s="1">
        <v>42551</v>
      </c>
    </row>
    <row r="2297" spans="1:3">
      <c r="A2297" t="s">
        <v>73</v>
      </c>
      <c r="B2297">
        <v>2.1290542847388401</v>
      </c>
      <c r="C2297" s="1">
        <v>42551</v>
      </c>
    </row>
    <row r="2298" spans="1:3">
      <c r="A2298" t="s">
        <v>75</v>
      </c>
      <c r="B2298">
        <v>0.35165585524069998</v>
      </c>
      <c r="C2298" s="1">
        <v>42551</v>
      </c>
    </row>
    <row r="2299" spans="1:3">
      <c r="A2299" t="s">
        <v>77</v>
      </c>
      <c r="B2299">
        <v>1.75349948787983</v>
      </c>
      <c r="C2299" s="1">
        <v>42551</v>
      </c>
    </row>
    <row r="2300" spans="1:3">
      <c r="A2300" t="s">
        <v>79</v>
      </c>
      <c r="B2300">
        <v>8.6719016729259994</v>
      </c>
      <c r="C2300" s="1">
        <v>42551</v>
      </c>
    </row>
    <row r="2301" spans="1:3">
      <c r="A2301" t="s">
        <v>81</v>
      </c>
      <c r="B2301">
        <v>8.5913280983271498</v>
      </c>
      <c r="C2301" s="1">
        <v>42551</v>
      </c>
    </row>
    <row r="2302" spans="1:3">
      <c r="A2302" t="s">
        <v>83</v>
      </c>
      <c r="B2302">
        <v>0.42676681461249999</v>
      </c>
      <c r="C2302" s="1">
        <v>42551</v>
      </c>
    </row>
    <row r="2303" spans="1:3">
      <c r="A2303" t="s">
        <v>85</v>
      </c>
      <c r="B2303">
        <v>8.8692386480028098</v>
      </c>
      <c r="C2303" s="1">
        <v>42551</v>
      </c>
    </row>
    <row r="2304" spans="1:3">
      <c r="A2304" t="s">
        <v>87</v>
      </c>
      <c r="B2304">
        <v>24.737453055650601</v>
      </c>
      <c r="C2304" s="1">
        <v>42551</v>
      </c>
    </row>
    <row r="2305" spans="1:3">
      <c r="A2305" t="s">
        <v>89</v>
      </c>
      <c r="B2305">
        <v>8.1570501877774699</v>
      </c>
      <c r="C2305" s="1">
        <v>42551</v>
      </c>
    </row>
    <row r="2306" spans="1:3">
      <c r="A2306" t="s">
        <v>91</v>
      </c>
      <c r="B2306">
        <v>15.662000682826999</v>
      </c>
      <c r="C2306" s="1">
        <v>42551</v>
      </c>
    </row>
    <row r="2307" spans="1:3">
      <c r="A2307" t="s">
        <v>93</v>
      </c>
      <c r="B2307">
        <v>24.240355069989999</v>
      </c>
      <c r="C2307" s="1">
        <v>42551</v>
      </c>
    </row>
    <row r="2308" spans="1:3">
      <c r="A2308" t="s">
        <v>95</v>
      </c>
      <c r="B2308">
        <v>0.78320245817685996</v>
      </c>
      <c r="C2308" s="1">
        <v>42551</v>
      </c>
    </row>
    <row r="2309" spans="1:3">
      <c r="A2309" t="s">
        <v>97</v>
      </c>
      <c r="B2309">
        <v>10.003414134517</v>
      </c>
      <c r="C2309" s="1">
        <v>42551</v>
      </c>
    </row>
    <row r="2310" spans="1:3">
      <c r="A2310" t="s">
        <v>99</v>
      </c>
      <c r="B2310">
        <v>7.72277227722779</v>
      </c>
      <c r="C2310" s="1">
        <v>42551</v>
      </c>
    </row>
    <row r="2311" spans="1:3">
      <c r="A2311" t="s">
        <v>101</v>
      </c>
      <c r="B2311">
        <v>7.2734721748037501</v>
      </c>
      <c r="C2311" s="1">
        <v>42551</v>
      </c>
    </row>
    <row r="2312" spans="1:3">
      <c r="A2312" t="s">
        <v>103</v>
      </c>
      <c r="B2312">
        <v>0.94912939569819998</v>
      </c>
      <c r="C2312" s="1">
        <v>42551</v>
      </c>
    </row>
    <row r="2313" spans="1:3">
      <c r="A2313" t="s">
        <v>105</v>
      </c>
      <c r="B2313">
        <v>0.54626152270399997</v>
      </c>
      <c r="C2313" s="1">
        <v>42551</v>
      </c>
    </row>
    <row r="2314" spans="1:3">
      <c r="A2314" t="s">
        <v>107</v>
      </c>
      <c r="B2314">
        <v>5.8750426766815202</v>
      </c>
      <c r="C2314" s="1">
        <v>42551</v>
      </c>
    </row>
    <row r="2315" spans="1:3">
      <c r="A2315" t="s">
        <v>109</v>
      </c>
      <c r="B2315">
        <v>3.5827927620348499</v>
      </c>
      <c r="C2315" s="1">
        <v>42551</v>
      </c>
    </row>
    <row r="2316" spans="1:3">
      <c r="A2316" t="s">
        <v>111</v>
      </c>
      <c r="B2316">
        <v>5.6674632980539998</v>
      </c>
      <c r="C2316" s="1">
        <v>42551</v>
      </c>
    </row>
    <row r="2317" spans="1:3">
      <c r="A2317" t="s">
        <v>113</v>
      </c>
      <c r="B2317">
        <v>9.4912939569820001</v>
      </c>
      <c r="C2317" s="1">
        <v>42551</v>
      </c>
    </row>
    <row r="2318" spans="1:3">
      <c r="A2318" t="s">
        <v>115</v>
      </c>
      <c r="B2318">
        <v>5.7371116421987596</v>
      </c>
      <c r="C2318" s="1">
        <v>42551</v>
      </c>
    </row>
    <row r="2319" spans="1:3">
      <c r="A2319" t="s">
        <v>117</v>
      </c>
      <c r="B2319">
        <v>4.8910891089109398</v>
      </c>
      <c r="C2319" s="1">
        <v>42551</v>
      </c>
    </row>
    <row r="2320" spans="1:3">
      <c r="A2320" t="s">
        <v>119</v>
      </c>
      <c r="B2320">
        <v>7.5793786275179897</v>
      </c>
      <c r="C2320" s="1">
        <v>42551</v>
      </c>
    </row>
    <row r="2321" spans="1:3">
      <c r="A2321" t="s">
        <v>121</v>
      </c>
      <c r="B2321">
        <v>17.388869921474999</v>
      </c>
      <c r="C2321" s="1">
        <v>42551</v>
      </c>
    </row>
    <row r="2322" spans="1:3">
      <c r="A2322" t="s">
        <v>123</v>
      </c>
      <c r="B2322">
        <v>4.12154318880168</v>
      </c>
      <c r="C2322" s="1">
        <v>42551</v>
      </c>
    </row>
    <row r="2323" spans="1:3">
      <c r="A2323" t="s">
        <v>125</v>
      </c>
      <c r="B2323">
        <v>152.95254353021599</v>
      </c>
      <c r="C2323" s="1">
        <v>42551</v>
      </c>
    </row>
    <row r="2324" spans="1:3">
      <c r="A2324" t="s">
        <v>127</v>
      </c>
      <c r="B2324">
        <v>9.7589621031069491</v>
      </c>
      <c r="C2324" s="1">
        <v>42551</v>
      </c>
    </row>
    <row r="2325" spans="1:3">
      <c r="A2325" t="s">
        <v>129</v>
      </c>
      <c r="B2325">
        <v>3.06179583475592</v>
      </c>
      <c r="C2325" s="1">
        <v>42551</v>
      </c>
    </row>
    <row r="2326" spans="1:3">
      <c r="A2326" t="s">
        <v>131</v>
      </c>
      <c r="B2326">
        <v>2.99419597132129</v>
      </c>
      <c r="C2326" s="1">
        <v>42551</v>
      </c>
    </row>
    <row r="2327" spans="1:3">
      <c r="A2327" t="s">
        <v>134</v>
      </c>
      <c r="B2327">
        <v>2.6869238648003</v>
      </c>
      <c r="C2327" s="1">
        <v>42551</v>
      </c>
    </row>
    <row r="2328" spans="1:3">
      <c r="A2328" t="s">
        <v>136</v>
      </c>
      <c r="B2328">
        <v>11.3567770570161</v>
      </c>
      <c r="C2328" s="1">
        <v>42551</v>
      </c>
    </row>
    <row r="2329" spans="1:3">
      <c r="A2329" t="s">
        <v>138</v>
      </c>
      <c r="B2329">
        <v>9.4701263229772099</v>
      </c>
      <c r="C2329" s="1">
        <v>42551</v>
      </c>
    </row>
    <row r="2330" spans="1:3">
      <c r="A2330" t="s">
        <v>140</v>
      </c>
      <c r="B2330">
        <v>8.3782861044726005</v>
      </c>
      <c r="C2330" s="1">
        <v>42551</v>
      </c>
    </row>
    <row r="2331" spans="1:3">
      <c r="A2331" t="s">
        <v>142</v>
      </c>
      <c r="B2331">
        <v>6.1556845339706996</v>
      </c>
      <c r="C2331" s="1">
        <v>42551</v>
      </c>
    </row>
    <row r="2332" spans="1:3">
      <c r="A2332" t="s">
        <v>144</v>
      </c>
      <c r="B2332">
        <v>4.27381358825542</v>
      </c>
      <c r="C2332" s="1">
        <v>42551</v>
      </c>
    </row>
    <row r="2333" spans="1:3">
      <c r="A2333" t="s">
        <v>146</v>
      </c>
      <c r="B2333">
        <v>4.6753158074428596</v>
      </c>
      <c r="C2333" s="1">
        <v>42551</v>
      </c>
    </row>
    <row r="2334" spans="1:3">
      <c r="A2334" t="s">
        <v>148</v>
      </c>
      <c r="B2334">
        <v>8.7265278251963991</v>
      </c>
      <c r="C2334" s="1">
        <v>42551</v>
      </c>
    </row>
    <row r="2335" spans="1:3">
      <c r="A2335" t="s">
        <v>150</v>
      </c>
      <c r="B2335">
        <v>5.6674632980539998</v>
      </c>
      <c r="C2335" s="1">
        <v>42551</v>
      </c>
    </row>
    <row r="2336" spans="1:3">
      <c r="A2336" t="s">
        <v>152</v>
      </c>
      <c r="B2336">
        <v>18.271765107545399</v>
      </c>
      <c r="C2336" s="1">
        <v>42551</v>
      </c>
    </row>
    <row r="2337" spans="1:3">
      <c r="A2337" t="s">
        <v>154</v>
      </c>
      <c r="B2337">
        <v>24.7545237282351</v>
      </c>
      <c r="C2337" s="1">
        <v>42551</v>
      </c>
    </row>
    <row r="2338" spans="1:3">
      <c r="A2338" t="s">
        <v>156</v>
      </c>
      <c r="B2338">
        <v>27.119836121543401</v>
      </c>
      <c r="C2338" s="1">
        <v>42551</v>
      </c>
    </row>
    <row r="2339" spans="1:3">
      <c r="A2339" t="s">
        <v>158</v>
      </c>
      <c r="B2339">
        <v>25.078183680437199</v>
      </c>
      <c r="C2339" s="1">
        <v>42551</v>
      </c>
    </row>
    <row r="2340" spans="1:3">
      <c r="A2340" t="s">
        <v>160</v>
      </c>
      <c r="B2340">
        <v>12.7278934790032</v>
      </c>
      <c r="C2340" s="1">
        <v>42551</v>
      </c>
    </row>
    <row r="2341" spans="1:3">
      <c r="A2341" t="s">
        <v>162</v>
      </c>
      <c r="B2341">
        <v>3.2229429839536001</v>
      </c>
      <c r="C2341" s="1">
        <v>42551</v>
      </c>
    </row>
    <row r="2342" spans="1:3">
      <c r="A2342" t="s">
        <v>164</v>
      </c>
      <c r="B2342">
        <v>4.8665073403892496</v>
      </c>
      <c r="C2342" s="1">
        <v>42551</v>
      </c>
    </row>
    <row r="2343" spans="1:3">
      <c r="A2343" t="s">
        <v>166</v>
      </c>
      <c r="B2343">
        <v>4.9948787982246996</v>
      </c>
      <c r="C2343" s="1">
        <v>42551</v>
      </c>
    </row>
    <row r="2344" spans="1:3">
      <c r="A2344" t="s">
        <v>168</v>
      </c>
      <c r="B2344">
        <v>6.2820075110959896</v>
      </c>
      <c r="C2344" s="1">
        <v>42551</v>
      </c>
    </row>
    <row r="2345" spans="1:3">
      <c r="A2345" t="s">
        <v>8</v>
      </c>
      <c r="B2345">
        <v>20.208468585474598</v>
      </c>
      <c r="C2345" s="1">
        <v>42582</v>
      </c>
    </row>
    <row r="2346" spans="1:3">
      <c r="A2346" t="s">
        <v>11</v>
      </c>
      <c r="B2346">
        <v>63.637019404268202</v>
      </c>
      <c r="C2346" s="1">
        <v>42582</v>
      </c>
    </row>
    <row r="2347" spans="1:3">
      <c r="A2347" t="s">
        <v>14</v>
      </c>
      <c r="B2347">
        <v>5.9640770396110803</v>
      </c>
      <c r="C2347" s="1">
        <v>42582</v>
      </c>
    </row>
    <row r="2348" spans="1:3">
      <c r="A2348" t="s">
        <v>17</v>
      </c>
      <c r="B2348">
        <v>6.1162807473224898</v>
      </c>
      <c r="C2348" s="1">
        <v>42582</v>
      </c>
    </row>
    <row r="2349" spans="1:3">
      <c r="A2349" t="s">
        <v>20</v>
      </c>
      <c r="B2349">
        <v>1.4073432878908101</v>
      </c>
      <c r="C2349" s="1">
        <v>42582</v>
      </c>
    </row>
    <row r="2350" spans="1:3">
      <c r="A2350" t="s">
        <v>24</v>
      </c>
      <c r="B2350">
        <v>3.0087282694990098</v>
      </c>
      <c r="C2350" s="1">
        <v>42582</v>
      </c>
    </row>
    <row r="2351" spans="1:3">
      <c r="A2351" t="s">
        <v>27</v>
      </c>
      <c r="B2351">
        <v>11.037293515129299</v>
      </c>
      <c r="C2351" s="1">
        <v>42582</v>
      </c>
    </row>
    <row r="2352" spans="1:3">
      <c r="A2352" t="s">
        <v>29</v>
      </c>
      <c r="B2352">
        <v>2.7230758133202499</v>
      </c>
      <c r="C2352" s="1">
        <v>42582</v>
      </c>
    </row>
    <row r="2353" spans="1:3">
      <c r="A2353" t="s">
        <v>32</v>
      </c>
      <c r="B2353">
        <v>11.6085984274868</v>
      </c>
      <c r="C2353" s="1">
        <v>42582</v>
      </c>
    </row>
    <row r="2354" spans="1:3">
      <c r="A2354" t="s">
        <v>35</v>
      </c>
      <c r="B2354">
        <v>3.4523551900796599</v>
      </c>
      <c r="C2354" s="1">
        <v>42582</v>
      </c>
    </row>
    <row r="2355" spans="1:3">
      <c r="A2355" t="s">
        <v>37</v>
      </c>
      <c r="B2355">
        <v>1.3352088292598101</v>
      </c>
      <c r="C2355" s="1">
        <v>42582</v>
      </c>
    </row>
    <row r="2356" spans="1:3">
      <c r="A2356" t="s">
        <v>39</v>
      </c>
      <c r="B2356">
        <v>1.3777681598521001</v>
      </c>
      <c r="C2356" s="1">
        <v>42582</v>
      </c>
    </row>
    <row r="2357" spans="1:3">
      <c r="A2357" t="s">
        <v>42</v>
      </c>
      <c r="B2357">
        <v>1.4664935439682201</v>
      </c>
      <c r="C2357" s="1">
        <v>42582</v>
      </c>
    </row>
    <row r="2358" spans="1:3">
      <c r="A2358" t="s">
        <v>44</v>
      </c>
      <c r="B2358">
        <v>5.9871600663729998</v>
      </c>
      <c r="C2358" s="1">
        <v>42582</v>
      </c>
    </row>
    <row r="2359" spans="1:3">
      <c r="A2359" t="s">
        <v>47</v>
      </c>
      <c r="B2359">
        <v>12.2563658659932</v>
      </c>
      <c r="C2359" s="1">
        <v>42582</v>
      </c>
    </row>
    <row r="2360" spans="1:3">
      <c r="A2360" t="s">
        <v>49</v>
      </c>
      <c r="B2360">
        <v>14.9376036933074</v>
      </c>
      <c r="C2360" s="1">
        <v>42582</v>
      </c>
    </row>
    <row r="2361" spans="1:3">
      <c r="A2361" t="s">
        <v>51</v>
      </c>
      <c r="B2361">
        <v>1.298420255358</v>
      </c>
      <c r="C2361" s="1">
        <v>42582</v>
      </c>
    </row>
    <row r="2362" spans="1:3">
      <c r="A2362" t="s">
        <v>53</v>
      </c>
      <c r="B2362">
        <v>1.0603765418756901</v>
      </c>
      <c r="C2362" s="1">
        <v>42582</v>
      </c>
    </row>
    <row r="2363" spans="1:3">
      <c r="A2363" t="s">
        <v>55</v>
      </c>
      <c r="B2363">
        <v>5.3213590132088697</v>
      </c>
      <c r="C2363" s="1">
        <v>42582</v>
      </c>
    </row>
    <row r="2364" spans="1:3">
      <c r="A2364" t="s">
        <v>57</v>
      </c>
      <c r="B2364">
        <v>4.6469018250090199</v>
      </c>
      <c r="C2364" s="1">
        <v>42582</v>
      </c>
    </row>
    <row r="2365" spans="1:3">
      <c r="A2365" t="s">
        <v>59</v>
      </c>
      <c r="B2365">
        <v>9.738151915185</v>
      </c>
      <c r="C2365" s="1">
        <v>42582</v>
      </c>
    </row>
    <row r="2366" spans="1:3">
      <c r="A2366" t="s">
        <v>61</v>
      </c>
      <c r="B2366">
        <v>44.3987592873805</v>
      </c>
      <c r="C2366" s="1">
        <v>42582</v>
      </c>
    </row>
    <row r="2367" spans="1:3">
      <c r="A2367" t="s">
        <v>63</v>
      </c>
      <c r="B2367">
        <v>8.7282694943510002</v>
      </c>
      <c r="C2367" s="1">
        <v>42582</v>
      </c>
    </row>
    <row r="2368" spans="1:3">
      <c r="A2368" t="s">
        <v>65</v>
      </c>
      <c r="B2368">
        <v>0.86489215898569005</v>
      </c>
      <c r="C2368" s="1">
        <v>42582</v>
      </c>
    </row>
    <row r="2369" spans="1:3">
      <c r="A2369" t="s">
        <v>67</v>
      </c>
      <c r="B2369">
        <v>9.01608598428869</v>
      </c>
      <c r="C2369" s="1">
        <v>42582</v>
      </c>
    </row>
    <row r="2370" spans="1:3">
      <c r="A2370" t="s">
        <v>69</v>
      </c>
      <c r="B2370">
        <v>6.4394431219893598</v>
      </c>
      <c r="C2370" s="1">
        <v>42582</v>
      </c>
    </row>
    <row r="2371" spans="1:3">
      <c r="A2371" t="s">
        <v>71</v>
      </c>
      <c r="B2371">
        <v>1.10149318329537</v>
      </c>
      <c r="C2371" s="1">
        <v>42582</v>
      </c>
    </row>
    <row r="2372" spans="1:3">
      <c r="A2372" t="s">
        <v>73</v>
      </c>
      <c r="B2372">
        <v>2.3191228449866501</v>
      </c>
      <c r="C2372" s="1">
        <v>42582</v>
      </c>
    </row>
    <row r="2373" spans="1:3">
      <c r="A2373" t="s">
        <v>75</v>
      </c>
      <c r="B2373">
        <v>0.40323162374728999</v>
      </c>
      <c r="C2373" s="1">
        <v>42582</v>
      </c>
    </row>
    <row r="2374" spans="1:3">
      <c r="A2374" t="s">
        <v>77</v>
      </c>
      <c r="B2374">
        <v>1.90074298492685</v>
      </c>
      <c r="C2374" s="1">
        <v>42582</v>
      </c>
    </row>
    <row r="2375" spans="1:3">
      <c r="A2375" t="s">
        <v>79</v>
      </c>
      <c r="B2375">
        <v>9.9257015076256003</v>
      </c>
      <c r="C2375" s="1">
        <v>42582</v>
      </c>
    </row>
    <row r="2376" spans="1:3">
      <c r="A2376" t="s">
        <v>81</v>
      </c>
      <c r="B2376">
        <v>8.6200678064044993</v>
      </c>
      <c r="C2376" s="1">
        <v>42582</v>
      </c>
    </row>
    <row r="2377" spans="1:3">
      <c r="A2377" t="s">
        <v>83</v>
      </c>
      <c r="B2377">
        <v>0.46815263651519001</v>
      </c>
      <c r="C2377" s="1">
        <v>42582</v>
      </c>
    </row>
    <row r="2378" spans="1:3">
      <c r="A2378" t="s">
        <v>85</v>
      </c>
      <c r="B2378">
        <v>9.7323811584945101</v>
      </c>
      <c r="C2378" s="1">
        <v>42582</v>
      </c>
    </row>
    <row r="2379" spans="1:3">
      <c r="A2379" t="s">
        <v>87</v>
      </c>
      <c r="B2379">
        <v>27.050421986625</v>
      </c>
      <c r="C2379" s="1">
        <v>42582</v>
      </c>
    </row>
    <row r="2380" spans="1:3">
      <c r="A2380" t="s">
        <v>89</v>
      </c>
      <c r="B2380">
        <v>9.3053451633990001</v>
      </c>
      <c r="C2380" s="1">
        <v>42582</v>
      </c>
    </row>
    <row r="2381" spans="1:3">
      <c r="A2381" t="s">
        <v>91</v>
      </c>
      <c r="B2381">
        <v>16.807328861022999</v>
      </c>
      <c r="C2381" s="1">
        <v>42582</v>
      </c>
    </row>
    <row r="2382" spans="1:3">
      <c r="A2382" t="s">
        <v>93</v>
      </c>
      <c r="B2382">
        <v>27.194690903887</v>
      </c>
      <c r="C2382" s="1">
        <v>42582</v>
      </c>
    </row>
    <row r="2383" spans="1:3">
      <c r="A2383" t="s">
        <v>95</v>
      </c>
      <c r="B2383">
        <v>0.83387434177436004</v>
      </c>
      <c r="C2383" s="1">
        <v>42582</v>
      </c>
    </row>
    <row r="2384" spans="1:3">
      <c r="A2384" t="s">
        <v>97</v>
      </c>
      <c r="B2384">
        <v>11.894250883665499</v>
      </c>
      <c r="C2384" s="1">
        <v>42582</v>
      </c>
    </row>
    <row r="2385" spans="1:3">
      <c r="A2385" t="s">
        <v>99</v>
      </c>
      <c r="B2385">
        <v>7.9492173411362002</v>
      </c>
      <c r="C2385" s="1">
        <v>42582</v>
      </c>
    </row>
    <row r="2386" spans="1:3">
      <c r="A2386" t="s">
        <v>101</v>
      </c>
      <c r="B2386">
        <v>7.4031594892995196</v>
      </c>
      <c r="C2386" s="1">
        <v>42582</v>
      </c>
    </row>
    <row r="2387" spans="1:3">
      <c r="A2387" t="s">
        <v>103</v>
      </c>
      <c r="B2387">
        <v>1.0106037654203099</v>
      </c>
      <c r="C2387" s="1">
        <v>42582</v>
      </c>
    </row>
    <row r="2388" spans="1:3">
      <c r="A2388" t="s">
        <v>105</v>
      </c>
      <c r="B2388">
        <v>0.56841953401227996</v>
      </c>
      <c r="C2388" s="1">
        <v>42582</v>
      </c>
    </row>
    <row r="2389" spans="1:3">
      <c r="A2389" t="s">
        <v>107</v>
      </c>
      <c r="B2389">
        <v>6.0304407415515904</v>
      </c>
      <c r="C2389" s="1">
        <v>42582</v>
      </c>
    </row>
    <row r="2390" spans="1:3">
      <c r="A2390" t="s">
        <v>109</v>
      </c>
      <c r="B2390">
        <v>4.5163384548869097</v>
      </c>
      <c r="C2390" s="1">
        <v>42582</v>
      </c>
    </row>
    <row r="2391" spans="1:3">
      <c r="A2391" t="s">
        <v>111</v>
      </c>
      <c r="B2391">
        <v>6.8159849960431798</v>
      </c>
      <c r="C2391" s="1">
        <v>42582</v>
      </c>
    </row>
    <row r="2392" spans="1:3">
      <c r="A2392" t="s">
        <v>113</v>
      </c>
      <c r="B2392">
        <v>10.748034336019</v>
      </c>
      <c r="C2392" s="1">
        <v>42582</v>
      </c>
    </row>
    <row r="2393" spans="1:3">
      <c r="A2393" t="s">
        <v>115</v>
      </c>
      <c r="B2393">
        <v>6.4509846353703297</v>
      </c>
      <c r="C2393" s="1">
        <v>42582</v>
      </c>
    </row>
    <row r="2394" spans="1:3">
      <c r="A2394" t="s">
        <v>117</v>
      </c>
      <c r="B2394">
        <v>5.6452427324620604</v>
      </c>
      <c r="C2394" s="1">
        <v>42582</v>
      </c>
    </row>
    <row r="2395" spans="1:3">
      <c r="A2395" t="s">
        <v>119</v>
      </c>
      <c r="B2395">
        <v>9.7749404890868092</v>
      </c>
      <c r="C2395" s="1">
        <v>42582</v>
      </c>
    </row>
    <row r="2396" spans="1:3">
      <c r="A2396" t="s">
        <v>121</v>
      </c>
      <c r="B2396">
        <v>18.769386135786199</v>
      </c>
      <c r="C2396" s="1">
        <v>42582</v>
      </c>
    </row>
    <row r="2397" spans="1:3">
      <c r="A2397" t="s">
        <v>123</v>
      </c>
      <c r="B2397">
        <v>4.7175935944673997</v>
      </c>
      <c r="C2397" s="1">
        <v>42582</v>
      </c>
    </row>
    <row r="2398" spans="1:3">
      <c r="A2398" t="s">
        <v>125</v>
      </c>
      <c r="B2398">
        <v>157.237250234681</v>
      </c>
      <c r="C2398" s="1">
        <v>42582</v>
      </c>
    </row>
    <row r="2399" spans="1:3">
      <c r="A2399" t="s">
        <v>127</v>
      </c>
      <c r="B2399">
        <v>10.1190218567566</v>
      </c>
      <c r="C2399" s="1">
        <v>42582</v>
      </c>
    </row>
    <row r="2400" spans="1:3">
      <c r="A2400" t="s">
        <v>129</v>
      </c>
      <c r="B2400">
        <v>3.50501334488029</v>
      </c>
      <c r="C2400" s="1">
        <v>42582</v>
      </c>
    </row>
    <row r="2401" spans="1:3">
      <c r="A2401" t="s">
        <v>131</v>
      </c>
      <c r="B2401">
        <v>3.6247565462077498</v>
      </c>
      <c r="C2401" s="1">
        <v>42582</v>
      </c>
    </row>
    <row r="2402" spans="1:3">
      <c r="A2402" t="s">
        <v>134</v>
      </c>
      <c r="B2402">
        <v>2.9315443987638399</v>
      </c>
      <c r="C2402" s="1">
        <v>42582</v>
      </c>
    </row>
    <row r="2403" spans="1:3">
      <c r="A2403" t="s">
        <v>136</v>
      </c>
      <c r="B2403">
        <v>14.664935439682299</v>
      </c>
      <c r="C2403" s="1">
        <v>42582</v>
      </c>
    </row>
    <row r="2404" spans="1:3">
      <c r="A2404" t="s">
        <v>138</v>
      </c>
      <c r="B2404">
        <v>11.505446151644501</v>
      </c>
      <c r="C2404" s="1">
        <v>42582</v>
      </c>
    </row>
    <row r="2405" spans="1:3">
      <c r="A2405" t="s">
        <v>140</v>
      </c>
      <c r="B2405">
        <v>8.9634278294880598</v>
      </c>
      <c r="C2405" s="1">
        <v>42582</v>
      </c>
    </row>
    <row r="2406" spans="1:3">
      <c r="A2406" t="s">
        <v>142</v>
      </c>
      <c r="B2406">
        <v>6.0340474644831499</v>
      </c>
      <c r="C2406" s="1">
        <v>42582</v>
      </c>
    </row>
    <row r="2407" spans="1:3">
      <c r="A2407" t="s">
        <v>144</v>
      </c>
      <c r="B2407">
        <v>4.5084036644375001</v>
      </c>
      <c r="C2407" s="1">
        <v>42582</v>
      </c>
    </row>
    <row r="2408" spans="1:3">
      <c r="A2408" t="s">
        <v>146</v>
      </c>
      <c r="B2408">
        <v>5.0941354685212197</v>
      </c>
      <c r="C2408" s="1">
        <v>42582</v>
      </c>
    </row>
    <row r="2409" spans="1:3">
      <c r="A2409" t="s">
        <v>148</v>
      </c>
      <c r="B2409">
        <v>9.9942292433250497</v>
      </c>
      <c r="C2409" s="1">
        <v>42582</v>
      </c>
    </row>
    <row r="2410" spans="1:3">
      <c r="A2410" t="s">
        <v>150</v>
      </c>
      <c r="B2410">
        <v>6.4719036283733198</v>
      </c>
      <c r="C2410" s="1">
        <v>42582</v>
      </c>
    </row>
    <row r="2411" spans="1:3">
      <c r="A2411" t="s">
        <v>152</v>
      </c>
      <c r="B2411">
        <v>21.866118444815001</v>
      </c>
      <c r="C2411" s="1">
        <v>42582</v>
      </c>
    </row>
    <row r="2412" spans="1:3">
      <c r="A2412" t="s">
        <v>154</v>
      </c>
      <c r="B2412">
        <v>28.1223400418816</v>
      </c>
      <c r="C2412" s="1">
        <v>42582</v>
      </c>
    </row>
    <row r="2413" spans="1:3">
      <c r="A2413" t="s">
        <v>156</v>
      </c>
      <c r="B2413">
        <v>26.598860275594902</v>
      </c>
      <c r="C2413" s="1">
        <v>42582</v>
      </c>
    </row>
    <row r="2414" spans="1:3">
      <c r="A2414" t="s">
        <v>158</v>
      </c>
      <c r="B2414">
        <v>31.739161797640001</v>
      </c>
      <c r="C2414" s="1">
        <v>42582</v>
      </c>
    </row>
    <row r="2415" spans="1:3">
      <c r="A2415" t="s">
        <v>160</v>
      </c>
      <c r="B2415">
        <v>14.354757267568999</v>
      </c>
      <c r="C2415" s="1">
        <v>42582</v>
      </c>
    </row>
    <row r="2416" spans="1:3">
      <c r="A2416" t="s">
        <v>162</v>
      </c>
      <c r="B2416">
        <v>4.4002019764910001</v>
      </c>
      <c r="C2416" s="1">
        <v>42582</v>
      </c>
    </row>
    <row r="2417" spans="1:3">
      <c r="A2417" t="s">
        <v>164</v>
      </c>
      <c r="B2417">
        <v>6.18408713843563</v>
      </c>
      <c r="C2417" s="1">
        <v>42582</v>
      </c>
    </row>
    <row r="2418" spans="1:3">
      <c r="A2418" t="s">
        <v>166</v>
      </c>
      <c r="B2418">
        <v>5.94171535743547</v>
      </c>
      <c r="C2418" s="1">
        <v>42582</v>
      </c>
    </row>
    <row r="2419" spans="1:3">
      <c r="A2419" t="s">
        <v>168</v>
      </c>
      <c r="B2419">
        <v>7.1189497222933902</v>
      </c>
      <c r="C2419" s="1">
        <v>42582</v>
      </c>
    </row>
    <row r="2420" spans="1:3">
      <c r="A2420" t="s">
        <v>8</v>
      </c>
      <c r="B2420">
        <v>20.334168130795199</v>
      </c>
      <c r="C2420" s="1">
        <v>42613</v>
      </c>
    </row>
    <row r="2421" spans="1:3">
      <c r="A2421" t="s">
        <v>11</v>
      </c>
      <c r="B2421">
        <v>61.962804511664103</v>
      </c>
      <c r="C2421" s="1">
        <v>42613</v>
      </c>
    </row>
    <row r="2422" spans="1:3">
      <c r="A2422" t="s">
        <v>14</v>
      </c>
      <c r="B2422">
        <v>5.8786949977064999</v>
      </c>
      <c r="C2422" s="1">
        <v>42613</v>
      </c>
    </row>
    <row r="2423" spans="1:3">
      <c r="A2423" t="s">
        <v>17</v>
      </c>
      <c r="B2423">
        <v>5.7876261965859603</v>
      </c>
      <c r="C2423" s="1">
        <v>42613</v>
      </c>
    </row>
    <row r="2424" spans="1:3">
      <c r="A2424" t="s">
        <v>20</v>
      </c>
      <c r="B2424">
        <v>1.2233122538579999</v>
      </c>
      <c r="C2424" s="1">
        <v>42613</v>
      </c>
    </row>
    <row r="2425" spans="1:3">
      <c r="A2425" t="s">
        <v>24</v>
      </c>
      <c r="B2425">
        <v>2.83468633935651</v>
      </c>
      <c r="C2425" s="1">
        <v>42613</v>
      </c>
    </row>
    <row r="2426" spans="1:3">
      <c r="A2426" t="s">
        <v>27</v>
      </c>
      <c r="B2426">
        <v>10.160287886209501</v>
      </c>
      <c r="C2426" s="1">
        <v>42613</v>
      </c>
    </row>
    <row r="2427" spans="1:3">
      <c r="A2427" t="s">
        <v>29</v>
      </c>
      <c r="B2427">
        <v>2.6165289874185</v>
      </c>
      <c r="C2427" s="1">
        <v>42613</v>
      </c>
    </row>
    <row r="2428" spans="1:3">
      <c r="A2428" t="s">
        <v>32</v>
      </c>
      <c r="B2428">
        <v>10.393396832361301</v>
      </c>
      <c r="C2428" s="1">
        <v>42613</v>
      </c>
    </row>
    <row r="2429" spans="1:3">
      <c r="A2429" t="s">
        <v>35</v>
      </c>
      <c r="B2429">
        <v>3.1568252328724502</v>
      </c>
      <c r="C2429" s="1">
        <v>42613</v>
      </c>
    </row>
    <row r="2430" spans="1:3">
      <c r="A2430" t="s">
        <v>37</v>
      </c>
      <c r="B2430">
        <v>1.2946721353330499</v>
      </c>
      <c r="C2430" s="1">
        <v>42613</v>
      </c>
    </row>
    <row r="2431" spans="1:3">
      <c r="A2431" t="s">
        <v>39</v>
      </c>
      <c r="B2431">
        <v>1.5189460485403501</v>
      </c>
      <c r="C2431" s="1">
        <v>42613</v>
      </c>
    </row>
    <row r="2432" spans="1:3">
      <c r="A2432" t="s">
        <v>42</v>
      </c>
      <c r="B2432">
        <v>1.55020847280561</v>
      </c>
      <c r="C2432" s="1">
        <v>42613</v>
      </c>
    </row>
    <row r="2433" spans="1:3">
      <c r="A2433" t="s">
        <v>44</v>
      </c>
      <c r="B2433">
        <v>5.1127656032076301</v>
      </c>
      <c r="C2433" s="1">
        <v>42613</v>
      </c>
    </row>
    <row r="2434" spans="1:3">
      <c r="A2434" t="s">
        <v>47</v>
      </c>
      <c r="B2434">
        <v>10.602039533436001</v>
      </c>
      <c r="C2434" s="1">
        <v>42613</v>
      </c>
    </row>
    <row r="2435" spans="1:3">
      <c r="A2435" t="s">
        <v>49</v>
      </c>
      <c r="B2435">
        <v>13.048664041152</v>
      </c>
      <c r="C2435" s="1">
        <v>42613</v>
      </c>
    </row>
    <row r="2436" spans="1:3">
      <c r="A2436" t="s">
        <v>51</v>
      </c>
      <c r="B2436">
        <v>1.1587485515710501</v>
      </c>
      <c r="C2436" s="1">
        <v>42613</v>
      </c>
    </row>
    <row r="2437" spans="1:3">
      <c r="A2437" t="s">
        <v>53</v>
      </c>
      <c r="B2437">
        <v>0.96165935511614997</v>
      </c>
      <c r="C2437" s="1">
        <v>42613</v>
      </c>
    </row>
    <row r="2438" spans="1:3">
      <c r="A2438" t="s">
        <v>55</v>
      </c>
      <c r="B2438">
        <v>4.7396553657809397</v>
      </c>
      <c r="C2438" s="1">
        <v>42613</v>
      </c>
    </row>
    <row r="2439" spans="1:3">
      <c r="A2439" t="s">
        <v>57</v>
      </c>
      <c r="B2439">
        <v>4.1320769463648004</v>
      </c>
      <c r="C2439" s="1">
        <v>42613</v>
      </c>
    </row>
    <row r="2440" spans="1:3">
      <c r="A2440" t="s">
        <v>59</v>
      </c>
      <c r="B2440">
        <v>8.0194914419579995</v>
      </c>
      <c r="C2440" s="1">
        <v>42613</v>
      </c>
    </row>
    <row r="2441" spans="1:3">
      <c r="A2441" t="s">
        <v>61</v>
      </c>
      <c r="B2441">
        <v>39.593180714032897</v>
      </c>
      <c r="C2441" s="1">
        <v>42613</v>
      </c>
    </row>
    <row r="2442" spans="1:3">
      <c r="A2442" t="s">
        <v>63</v>
      </c>
      <c r="B2442">
        <v>8.8622176612824006</v>
      </c>
      <c r="C2442" s="1">
        <v>42613</v>
      </c>
    </row>
    <row r="2443" spans="1:3">
      <c r="A2443" t="s">
        <v>65</v>
      </c>
      <c r="B2443">
        <v>0.74893894652862003</v>
      </c>
      <c r="C2443" s="1">
        <v>42613</v>
      </c>
    </row>
    <row r="2444" spans="1:3">
      <c r="A2444" t="s">
        <v>67</v>
      </c>
      <c r="B2444">
        <v>8.1445411390190401</v>
      </c>
      <c r="C2444" s="1">
        <v>42613</v>
      </c>
    </row>
    <row r="2445" spans="1:3">
      <c r="A2445" t="s">
        <v>69</v>
      </c>
      <c r="B2445">
        <v>5.1752904517381504</v>
      </c>
      <c r="C2445" s="1">
        <v>42613</v>
      </c>
    </row>
    <row r="2446" spans="1:3">
      <c r="A2446" t="s">
        <v>71</v>
      </c>
      <c r="B2446">
        <v>1.1098160614167201</v>
      </c>
      <c r="C2446" s="1">
        <v>42613</v>
      </c>
    </row>
    <row r="2447" spans="1:3">
      <c r="A2447" t="s">
        <v>73</v>
      </c>
      <c r="B2447">
        <v>2.2325448632908498</v>
      </c>
      <c r="C2447" s="1">
        <v>42613</v>
      </c>
    </row>
    <row r="2448" spans="1:3">
      <c r="A2448" t="s">
        <v>75</v>
      </c>
      <c r="B2448">
        <v>0.35476055361881997</v>
      </c>
      <c r="C2448" s="1">
        <v>42613</v>
      </c>
    </row>
    <row r="2449" spans="1:3">
      <c r="A2449" t="s">
        <v>77</v>
      </c>
      <c r="B2449">
        <v>1.72826836753383</v>
      </c>
      <c r="C2449" s="1">
        <v>42613</v>
      </c>
    </row>
    <row r="2450" spans="1:3">
      <c r="A2450" t="s">
        <v>79</v>
      </c>
      <c r="B2450">
        <v>10.330192365912</v>
      </c>
      <c r="C2450" s="1">
        <v>42613</v>
      </c>
    </row>
    <row r="2451" spans="1:3">
      <c r="A2451" t="s">
        <v>81</v>
      </c>
      <c r="B2451">
        <v>10.1093165422987</v>
      </c>
      <c r="C2451" s="1">
        <v>42613</v>
      </c>
    </row>
    <row r="2452" spans="1:3">
      <c r="A2452" t="s">
        <v>83</v>
      </c>
      <c r="B2452">
        <v>0.5097134391075</v>
      </c>
      <c r="C2452" s="1">
        <v>42613</v>
      </c>
    </row>
    <row r="2453" spans="1:3">
      <c r="A2453" t="s">
        <v>85</v>
      </c>
      <c r="B2453">
        <v>8.73716796422136</v>
      </c>
      <c r="C2453" s="1">
        <v>42613</v>
      </c>
    </row>
    <row r="2454" spans="1:3">
      <c r="A2454" t="s">
        <v>87</v>
      </c>
      <c r="B2454">
        <v>23.922550742112001</v>
      </c>
      <c r="C2454" s="1">
        <v>42613</v>
      </c>
    </row>
    <row r="2455" spans="1:3">
      <c r="A2455" t="s">
        <v>89</v>
      </c>
      <c r="B2455">
        <v>8.9947431554503492</v>
      </c>
      <c r="C2455" s="1">
        <v>42613</v>
      </c>
    </row>
    <row r="2456" spans="1:3">
      <c r="A2456" t="s">
        <v>91</v>
      </c>
      <c r="B2456">
        <v>15.087517797582001</v>
      </c>
      <c r="C2456" s="1">
        <v>42613</v>
      </c>
    </row>
    <row r="2457" spans="1:3">
      <c r="A2457" t="s">
        <v>93</v>
      </c>
      <c r="B2457">
        <v>26.522089281560199</v>
      </c>
      <c r="C2457" s="1">
        <v>42613</v>
      </c>
    </row>
    <row r="2458" spans="1:3">
      <c r="A2458" t="s">
        <v>95</v>
      </c>
      <c r="B2458">
        <v>0.77816251703744999</v>
      </c>
      <c r="C2458" s="1">
        <v>42613</v>
      </c>
    </row>
    <row r="2459" spans="1:3">
      <c r="A2459" t="s">
        <v>97</v>
      </c>
      <c r="B2459">
        <v>11.737681075767499</v>
      </c>
      <c r="C2459" s="1">
        <v>42613</v>
      </c>
    </row>
    <row r="2460" spans="1:3">
      <c r="A2460" t="s">
        <v>99</v>
      </c>
      <c r="B2460">
        <v>7.8835678581959998</v>
      </c>
      <c r="C2460" s="1">
        <v>42613</v>
      </c>
    </row>
    <row r="2461" spans="1:3">
      <c r="A2461" t="s">
        <v>101</v>
      </c>
      <c r="B2461">
        <v>7.0000645637429999</v>
      </c>
      <c r="C2461" s="1">
        <v>42613</v>
      </c>
    </row>
    <row r="2462" spans="1:3">
      <c r="A2462" t="s">
        <v>103</v>
      </c>
      <c r="B2462">
        <v>0.95078546841518996</v>
      </c>
      <c r="C2462" s="1">
        <v>42613</v>
      </c>
    </row>
    <row r="2463" spans="1:3">
      <c r="A2463" t="s">
        <v>105</v>
      </c>
      <c r="B2463">
        <v>0.40369304377314003</v>
      </c>
      <c r="C2463" s="1">
        <v>42613</v>
      </c>
    </row>
    <row r="2464" spans="1:3">
      <c r="A2464" t="s">
        <v>107</v>
      </c>
      <c r="B2464">
        <v>6.3890880547328104</v>
      </c>
      <c r="C2464" s="1">
        <v>42613</v>
      </c>
    </row>
    <row r="2465" spans="1:3">
      <c r="A2465" t="s">
        <v>109</v>
      </c>
      <c r="B2465">
        <v>3.5639163662396398</v>
      </c>
      <c r="C2465" s="1">
        <v>42613</v>
      </c>
    </row>
    <row r="2466" spans="1:3">
      <c r="A2466" t="s">
        <v>111</v>
      </c>
      <c r="B2466">
        <v>7.0007441816618101</v>
      </c>
      <c r="C2466" s="1">
        <v>42613</v>
      </c>
    </row>
    <row r="2467" spans="1:3">
      <c r="A2467" t="s">
        <v>113</v>
      </c>
      <c r="B2467">
        <v>8.8832858167655093</v>
      </c>
      <c r="C2467" s="1">
        <v>42613</v>
      </c>
    </row>
    <row r="2468" spans="1:3">
      <c r="A2468" t="s">
        <v>115</v>
      </c>
      <c r="B2468">
        <v>5.4804388972838396</v>
      </c>
      <c r="C2468" s="1">
        <v>42613</v>
      </c>
    </row>
    <row r="2469" spans="1:3">
      <c r="A2469" t="s">
        <v>117</v>
      </c>
      <c r="B2469">
        <v>5.0081044437108897</v>
      </c>
      <c r="C2469" s="1">
        <v>42613</v>
      </c>
    </row>
    <row r="2470" spans="1:3">
      <c r="A2470" t="s">
        <v>119</v>
      </c>
      <c r="B2470">
        <v>9.0966858432718496</v>
      </c>
      <c r="C2470" s="1">
        <v>42613</v>
      </c>
    </row>
    <row r="2471" spans="1:3">
      <c r="A2471" t="s">
        <v>121</v>
      </c>
      <c r="B2471">
        <v>17.106662634366501</v>
      </c>
      <c r="C2471" s="1">
        <v>42613</v>
      </c>
    </row>
    <row r="2472" spans="1:3">
      <c r="A2472" t="s">
        <v>123</v>
      </c>
      <c r="B2472">
        <v>4.2462527567248802</v>
      </c>
      <c r="C2472" s="1">
        <v>42613</v>
      </c>
    </row>
    <row r="2473" spans="1:3">
      <c r="A2473" t="s">
        <v>125</v>
      </c>
      <c r="B2473">
        <v>163.51607126568601</v>
      </c>
      <c r="C2473" s="1">
        <v>42613</v>
      </c>
    </row>
    <row r="2474" spans="1:3">
      <c r="A2474" t="s">
        <v>127</v>
      </c>
      <c r="B2474">
        <v>8.1690073840962008</v>
      </c>
      <c r="C2474" s="1">
        <v>42613</v>
      </c>
    </row>
    <row r="2475" spans="1:3">
      <c r="A2475" t="s">
        <v>129</v>
      </c>
      <c r="B2475">
        <v>2.9950761681956699</v>
      </c>
      <c r="C2475" s="1">
        <v>42613</v>
      </c>
    </row>
    <row r="2476" spans="1:3">
      <c r="A2476" t="s">
        <v>131</v>
      </c>
      <c r="B2476">
        <v>3.39808959405</v>
      </c>
      <c r="C2476" s="1">
        <v>42613</v>
      </c>
    </row>
    <row r="2477" spans="1:3">
      <c r="A2477" t="s">
        <v>134</v>
      </c>
      <c r="B2477">
        <v>2.7531321890993099</v>
      </c>
      <c r="C2477" s="1">
        <v>42613</v>
      </c>
    </row>
    <row r="2478" spans="1:3">
      <c r="A2478" t="s">
        <v>136</v>
      </c>
      <c r="B2478">
        <v>12.8107977695685</v>
      </c>
      <c r="C2478" s="1">
        <v>42613</v>
      </c>
    </row>
    <row r="2479" spans="1:3">
      <c r="A2479" t="s">
        <v>138</v>
      </c>
      <c r="B2479">
        <v>10.330192365912</v>
      </c>
      <c r="C2479" s="1">
        <v>42613</v>
      </c>
    </row>
    <row r="2480" spans="1:3">
      <c r="A2480" t="s">
        <v>140</v>
      </c>
      <c r="B2480">
        <v>8.2301729967891006</v>
      </c>
      <c r="C2480" s="1">
        <v>42613</v>
      </c>
    </row>
    <row r="2481" spans="1:3">
      <c r="A2481" t="s">
        <v>142</v>
      </c>
      <c r="B2481">
        <v>5.8338402150650399</v>
      </c>
      <c r="C2481" s="1">
        <v>42613</v>
      </c>
    </row>
    <row r="2482" spans="1:3">
      <c r="A2482" t="s">
        <v>144</v>
      </c>
      <c r="B2482">
        <v>4.1347954180400404</v>
      </c>
      <c r="C2482" s="1">
        <v>42613</v>
      </c>
    </row>
    <row r="2483" spans="1:3">
      <c r="A2483" t="s">
        <v>146</v>
      </c>
      <c r="B2483">
        <v>4.9211133501032096</v>
      </c>
      <c r="C2483" s="1">
        <v>42613</v>
      </c>
    </row>
    <row r="2484" spans="1:3">
      <c r="A2484" t="s">
        <v>148</v>
      </c>
      <c r="B2484">
        <v>9.0484329710363394</v>
      </c>
      <c r="C2484" s="1">
        <v>42613</v>
      </c>
    </row>
    <row r="2485" spans="1:3">
      <c r="A2485" t="s">
        <v>150</v>
      </c>
      <c r="B2485">
        <v>6.0485994774089997</v>
      </c>
      <c r="C2485" s="1">
        <v>42613</v>
      </c>
    </row>
    <row r="2486" spans="1:3">
      <c r="A2486" t="s">
        <v>152</v>
      </c>
      <c r="B2486">
        <v>16.295878457226099</v>
      </c>
      <c r="C2486" s="1">
        <v>42613</v>
      </c>
    </row>
    <row r="2487" spans="1:3">
      <c r="A2487" t="s">
        <v>154</v>
      </c>
      <c r="B2487">
        <v>25.928782838439101</v>
      </c>
      <c r="C2487" s="1">
        <v>42613</v>
      </c>
    </row>
    <row r="2488" spans="1:3">
      <c r="A2488" t="s">
        <v>156</v>
      </c>
      <c r="B2488">
        <v>25.156736882670899</v>
      </c>
      <c r="C2488" s="1">
        <v>42613</v>
      </c>
    </row>
    <row r="2489" spans="1:3">
      <c r="A2489" t="s">
        <v>158</v>
      </c>
      <c r="B2489">
        <v>26.865975948478098</v>
      </c>
      <c r="C2489" s="1">
        <v>42613</v>
      </c>
    </row>
    <row r="2490" spans="1:3">
      <c r="A2490" t="s">
        <v>160</v>
      </c>
      <c r="B2490">
        <v>14.035469259264101</v>
      </c>
      <c r="C2490" s="1">
        <v>42613</v>
      </c>
    </row>
    <row r="2491" spans="1:3">
      <c r="A2491" t="s">
        <v>162</v>
      </c>
      <c r="B2491">
        <v>3.83712276960126</v>
      </c>
      <c r="C2491" s="1">
        <v>42613</v>
      </c>
    </row>
    <row r="2492" spans="1:3">
      <c r="A2492" t="s">
        <v>164</v>
      </c>
      <c r="B2492">
        <v>5.1046101881819101</v>
      </c>
      <c r="C2492" s="1">
        <v>42613</v>
      </c>
    </row>
    <row r="2493" spans="1:3">
      <c r="A2493" t="s">
        <v>166</v>
      </c>
      <c r="B2493">
        <v>5.6544210844991998</v>
      </c>
      <c r="C2493" s="1">
        <v>42613</v>
      </c>
    </row>
    <row r="2494" spans="1:3">
      <c r="A2494" t="s">
        <v>168</v>
      </c>
      <c r="B2494">
        <v>5.9344236670489199</v>
      </c>
      <c r="C2494" s="1">
        <v>42613</v>
      </c>
    </row>
    <row r="2495" spans="1:3">
      <c r="A2495" t="s">
        <v>8</v>
      </c>
      <c r="B2495">
        <v>20.979910917182998</v>
      </c>
      <c r="C2495" s="1">
        <v>42643</v>
      </c>
    </row>
    <row r="2496" spans="1:3">
      <c r="A2496" t="s">
        <v>11</v>
      </c>
      <c r="B2496">
        <v>63.818925552203197</v>
      </c>
      <c r="C2496" s="1">
        <v>42643</v>
      </c>
    </row>
    <row r="2497" spans="1:3">
      <c r="A2497" t="s">
        <v>14</v>
      </c>
      <c r="B2497">
        <v>6.0939914553204</v>
      </c>
      <c r="C2497" s="1">
        <v>42643</v>
      </c>
    </row>
    <row r="2498" spans="1:3">
      <c r="A2498" t="s">
        <v>17</v>
      </c>
      <c r="B2498">
        <v>6.0590855376765598</v>
      </c>
      <c r="C2498" s="1">
        <v>42643</v>
      </c>
    </row>
    <row r="2499" spans="1:3">
      <c r="A2499" t="s">
        <v>20</v>
      </c>
      <c r="B2499">
        <v>1.25370420870792</v>
      </c>
      <c r="C2499" s="1">
        <v>42643</v>
      </c>
    </row>
    <row r="2500" spans="1:3">
      <c r="A2500" t="s">
        <v>24</v>
      </c>
      <c r="B2500">
        <v>3.2142532497035998</v>
      </c>
      <c r="C2500" s="1">
        <v>42643</v>
      </c>
    </row>
    <row r="2501" spans="1:3">
      <c r="A2501" t="s">
        <v>27</v>
      </c>
      <c r="B2501">
        <v>12.4650486319387</v>
      </c>
      <c r="C2501" s="1">
        <v>42643</v>
      </c>
    </row>
    <row r="2502" spans="1:3">
      <c r="A2502" t="s">
        <v>29</v>
      </c>
      <c r="B2502">
        <v>2.7539314607754499</v>
      </c>
      <c r="C2502" s="1">
        <v>42643</v>
      </c>
    </row>
    <row r="2503" spans="1:3">
      <c r="A2503" t="s">
        <v>32</v>
      </c>
      <c r="B2503">
        <v>11.209162803378099</v>
      </c>
      <c r="C2503" s="1">
        <v>42643</v>
      </c>
    </row>
    <row r="2504" spans="1:3">
      <c r="A2504" t="s">
        <v>35</v>
      </c>
      <c r="B2504">
        <v>3.3524225070438001</v>
      </c>
      <c r="C2504" s="1">
        <v>42643</v>
      </c>
    </row>
    <row r="2505" spans="1:3">
      <c r="A2505" t="s">
        <v>37</v>
      </c>
      <c r="B2505">
        <v>1.381692573402</v>
      </c>
      <c r="C2505" s="1">
        <v>42643</v>
      </c>
    </row>
    <row r="2506" spans="1:3">
      <c r="A2506" t="s">
        <v>39</v>
      </c>
      <c r="B2506">
        <v>1.78456503954132</v>
      </c>
      <c r="C2506" s="1">
        <v>42643</v>
      </c>
    </row>
    <row r="2507" spans="1:3">
      <c r="A2507" t="s">
        <v>42</v>
      </c>
      <c r="B2507">
        <v>1.9263703299694199</v>
      </c>
      <c r="C2507" s="1">
        <v>42643</v>
      </c>
    </row>
    <row r="2508" spans="1:3">
      <c r="A2508" t="s">
        <v>44</v>
      </c>
      <c r="B2508">
        <v>6.1528951913443803</v>
      </c>
      <c r="C2508" s="1">
        <v>42643</v>
      </c>
    </row>
    <row r="2509" spans="1:3">
      <c r="A2509" t="s">
        <v>47</v>
      </c>
      <c r="B2509">
        <v>11.635305881280001</v>
      </c>
      <c r="C2509" s="1">
        <v>42643</v>
      </c>
    </row>
    <row r="2510" spans="1:3">
      <c r="A2510" t="s">
        <v>49</v>
      </c>
      <c r="B2510">
        <v>13.9783656031227</v>
      </c>
      <c r="C2510" s="1">
        <v>42643</v>
      </c>
    </row>
    <row r="2511" spans="1:3">
      <c r="A2511" t="s">
        <v>51</v>
      </c>
      <c r="B2511">
        <v>1.3598763748745999</v>
      </c>
      <c r="C2511" s="1">
        <v>42643</v>
      </c>
    </row>
    <row r="2512" spans="1:3">
      <c r="A2512" t="s">
        <v>53</v>
      </c>
      <c r="B2512">
        <v>1.0653576947547001</v>
      </c>
      <c r="C2512" s="1">
        <v>42643</v>
      </c>
    </row>
    <row r="2513" spans="1:3">
      <c r="A2513" t="s">
        <v>55</v>
      </c>
      <c r="B2513">
        <v>5.1078992818819096</v>
      </c>
      <c r="C2513" s="1">
        <v>42643</v>
      </c>
    </row>
    <row r="2514" spans="1:3">
      <c r="A2514" t="s">
        <v>57</v>
      </c>
      <c r="B2514">
        <v>4.3988728297414204</v>
      </c>
      <c r="C2514" s="1">
        <v>42643</v>
      </c>
    </row>
    <row r="2515" spans="1:3">
      <c r="A2515" t="s">
        <v>59</v>
      </c>
      <c r="B2515">
        <v>8.3366966639371203</v>
      </c>
      <c r="C2515" s="1">
        <v>42643</v>
      </c>
    </row>
    <row r="2516" spans="1:3">
      <c r="A2516" t="s">
        <v>61</v>
      </c>
      <c r="B2516">
        <v>46.713571493486398</v>
      </c>
      <c r="C2516" s="1">
        <v>42643</v>
      </c>
    </row>
    <row r="2517" spans="1:3">
      <c r="A2517" t="s">
        <v>63</v>
      </c>
      <c r="B2517">
        <v>8.5628579220045005</v>
      </c>
      <c r="C2517" s="1">
        <v>42643</v>
      </c>
    </row>
    <row r="2518" spans="1:3">
      <c r="A2518" t="s">
        <v>65</v>
      </c>
      <c r="B2518">
        <v>0.83119716389394005</v>
      </c>
      <c r="C2518" s="1">
        <v>42643</v>
      </c>
    </row>
    <row r="2519" spans="1:3">
      <c r="A2519" t="s">
        <v>67</v>
      </c>
      <c r="B2519">
        <v>8.2174347786540007</v>
      </c>
      <c r="C2519" s="1">
        <v>42643</v>
      </c>
    </row>
    <row r="2520" spans="1:3">
      <c r="A2520" t="s">
        <v>69</v>
      </c>
      <c r="B2520">
        <v>5.163166984818</v>
      </c>
      <c r="C2520" s="1">
        <v>42643</v>
      </c>
    </row>
    <row r="2521" spans="1:3">
      <c r="A2521" t="s">
        <v>71</v>
      </c>
      <c r="B2521">
        <v>1.2035269520948999</v>
      </c>
      <c r="C2521" s="1">
        <v>42643</v>
      </c>
    </row>
    <row r="2522" spans="1:3">
      <c r="A2522" t="s">
        <v>73</v>
      </c>
      <c r="B2522">
        <v>2.4455958549215402</v>
      </c>
      <c r="C2522" s="1">
        <v>42643</v>
      </c>
    </row>
    <row r="2523" spans="1:3">
      <c r="A2523" t="s">
        <v>75</v>
      </c>
      <c r="B2523">
        <v>0.3963276065811</v>
      </c>
      <c r="C2523" s="1">
        <v>42643</v>
      </c>
    </row>
    <row r="2524" spans="1:3">
      <c r="A2524" t="s">
        <v>77</v>
      </c>
      <c r="B2524">
        <v>1.84055994909498</v>
      </c>
      <c r="C2524" s="1">
        <v>42643</v>
      </c>
    </row>
    <row r="2525" spans="1:3">
      <c r="A2525" t="s">
        <v>79</v>
      </c>
      <c r="B2525">
        <v>11.99890919007</v>
      </c>
      <c r="C2525" s="1">
        <v>42643</v>
      </c>
    </row>
    <row r="2526" spans="1:3">
      <c r="A2526" t="s">
        <v>81</v>
      </c>
      <c r="B2526">
        <v>11.206253976907799</v>
      </c>
      <c r="C2526" s="1">
        <v>42643</v>
      </c>
    </row>
    <row r="2527" spans="1:3">
      <c r="A2527" t="s">
        <v>83</v>
      </c>
      <c r="B2527">
        <v>0.54395054994984005</v>
      </c>
      <c r="C2527" s="1">
        <v>42643</v>
      </c>
    </row>
    <row r="2528" spans="1:3">
      <c r="A2528" t="s">
        <v>85</v>
      </c>
      <c r="B2528">
        <v>8.7868375602191406</v>
      </c>
      <c r="C2528" s="1">
        <v>42643</v>
      </c>
    </row>
    <row r="2529" spans="1:3">
      <c r="A2529" t="s">
        <v>87</v>
      </c>
      <c r="B2529">
        <v>22.543405144979999</v>
      </c>
      <c r="C2529" s="1">
        <v>42643</v>
      </c>
    </row>
    <row r="2530" spans="1:3">
      <c r="A2530" t="s">
        <v>89</v>
      </c>
      <c r="B2530">
        <v>9.2275247704726198</v>
      </c>
      <c r="C2530" s="1">
        <v>42643</v>
      </c>
    </row>
    <row r="2531" spans="1:3">
      <c r="A2531" t="s">
        <v>91</v>
      </c>
      <c r="B2531">
        <v>16.289428233792002</v>
      </c>
      <c r="C2531" s="1">
        <v>42643</v>
      </c>
    </row>
    <row r="2532" spans="1:3">
      <c r="A2532" t="s">
        <v>93</v>
      </c>
      <c r="B2532">
        <v>30.688119261876</v>
      </c>
      <c r="C2532" s="1">
        <v>42643</v>
      </c>
    </row>
    <row r="2533" spans="1:3">
      <c r="A2533" t="s">
        <v>95</v>
      </c>
      <c r="B2533">
        <v>0.83774202345215998</v>
      </c>
      <c r="C2533" s="1">
        <v>42643</v>
      </c>
    </row>
    <row r="2534" spans="1:3">
      <c r="A2534" t="s">
        <v>97</v>
      </c>
      <c r="B2534">
        <v>12.2912462503371</v>
      </c>
      <c r="C2534" s="1">
        <v>42643</v>
      </c>
    </row>
    <row r="2535" spans="1:3">
      <c r="A2535" t="s">
        <v>99</v>
      </c>
      <c r="B2535">
        <v>8.2916098536471594</v>
      </c>
      <c r="C2535" s="1">
        <v>42643</v>
      </c>
    </row>
    <row r="2536" spans="1:3">
      <c r="A2536" t="s">
        <v>101</v>
      </c>
      <c r="B2536">
        <v>7.4684119625466003</v>
      </c>
      <c r="C2536" s="1">
        <v>42643</v>
      </c>
    </row>
    <row r="2537" spans="1:3">
      <c r="A2537" t="s">
        <v>103</v>
      </c>
      <c r="B2537">
        <v>1.0617216616667999</v>
      </c>
      <c r="C2537" s="1">
        <v>42643</v>
      </c>
    </row>
    <row r="2538" spans="1:3">
      <c r="A2538" t="s">
        <v>105</v>
      </c>
      <c r="B2538">
        <v>0.39050995364045998</v>
      </c>
      <c r="C2538" s="1">
        <v>42643</v>
      </c>
    </row>
    <row r="2539" spans="1:3">
      <c r="A2539" t="s">
        <v>107</v>
      </c>
      <c r="B2539">
        <v>6.2976093082427997</v>
      </c>
      <c r="C2539" s="1">
        <v>42643</v>
      </c>
    </row>
    <row r="2540" spans="1:3">
      <c r="A2540" t="s">
        <v>109</v>
      </c>
      <c r="B2540">
        <v>3.5269520952629998</v>
      </c>
      <c r="C2540" s="1">
        <v>42643</v>
      </c>
    </row>
    <row r="2541" spans="1:3">
      <c r="A2541" t="s">
        <v>111</v>
      </c>
      <c r="B2541">
        <v>7.5484046904803996</v>
      </c>
      <c r="C2541" s="1">
        <v>42643</v>
      </c>
    </row>
    <row r="2542" spans="1:3">
      <c r="A2542" t="s">
        <v>113</v>
      </c>
      <c r="B2542">
        <v>10.144532315240999</v>
      </c>
      <c r="C2542" s="1">
        <v>42643</v>
      </c>
    </row>
    <row r="2543" spans="1:3">
      <c r="A2543" t="s">
        <v>115</v>
      </c>
      <c r="B2543">
        <v>5.6205799472758198</v>
      </c>
      <c r="C2543" s="1">
        <v>42643</v>
      </c>
    </row>
    <row r="2544" spans="1:3">
      <c r="A2544" t="s">
        <v>117</v>
      </c>
      <c r="B2544">
        <v>4.9871829833636401</v>
      </c>
      <c r="C2544" s="1">
        <v>42643</v>
      </c>
    </row>
    <row r="2545" spans="1:3">
      <c r="A2545" t="s">
        <v>119</v>
      </c>
      <c r="B2545">
        <v>9.0129988182865208</v>
      </c>
      <c r="C2545" s="1">
        <v>42643</v>
      </c>
    </row>
    <row r="2546" spans="1:3">
      <c r="A2546" t="s">
        <v>121</v>
      </c>
      <c r="B2546">
        <v>16.6937551131664</v>
      </c>
      <c r="C2546" s="1">
        <v>42643</v>
      </c>
    </row>
    <row r="2547" spans="1:3">
      <c r="A2547" t="s">
        <v>123</v>
      </c>
      <c r="B2547">
        <v>4.6395782201604003</v>
      </c>
      <c r="C2547" s="1">
        <v>42643</v>
      </c>
    </row>
    <row r="2548" spans="1:3">
      <c r="A2548" t="s">
        <v>125</v>
      </c>
      <c r="B2548">
        <v>172.72757022083599</v>
      </c>
      <c r="C2548" s="1">
        <v>42643</v>
      </c>
    </row>
    <row r="2549" spans="1:3">
      <c r="A2549" t="s">
        <v>127</v>
      </c>
      <c r="B2549">
        <v>8.5417689300946797</v>
      </c>
      <c r="C2549" s="1">
        <v>42643</v>
      </c>
    </row>
    <row r="2550" spans="1:3">
      <c r="A2550" t="s">
        <v>129</v>
      </c>
      <c r="B2550">
        <v>3.4542314335049999</v>
      </c>
      <c r="C2550" s="1">
        <v>42643</v>
      </c>
    </row>
    <row r="2551" spans="1:3">
      <c r="A2551" t="s">
        <v>131</v>
      </c>
      <c r="B2551">
        <v>3.5269520952629998</v>
      </c>
      <c r="C2551" s="1">
        <v>42643</v>
      </c>
    </row>
    <row r="2552" spans="1:3">
      <c r="A2552" t="s">
        <v>134</v>
      </c>
      <c r="B2552">
        <v>3.0884465048622598</v>
      </c>
      <c r="C2552" s="1">
        <v>42643</v>
      </c>
    </row>
    <row r="2553" spans="1:3">
      <c r="A2553" t="s">
        <v>136</v>
      </c>
      <c r="B2553">
        <v>13.9180074538636</v>
      </c>
      <c r="C2553" s="1">
        <v>42643</v>
      </c>
    </row>
    <row r="2554" spans="1:3">
      <c r="A2554" t="s">
        <v>138</v>
      </c>
      <c r="B2554">
        <v>11.750204526857599</v>
      </c>
      <c r="C2554" s="1">
        <v>42643</v>
      </c>
    </row>
    <row r="2555" spans="1:3">
      <c r="A2555" t="s">
        <v>140</v>
      </c>
      <c r="B2555">
        <v>9.2449777292945399</v>
      </c>
      <c r="C2555" s="1">
        <v>42643</v>
      </c>
    </row>
    <row r="2556" spans="1:3">
      <c r="A2556" t="s">
        <v>142</v>
      </c>
      <c r="B2556">
        <v>6.1354422325224602</v>
      </c>
      <c r="C2556" s="1">
        <v>42643</v>
      </c>
    </row>
    <row r="2557" spans="1:3">
      <c r="A2557" t="s">
        <v>144</v>
      </c>
      <c r="B2557">
        <v>4.4432324334138</v>
      </c>
      <c r="C2557" s="1">
        <v>42643</v>
      </c>
    </row>
    <row r="2558" spans="1:3">
      <c r="A2558" t="s">
        <v>146</v>
      </c>
      <c r="B2558">
        <v>5.163166984818</v>
      </c>
      <c r="C2558" s="1">
        <v>42643</v>
      </c>
    </row>
    <row r="2559" spans="1:3">
      <c r="A2559" t="s">
        <v>148</v>
      </c>
      <c r="B2559">
        <v>10.2296154894978</v>
      </c>
      <c r="C2559" s="1">
        <v>42643</v>
      </c>
    </row>
    <row r="2560" spans="1:3">
      <c r="A2560" t="s">
        <v>150</v>
      </c>
      <c r="B2560">
        <v>6.8321061721641003</v>
      </c>
      <c r="C2560" s="1">
        <v>42643</v>
      </c>
    </row>
    <row r="2561" spans="1:3">
      <c r="A2561" t="s">
        <v>152</v>
      </c>
      <c r="B2561">
        <v>16.125079538218898</v>
      </c>
      <c r="C2561" s="1">
        <v>42643</v>
      </c>
    </row>
    <row r="2562" spans="1:3">
      <c r="A2562" t="s">
        <v>154</v>
      </c>
      <c r="B2562">
        <v>27.651304426861898</v>
      </c>
      <c r="C2562" s="1">
        <v>42643</v>
      </c>
    </row>
    <row r="2563" spans="1:3">
      <c r="A2563" t="s">
        <v>156</v>
      </c>
      <c r="B2563">
        <v>27.342968821008</v>
      </c>
      <c r="C2563" s="1">
        <v>42643</v>
      </c>
    </row>
    <row r="2564" spans="1:3">
      <c r="A2564" t="s">
        <v>158</v>
      </c>
      <c r="B2564">
        <v>28.1021725297615</v>
      </c>
      <c r="C2564" s="1">
        <v>42643</v>
      </c>
    </row>
    <row r="2565" spans="1:3">
      <c r="A2565" t="s">
        <v>160</v>
      </c>
      <c r="B2565">
        <v>16.169439141891299</v>
      </c>
      <c r="C2565" s="1">
        <v>42643</v>
      </c>
    </row>
    <row r="2566" spans="1:3">
      <c r="A2566" t="s">
        <v>162</v>
      </c>
      <c r="B2566">
        <v>5.0540859921810002</v>
      </c>
      <c r="C2566" s="1">
        <v>42643</v>
      </c>
    </row>
    <row r="2567" spans="1:3">
      <c r="A2567" t="s">
        <v>164</v>
      </c>
      <c r="B2567">
        <v>4.8722843377859997</v>
      </c>
      <c r="C2567" s="1">
        <v>42643</v>
      </c>
    </row>
    <row r="2568" spans="1:3">
      <c r="A2568" t="s">
        <v>166</v>
      </c>
      <c r="B2568">
        <v>6.05544950458866</v>
      </c>
      <c r="C2568" s="1">
        <v>42643</v>
      </c>
    </row>
    <row r="2569" spans="1:3">
      <c r="A2569" t="s">
        <v>168</v>
      </c>
      <c r="B2569">
        <v>5.9900009090064597</v>
      </c>
      <c r="C2569" s="1">
        <v>42643</v>
      </c>
    </row>
    <row r="2570" spans="1:3">
      <c r="A2570" t="s">
        <v>8</v>
      </c>
      <c r="B2570">
        <v>19.525310587692001</v>
      </c>
      <c r="C2570" s="1">
        <v>42674</v>
      </c>
    </row>
    <row r="2571" spans="1:3">
      <c r="A2571" t="s">
        <v>11</v>
      </c>
      <c r="B2571">
        <v>57.305395883238702</v>
      </c>
      <c r="C2571" s="1">
        <v>42674</v>
      </c>
    </row>
    <row r="2572" spans="1:3">
      <c r="A2572" t="s">
        <v>14</v>
      </c>
      <c r="B2572">
        <v>6.2377155571695999</v>
      </c>
      <c r="C2572" s="1">
        <v>42674</v>
      </c>
    </row>
    <row r="2573" spans="1:3">
      <c r="A2573" t="s">
        <v>17</v>
      </c>
      <c r="B2573">
        <v>6.4439087705932696</v>
      </c>
      <c r="C2573" s="1">
        <v>42674</v>
      </c>
    </row>
    <row r="2574" spans="1:3">
      <c r="A2574" t="s">
        <v>20</v>
      </c>
      <c r="B2574">
        <v>1.2683107732176</v>
      </c>
      <c r="C2574" s="1">
        <v>42674</v>
      </c>
    </row>
    <row r="2575" spans="1:3">
      <c r="A2575" t="s">
        <v>24</v>
      </c>
      <c r="B2575">
        <v>3.6788429445376001</v>
      </c>
      <c r="C2575" s="1">
        <v>42674</v>
      </c>
    </row>
    <row r="2576" spans="1:3">
      <c r="A2576" t="s">
        <v>27</v>
      </c>
      <c r="B2576">
        <v>13.7489338030027</v>
      </c>
      <c r="C2576" s="1">
        <v>42674</v>
      </c>
    </row>
    <row r="2577" spans="1:3">
      <c r="A2577" t="s">
        <v>29</v>
      </c>
      <c r="B2577">
        <v>2.6701279436159999</v>
      </c>
      <c r="C2577" s="1">
        <v>42674</v>
      </c>
    </row>
    <row r="2578" spans="1:3">
      <c r="A2578" t="s">
        <v>32</v>
      </c>
      <c r="B2578">
        <v>10.788058594415199</v>
      </c>
      <c r="C2578" s="1">
        <v>42674</v>
      </c>
    </row>
    <row r="2579" spans="1:3">
      <c r="A2579" t="s">
        <v>35</v>
      </c>
      <c r="B2579">
        <v>3.4748748377336001</v>
      </c>
      <c r="C2579" s="1">
        <v>42674</v>
      </c>
    </row>
    <row r="2580" spans="1:3">
      <c r="A2580" t="s">
        <v>37</v>
      </c>
      <c r="B2580">
        <v>1.51307250138239</v>
      </c>
      <c r="C2580" s="1">
        <v>42674</v>
      </c>
    </row>
    <row r="2581" spans="1:3">
      <c r="A2581" t="s">
        <v>39</v>
      </c>
      <c r="B2581">
        <v>1.86389764508528</v>
      </c>
      <c r="C2581" s="1">
        <v>42674</v>
      </c>
    </row>
    <row r="2582" spans="1:3">
      <c r="A2582" t="s">
        <v>42</v>
      </c>
      <c r="B2582">
        <v>2.0381976636268799</v>
      </c>
      <c r="C2582" s="1">
        <v>42674</v>
      </c>
    </row>
    <row r="2583" spans="1:3">
      <c r="A2583" t="s">
        <v>44</v>
      </c>
      <c r="B2583">
        <v>7.3576858890752002</v>
      </c>
      <c r="C2583" s="1">
        <v>42674</v>
      </c>
    </row>
    <row r="2584" spans="1:3">
      <c r="A2584" t="s">
        <v>47</v>
      </c>
      <c r="B2584">
        <v>11.6647506025691</v>
      </c>
      <c r="C2584" s="1">
        <v>42674</v>
      </c>
    </row>
    <row r="2585" spans="1:3">
      <c r="A2585" t="s">
        <v>49</v>
      </c>
      <c r="B2585">
        <v>14.166512145296</v>
      </c>
      <c r="C2585" s="1">
        <v>42674</v>
      </c>
    </row>
    <row r="2586" spans="1:3">
      <c r="A2586" t="s">
        <v>51</v>
      </c>
      <c r="B2586">
        <v>1.3721490821360001</v>
      </c>
      <c r="C2586" s="1">
        <v>42674</v>
      </c>
    </row>
    <row r="2587" spans="1:3">
      <c r="A2587" t="s">
        <v>53</v>
      </c>
      <c r="B2587">
        <v>1.038383089184</v>
      </c>
      <c r="C2587" s="1">
        <v>42674</v>
      </c>
    </row>
    <row r="2588" spans="1:3">
      <c r="A2588" t="s">
        <v>55</v>
      </c>
      <c r="B2588">
        <v>5.3795661041796796</v>
      </c>
      <c r="C2588" s="1">
        <v>42674</v>
      </c>
    </row>
    <row r="2589" spans="1:3">
      <c r="A2589" t="s">
        <v>57</v>
      </c>
      <c r="B2589">
        <v>4.6141294270097601</v>
      </c>
      <c r="C2589" s="1">
        <v>42674</v>
      </c>
    </row>
    <row r="2590" spans="1:3">
      <c r="A2590" t="s">
        <v>59</v>
      </c>
      <c r="B2590">
        <v>8.2751715185899197</v>
      </c>
      <c r="C2590" s="1">
        <v>42674</v>
      </c>
    </row>
    <row r="2591" spans="1:3">
      <c r="A2591" t="s">
        <v>61</v>
      </c>
      <c r="B2591">
        <v>50.806601149359999</v>
      </c>
      <c r="C2591" s="1">
        <v>42674</v>
      </c>
    </row>
    <row r="2592" spans="1:3">
      <c r="A2592" t="s">
        <v>63</v>
      </c>
      <c r="B2592">
        <v>9.05618394209759</v>
      </c>
      <c r="C2592" s="1">
        <v>42674</v>
      </c>
    </row>
    <row r="2593" spans="1:3">
      <c r="A2593" t="s">
        <v>65</v>
      </c>
      <c r="B2593">
        <v>0.85889115519647996</v>
      </c>
      <c r="C2593" s="1">
        <v>42674</v>
      </c>
    </row>
    <row r="2594" spans="1:3">
      <c r="A2594" t="s">
        <v>67</v>
      </c>
      <c r="B2594">
        <v>8.5466345261908803</v>
      </c>
      <c r="C2594" s="1">
        <v>42674</v>
      </c>
    </row>
    <row r="2595" spans="1:3">
      <c r="A2595" t="s">
        <v>69</v>
      </c>
      <c r="B2595">
        <v>5.2994622658711998</v>
      </c>
      <c r="C2595" s="1">
        <v>42674</v>
      </c>
    </row>
    <row r="2596" spans="1:3">
      <c r="A2596" t="s">
        <v>71</v>
      </c>
      <c r="B2596">
        <v>1.2905618394143901</v>
      </c>
      <c r="C2596" s="1">
        <v>42674</v>
      </c>
    </row>
    <row r="2597" spans="1:3">
      <c r="A2597" t="s">
        <v>73</v>
      </c>
      <c r="B2597">
        <v>2.56851474131728</v>
      </c>
      <c r="C2597" s="1">
        <v>42674</v>
      </c>
    </row>
    <row r="2598" spans="1:3">
      <c r="A2598" t="s">
        <v>75</v>
      </c>
      <c r="B2598">
        <v>0.41016132022767998</v>
      </c>
      <c r="C2598" s="1">
        <v>42674</v>
      </c>
    </row>
    <row r="2599" spans="1:3">
      <c r="A2599" t="s">
        <v>77</v>
      </c>
      <c r="B2599">
        <v>1.8646393472918401</v>
      </c>
      <c r="C2599" s="1">
        <v>42674</v>
      </c>
    </row>
    <row r="2600" spans="1:3">
      <c r="A2600" t="s">
        <v>79</v>
      </c>
      <c r="B2600">
        <v>11.665492304775601</v>
      </c>
      <c r="C2600" s="1">
        <v>42674</v>
      </c>
    </row>
    <row r="2601" spans="1:3">
      <c r="A2601" t="s">
        <v>81</v>
      </c>
      <c r="B2601">
        <v>11.273873539712</v>
      </c>
      <c r="C2601" s="1">
        <v>42674</v>
      </c>
    </row>
    <row r="2602" spans="1:3">
      <c r="A2602" t="s">
        <v>83</v>
      </c>
      <c r="B2602">
        <v>0.57481921008399905</v>
      </c>
      <c r="C2602" s="1">
        <v>42674</v>
      </c>
    </row>
    <row r="2603" spans="1:3">
      <c r="A2603" t="s">
        <v>85</v>
      </c>
      <c r="B2603">
        <v>8.8781754125232002</v>
      </c>
      <c r="C2603" s="1">
        <v>42674</v>
      </c>
    </row>
    <row r="2604" spans="1:3">
      <c r="A2604" t="s">
        <v>87</v>
      </c>
      <c r="B2604">
        <v>21.786018913286799</v>
      </c>
      <c r="C2604" s="1">
        <v>42674</v>
      </c>
    </row>
    <row r="2605" spans="1:3">
      <c r="A2605" t="s">
        <v>89</v>
      </c>
      <c r="B2605">
        <v>9.4196180233119993</v>
      </c>
      <c r="C2605" s="1">
        <v>42674</v>
      </c>
    </row>
    <row r="2606" spans="1:3">
      <c r="A2606" t="s">
        <v>91</v>
      </c>
      <c r="B2606">
        <v>17.956610420817601</v>
      </c>
      <c r="C2606" s="1">
        <v>42674</v>
      </c>
    </row>
    <row r="2607" spans="1:3">
      <c r="A2607" t="s">
        <v>93</v>
      </c>
      <c r="B2607">
        <v>29.205266085506501</v>
      </c>
      <c r="C2607" s="1">
        <v>42674</v>
      </c>
    </row>
    <row r="2608" spans="1:3">
      <c r="A2608" t="s">
        <v>95</v>
      </c>
      <c r="B2608">
        <v>0.82403115148815997</v>
      </c>
      <c r="C2608" s="1">
        <v>42674</v>
      </c>
    </row>
    <row r="2609" spans="1:3">
      <c r="A2609" t="s">
        <v>97</v>
      </c>
      <c r="B2609">
        <v>12.119414055190401</v>
      </c>
      <c r="C2609" s="1">
        <v>42674</v>
      </c>
    </row>
    <row r="2610" spans="1:3">
      <c r="A2610" t="s">
        <v>99</v>
      </c>
      <c r="B2610">
        <v>8.5295753754400003</v>
      </c>
      <c r="C2610" s="1">
        <v>42674</v>
      </c>
    </row>
    <row r="2611" spans="1:3">
      <c r="A2611" t="s">
        <v>101</v>
      </c>
      <c r="B2611">
        <v>8.0860374559171202</v>
      </c>
      <c r="C2611" s="1">
        <v>42674</v>
      </c>
    </row>
    <row r="2612" spans="1:3">
      <c r="A2612" t="s">
        <v>103</v>
      </c>
      <c r="B2612">
        <v>1.0198405340200001</v>
      </c>
      <c r="C2612" s="1">
        <v>42674</v>
      </c>
    </row>
    <row r="2613" spans="1:3">
      <c r="A2613" t="s">
        <v>105</v>
      </c>
      <c r="B2613">
        <v>0.40793621360799998</v>
      </c>
      <c r="C2613" s="1">
        <v>42674</v>
      </c>
    </row>
    <row r="2614" spans="1:3">
      <c r="A2614" t="s">
        <v>107</v>
      </c>
      <c r="B2614">
        <v>6.1746708696120001</v>
      </c>
      <c r="C2614" s="1">
        <v>42674</v>
      </c>
    </row>
    <row r="2615" spans="1:3">
      <c r="A2615" t="s">
        <v>109</v>
      </c>
      <c r="B2615">
        <v>3.04913777116816</v>
      </c>
      <c r="C2615" s="1">
        <v>42674</v>
      </c>
    </row>
    <row r="2616" spans="1:3">
      <c r="A2616" t="s">
        <v>111</v>
      </c>
      <c r="B2616">
        <v>7.5505284627807896</v>
      </c>
      <c r="C2616" s="1">
        <v>42674</v>
      </c>
    </row>
    <row r="2617" spans="1:3">
      <c r="A2617" t="s">
        <v>113</v>
      </c>
      <c r="B2617">
        <v>10.294826627052799</v>
      </c>
      <c r="C2617" s="1">
        <v>42674</v>
      </c>
    </row>
    <row r="2618" spans="1:3">
      <c r="A2618" t="s">
        <v>115</v>
      </c>
      <c r="B2618">
        <v>5.7934359354401597</v>
      </c>
      <c r="C2618" s="1">
        <v>42674</v>
      </c>
    </row>
    <row r="2619" spans="1:3">
      <c r="A2619" t="s">
        <v>117</v>
      </c>
      <c r="B2619">
        <v>4.8944928610894296</v>
      </c>
      <c r="C2619" s="1">
        <v>42674</v>
      </c>
    </row>
    <row r="2620" spans="1:3">
      <c r="A2620" t="s">
        <v>119</v>
      </c>
      <c r="B2620">
        <v>10.137585759262</v>
      </c>
      <c r="C2620" s="1">
        <v>42674</v>
      </c>
    </row>
    <row r="2621" spans="1:3">
      <c r="A2621" t="s">
        <v>121</v>
      </c>
      <c r="B2621">
        <v>16.614129426944</v>
      </c>
      <c r="C2621" s="1">
        <v>42674</v>
      </c>
    </row>
    <row r="2622" spans="1:3">
      <c r="A2622" t="s">
        <v>123</v>
      </c>
      <c r="B2622">
        <v>4.8477656220761602</v>
      </c>
      <c r="C2622" s="1">
        <v>42674</v>
      </c>
    </row>
    <row r="2623" spans="1:3">
      <c r="A2623" t="s">
        <v>125</v>
      </c>
      <c r="B2623">
        <v>167.617281660494</v>
      </c>
      <c r="C2623" s="1">
        <v>42674</v>
      </c>
    </row>
    <row r="2624" spans="1:3">
      <c r="A2624" t="s">
        <v>127</v>
      </c>
      <c r="B2624">
        <v>8.6311885777387207</v>
      </c>
      <c r="C2624" s="1">
        <v>42674</v>
      </c>
    </row>
    <row r="2625" spans="1:3">
      <c r="A2625" t="s">
        <v>129</v>
      </c>
      <c r="B2625">
        <v>3.5839050620979198</v>
      </c>
      <c r="C2625" s="1">
        <v>42674</v>
      </c>
    </row>
    <row r="2626" spans="1:3">
      <c r="A2626" t="s">
        <v>131</v>
      </c>
      <c r="B2626">
        <v>3.3295012052478401</v>
      </c>
      <c r="C2626" s="1">
        <v>42674</v>
      </c>
    </row>
    <row r="2627" spans="1:3">
      <c r="A2627" t="s">
        <v>134</v>
      </c>
      <c r="B2627">
        <v>2.9519747821087998</v>
      </c>
      <c r="C2627" s="1">
        <v>42674</v>
      </c>
    </row>
    <row r="2628" spans="1:3">
      <c r="A2628" t="s">
        <v>136</v>
      </c>
      <c r="B2628">
        <v>14.759873910544</v>
      </c>
      <c r="C2628" s="1">
        <v>42674</v>
      </c>
    </row>
    <row r="2629" spans="1:3">
      <c r="A2629" t="s">
        <v>138</v>
      </c>
      <c r="B2629">
        <v>12.4168366400209</v>
      </c>
      <c r="C2629" s="1">
        <v>42674</v>
      </c>
    </row>
    <row r="2630" spans="1:3">
      <c r="A2630" t="s">
        <v>140</v>
      </c>
      <c r="B2630">
        <v>9.3083626923280001</v>
      </c>
      <c r="C2630" s="1">
        <v>42674</v>
      </c>
    </row>
    <row r="2631" spans="1:3">
      <c r="A2631" t="s">
        <v>142</v>
      </c>
      <c r="B2631">
        <v>6.1672538475463998</v>
      </c>
      <c r="C2631" s="1">
        <v>42674</v>
      </c>
    </row>
    <row r="2632" spans="1:3">
      <c r="A2632" t="s">
        <v>144</v>
      </c>
      <c r="B2632">
        <v>4.5763026144751997</v>
      </c>
      <c r="C2632" s="1">
        <v>42674</v>
      </c>
    </row>
    <row r="2633" spans="1:3">
      <c r="A2633" t="s">
        <v>146</v>
      </c>
      <c r="B2633">
        <v>5.5627665492</v>
      </c>
      <c r="C2633" s="1">
        <v>42674</v>
      </c>
    </row>
    <row r="2634" spans="1:3">
      <c r="A2634" t="s">
        <v>148</v>
      </c>
      <c r="B2634">
        <v>10.610791767047299</v>
      </c>
      <c r="C2634" s="1">
        <v>42674</v>
      </c>
    </row>
    <row r="2635" spans="1:3">
      <c r="A2635" t="s">
        <v>150</v>
      </c>
      <c r="B2635">
        <v>7.0283701093625597</v>
      </c>
      <c r="C2635" s="1">
        <v>42674</v>
      </c>
    </row>
    <row r="2636" spans="1:3">
      <c r="A2636" t="s">
        <v>152</v>
      </c>
      <c r="B2636">
        <v>13.398850361506399</v>
      </c>
      <c r="C2636" s="1">
        <v>42674</v>
      </c>
    </row>
    <row r="2637" spans="1:3">
      <c r="A2637" t="s">
        <v>154</v>
      </c>
      <c r="B2637">
        <v>28.479881327490801</v>
      </c>
      <c r="C2637" s="1">
        <v>42674</v>
      </c>
    </row>
    <row r="2638" spans="1:3">
      <c r="A2638" t="s">
        <v>156</v>
      </c>
      <c r="B2638">
        <v>27.7708140180195</v>
      </c>
      <c r="C2638" s="1">
        <v>42674</v>
      </c>
    </row>
    <row r="2639" spans="1:3">
      <c r="A2639" t="s">
        <v>158</v>
      </c>
      <c r="B2639">
        <v>23.562395697997999</v>
      </c>
      <c r="C2639" s="1">
        <v>42674</v>
      </c>
    </row>
    <row r="2640" spans="1:3">
      <c r="A2640" t="s">
        <v>160</v>
      </c>
      <c r="B2640">
        <v>16.354533654648002</v>
      </c>
      <c r="C2640" s="1">
        <v>42674</v>
      </c>
    </row>
    <row r="2641" spans="1:3">
      <c r="A2641" t="s">
        <v>162</v>
      </c>
      <c r="B2641">
        <v>4.0200259595552001</v>
      </c>
      <c r="C2641" s="1">
        <v>42674</v>
      </c>
    </row>
    <row r="2642" spans="1:3">
      <c r="A2642" t="s">
        <v>164</v>
      </c>
      <c r="B2642">
        <v>4.0652697941553599</v>
      </c>
      <c r="C2642" s="1">
        <v>42674</v>
      </c>
    </row>
    <row r="2643" spans="1:3">
      <c r="A2643" t="s">
        <v>166</v>
      </c>
      <c r="B2643">
        <v>6.4780270720950401</v>
      </c>
      <c r="C2643" s="1">
        <v>42674</v>
      </c>
    </row>
    <row r="2644" spans="1:3">
      <c r="A2644" t="s">
        <v>168</v>
      </c>
      <c r="B2644">
        <v>7.2315965139599996</v>
      </c>
      <c r="C2644" s="1">
        <v>42674</v>
      </c>
    </row>
    <row r="2645" spans="1:3">
      <c r="A2645" t="s">
        <v>8</v>
      </c>
      <c r="B2645">
        <v>20.311915159004698</v>
      </c>
      <c r="C2645" s="1">
        <v>42704</v>
      </c>
    </row>
    <row r="2646" spans="1:3">
      <c r="A2646" t="s">
        <v>11</v>
      </c>
      <c r="B2646">
        <v>55.706265038569001</v>
      </c>
      <c r="C2646" s="1">
        <v>42704</v>
      </c>
    </row>
    <row r="2647" spans="1:3">
      <c r="A2647" t="s">
        <v>14</v>
      </c>
      <c r="B2647">
        <v>6.4949647981232896</v>
      </c>
      <c r="C2647" s="1">
        <v>42704</v>
      </c>
    </row>
    <row r="2648" spans="1:3">
      <c r="A2648" t="s">
        <v>17</v>
      </c>
      <c r="B2648">
        <v>6.5006683896035398</v>
      </c>
      <c r="C2648" s="1">
        <v>42704</v>
      </c>
    </row>
    <row r="2649" spans="1:3">
      <c r="A2649" t="s">
        <v>20</v>
      </c>
      <c r="B2649">
        <v>1.1756527938644601</v>
      </c>
      <c r="C2649" s="1">
        <v>42704</v>
      </c>
    </row>
    <row r="2650" spans="1:3">
      <c r="A2650" t="s">
        <v>24</v>
      </c>
      <c r="B2650">
        <v>3.42001604133891</v>
      </c>
      <c r="C2650" s="1">
        <v>42704</v>
      </c>
    </row>
    <row r="2651" spans="1:3">
      <c r="A2651" t="s">
        <v>27</v>
      </c>
      <c r="B2651">
        <v>15.114517422636</v>
      </c>
      <c r="C2651" s="1">
        <v>42704</v>
      </c>
    </row>
    <row r="2652" spans="1:3">
      <c r="A2652" t="s">
        <v>29</v>
      </c>
      <c r="B2652">
        <v>2.21299349433311</v>
      </c>
      <c r="C2652" s="1">
        <v>42704</v>
      </c>
    </row>
    <row r="2653" spans="1:3">
      <c r="A2653" t="s">
        <v>32</v>
      </c>
      <c r="B2653">
        <v>10.3185099366891</v>
      </c>
      <c r="C2653" s="1">
        <v>42704</v>
      </c>
    </row>
    <row r="2654" spans="1:3">
      <c r="A2654" t="s">
        <v>35</v>
      </c>
      <c r="B2654">
        <v>3.3152125478894998</v>
      </c>
      <c r="C2654" s="1">
        <v>42704</v>
      </c>
    </row>
    <row r="2655" spans="1:3">
      <c r="A2655" t="s">
        <v>37</v>
      </c>
      <c r="B2655">
        <v>1.35674182336209</v>
      </c>
      <c r="C2655" s="1">
        <v>42704</v>
      </c>
    </row>
    <row r="2656" spans="1:3">
      <c r="A2656" t="s">
        <v>39</v>
      </c>
      <c r="B2656">
        <v>1.639782550569</v>
      </c>
      <c r="C2656" s="1">
        <v>42704</v>
      </c>
    </row>
    <row r="2657" spans="1:3">
      <c r="A2657" t="s">
        <v>42</v>
      </c>
      <c r="B2657">
        <v>2.0076642010444798</v>
      </c>
      <c r="C2657" s="1">
        <v>42704</v>
      </c>
    </row>
    <row r="2658" spans="1:3">
      <c r="A2658" t="s">
        <v>44</v>
      </c>
      <c r="B2658">
        <v>6.8870867123897996</v>
      </c>
      <c r="C2658" s="1">
        <v>42704</v>
      </c>
    </row>
    <row r="2659" spans="1:3">
      <c r="A2659" t="s">
        <v>47</v>
      </c>
      <c r="B2659">
        <v>11.2752874074994</v>
      </c>
      <c r="C2659" s="1">
        <v>42704</v>
      </c>
    </row>
    <row r="2660" spans="1:3">
      <c r="A2660" t="s">
        <v>49</v>
      </c>
      <c r="B2660">
        <v>13.5103823188185</v>
      </c>
      <c r="C2660" s="1">
        <v>42704</v>
      </c>
    </row>
    <row r="2661" spans="1:3">
      <c r="A2661" t="s">
        <v>51</v>
      </c>
      <c r="B2661">
        <v>1.2868728277291499</v>
      </c>
      <c r="C2661" s="1">
        <v>42704</v>
      </c>
    </row>
    <row r="2662" spans="1:3">
      <c r="A2662" t="s">
        <v>53</v>
      </c>
      <c r="B2662">
        <v>0.98386953034140001</v>
      </c>
      <c r="C2662" s="1">
        <v>42704</v>
      </c>
    </row>
    <row r="2663" spans="1:3">
      <c r="A2663" t="s">
        <v>55</v>
      </c>
      <c r="B2663">
        <v>5.1189733535153996</v>
      </c>
      <c r="C2663" s="1">
        <v>42704</v>
      </c>
    </row>
    <row r="2664" spans="1:3">
      <c r="A2664" t="s">
        <v>57</v>
      </c>
      <c r="B2664">
        <v>4.9628375367438302</v>
      </c>
      <c r="C2664" s="1">
        <v>42704</v>
      </c>
    </row>
    <row r="2665" spans="1:3">
      <c r="A2665" t="s">
        <v>59</v>
      </c>
      <c r="B2665">
        <v>7.3790214775605003</v>
      </c>
      <c r="C2665" s="1">
        <v>42704</v>
      </c>
    </row>
    <row r="2666" spans="1:3">
      <c r="A2666" t="s">
        <v>61</v>
      </c>
      <c r="B2666">
        <v>46.362356296065798</v>
      </c>
      <c r="C2666" s="1">
        <v>42704</v>
      </c>
    </row>
    <row r="2667" spans="1:3">
      <c r="A2667" t="s">
        <v>63</v>
      </c>
      <c r="B2667">
        <v>8.8405667943720001</v>
      </c>
      <c r="C2667" s="1">
        <v>42704</v>
      </c>
    </row>
    <row r="2668" spans="1:3">
      <c r="A2668" t="s">
        <v>65</v>
      </c>
      <c r="B2668">
        <v>0.73790214775605001</v>
      </c>
      <c r="C2668" s="1">
        <v>42704</v>
      </c>
    </row>
    <row r="2669" spans="1:3">
      <c r="A2669" t="s">
        <v>67</v>
      </c>
      <c r="B2669">
        <v>7.94367703410426</v>
      </c>
      <c r="C2669" s="1">
        <v>42704</v>
      </c>
    </row>
    <row r="2670" spans="1:3">
      <c r="A2670" t="s">
        <v>69</v>
      </c>
      <c r="B2670">
        <v>5.0020497281704799</v>
      </c>
      <c r="C2670" s="1">
        <v>42704</v>
      </c>
    </row>
    <row r="2671" spans="1:3">
      <c r="A2671" t="s">
        <v>71</v>
      </c>
      <c r="B2671">
        <v>1.2761785937037</v>
      </c>
      <c r="C2671" s="1">
        <v>42704</v>
      </c>
    </row>
    <row r="2672" spans="1:3">
      <c r="A2672" t="s">
        <v>73</v>
      </c>
      <c r="B2672">
        <v>2.22725247303371</v>
      </c>
      <c r="C2672" s="1">
        <v>42704</v>
      </c>
    </row>
    <row r="2673" spans="1:3">
      <c r="A2673" t="s">
        <v>75</v>
      </c>
      <c r="B2673">
        <v>0.3921219142665</v>
      </c>
      <c r="C2673" s="1">
        <v>42704</v>
      </c>
    </row>
    <row r="2674" spans="1:3">
      <c r="A2674" t="s">
        <v>77</v>
      </c>
      <c r="B2674">
        <v>1.7738169503546399</v>
      </c>
      <c r="C2674" s="1">
        <v>42704</v>
      </c>
    </row>
    <row r="2675" spans="1:3">
      <c r="A2675" t="s">
        <v>79</v>
      </c>
      <c r="B2675">
        <v>11.2239550841772</v>
      </c>
      <c r="C2675" s="1">
        <v>42704</v>
      </c>
    </row>
    <row r="2676" spans="1:3">
      <c r="A2676" t="s">
        <v>81</v>
      </c>
      <c r="B2676">
        <v>10.230817217680499</v>
      </c>
      <c r="C2676" s="1">
        <v>42704</v>
      </c>
    </row>
    <row r="2677" spans="1:3">
      <c r="A2677" t="s">
        <v>83</v>
      </c>
      <c r="B2677">
        <v>0.54184119062280001</v>
      </c>
      <c r="C2677" s="1">
        <v>42704</v>
      </c>
    </row>
    <row r="2678" spans="1:3">
      <c r="A2678" t="s">
        <v>85</v>
      </c>
      <c r="B2678">
        <v>8.0570359147740298</v>
      </c>
      <c r="C2678" s="1">
        <v>42704</v>
      </c>
    </row>
    <row r="2679" spans="1:3">
      <c r="A2679" t="s">
        <v>87</v>
      </c>
      <c r="B2679">
        <v>20.670528473324701</v>
      </c>
      <c r="C2679" s="1">
        <v>42704</v>
      </c>
    </row>
    <row r="2680" spans="1:3">
      <c r="A2680" t="s">
        <v>89</v>
      </c>
      <c r="B2680">
        <v>9.2184297299379008</v>
      </c>
      <c r="C2680" s="1">
        <v>42704</v>
      </c>
    </row>
    <row r="2681" spans="1:3">
      <c r="A2681" t="s">
        <v>91</v>
      </c>
      <c r="B2681">
        <v>16.615274930874101</v>
      </c>
      <c r="C2681" s="1">
        <v>42704</v>
      </c>
    </row>
    <row r="2682" spans="1:3">
      <c r="A2682" t="s">
        <v>93</v>
      </c>
      <c r="B2682">
        <v>26.678549148822601</v>
      </c>
      <c r="C2682" s="1">
        <v>42704</v>
      </c>
    </row>
    <row r="2683" spans="1:3">
      <c r="A2683" t="s">
        <v>95</v>
      </c>
      <c r="B2683">
        <v>0.99099901969170001</v>
      </c>
      <c r="C2683" s="1">
        <v>42704</v>
      </c>
    </row>
    <row r="2684" spans="1:3">
      <c r="A2684" t="s">
        <v>97</v>
      </c>
      <c r="B2684">
        <v>11.549772747485999</v>
      </c>
      <c r="C2684" s="1">
        <v>42704</v>
      </c>
    </row>
    <row r="2685" spans="1:3">
      <c r="A2685" t="s">
        <v>99</v>
      </c>
      <c r="B2685">
        <v>8.5945994117866498</v>
      </c>
      <c r="C2685" s="1">
        <v>42704</v>
      </c>
    </row>
    <row r="2686" spans="1:3">
      <c r="A2686" t="s">
        <v>101</v>
      </c>
      <c r="B2686">
        <v>7.7354959450754999</v>
      </c>
      <c r="C2686" s="1">
        <v>42704</v>
      </c>
    </row>
    <row r="2687" spans="1:3">
      <c r="A2687" t="s">
        <v>103</v>
      </c>
      <c r="B2687">
        <v>0.87122359860665999</v>
      </c>
      <c r="C2687" s="1">
        <v>42704</v>
      </c>
    </row>
    <row r="2688" spans="1:3">
      <c r="A2688" t="s">
        <v>105</v>
      </c>
      <c r="B2688">
        <v>0.39283486320152999</v>
      </c>
      <c r="C2688" s="1">
        <v>42704</v>
      </c>
    </row>
    <row r="2689" spans="1:3">
      <c r="A2689" t="s">
        <v>107</v>
      </c>
      <c r="B2689">
        <v>5.7221281525507797</v>
      </c>
      <c r="C2689" s="1">
        <v>42704</v>
      </c>
    </row>
    <row r="2690" spans="1:3">
      <c r="A2690" t="s">
        <v>109</v>
      </c>
      <c r="B2690">
        <v>2.25077978788971</v>
      </c>
      <c r="C2690" s="1">
        <v>42704</v>
      </c>
    </row>
    <row r="2691" spans="1:3">
      <c r="A2691" t="s">
        <v>111</v>
      </c>
      <c r="B2691">
        <v>7.0510649674466999</v>
      </c>
      <c r="C2691" s="1">
        <v>42704</v>
      </c>
    </row>
    <row r="2692" spans="1:3">
      <c r="A2692" t="s">
        <v>113</v>
      </c>
      <c r="B2692">
        <v>10.57659745117</v>
      </c>
      <c r="C2692" s="1">
        <v>42704</v>
      </c>
    </row>
    <row r="2693" spans="1:3">
      <c r="A2693" t="s">
        <v>115</v>
      </c>
      <c r="B2693">
        <v>4.6291774351497903</v>
      </c>
      <c r="C2693" s="1">
        <v>42704</v>
      </c>
    </row>
    <row r="2694" spans="1:3">
      <c r="A2694" t="s">
        <v>117</v>
      </c>
      <c r="B2694">
        <v>4.6698155244465003</v>
      </c>
      <c r="C2694" s="1">
        <v>42704</v>
      </c>
    </row>
    <row r="2695" spans="1:3">
      <c r="A2695" t="s">
        <v>119</v>
      </c>
      <c r="B2695">
        <v>11.834952321497999</v>
      </c>
      <c r="C2695" s="1">
        <v>42704</v>
      </c>
    </row>
    <row r="2696" spans="1:3">
      <c r="A2696" t="s">
        <v>121</v>
      </c>
      <c r="B2696">
        <v>14.908475180412299</v>
      </c>
      <c r="C2696" s="1">
        <v>42704</v>
      </c>
    </row>
    <row r="2697" spans="1:3">
      <c r="A2697" t="s">
        <v>123</v>
      </c>
      <c r="B2697">
        <v>4.3967560823300103</v>
      </c>
      <c r="C2697" s="1">
        <v>42704</v>
      </c>
    </row>
    <row r="2698" spans="1:3">
      <c r="A2698" t="s">
        <v>125</v>
      </c>
      <c r="B2698">
        <v>146.501024863574</v>
      </c>
      <c r="C2698" s="1">
        <v>42704</v>
      </c>
    </row>
    <row r="2699" spans="1:3">
      <c r="A2699" t="s">
        <v>127</v>
      </c>
      <c r="B2699">
        <v>8.0705819445395992</v>
      </c>
      <c r="C2699" s="1">
        <v>42704</v>
      </c>
    </row>
    <row r="2700" spans="1:3">
      <c r="A2700" t="s">
        <v>129</v>
      </c>
      <c r="B2700">
        <v>3.6003921219014998</v>
      </c>
      <c r="C2700" s="1">
        <v>42704</v>
      </c>
    </row>
    <row r="2701" spans="1:3">
      <c r="A2701" t="s">
        <v>131</v>
      </c>
      <c r="B2701">
        <v>3.20898315657002</v>
      </c>
      <c r="C2701" s="1">
        <v>42704</v>
      </c>
    </row>
    <row r="2702" spans="1:3">
      <c r="A2702" t="s">
        <v>134</v>
      </c>
      <c r="B2702">
        <v>2.8824525443262901</v>
      </c>
      <c r="C2702" s="1">
        <v>42704</v>
      </c>
    </row>
    <row r="2703" spans="1:3">
      <c r="A2703" t="s">
        <v>136</v>
      </c>
      <c r="B2703">
        <v>13.3278673914508</v>
      </c>
      <c r="C2703" s="1">
        <v>42704</v>
      </c>
    </row>
    <row r="2704" spans="1:3">
      <c r="A2704" t="s">
        <v>138</v>
      </c>
      <c r="B2704">
        <v>11.608234560158399</v>
      </c>
      <c r="C2704" s="1">
        <v>42704</v>
      </c>
    </row>
    <row r="2705" spans="1:3">
      <c r="A2705" t="s">
        <v>140</v>
      </c>
      <c r="B2705">
        <v>8.5988771053968307</v>
      </c>
      <c r="C2705" s="1">
        <v>42704</v>
      </c>
    </row>
    <row r="2706" spans="1:3">
      <c r="A2706" t="s">
        <v>142</v>
      </c>
      <c r="B2706">
        <v>6.4144015684649096</v>
      </c>
      <c r="C2706" s="1">
        <v>42704</v>
      </c>
    </row>
    <row r="2707" spans="1:3">
      <c r="A2707" t="s">
        <v>144</v>
      </c>
      <c r="B2707">
        <v>4.6719543712515899</v>
      </c>
      <c r="C2707" s="1">
        <v>42704</v>
      </c>
    </row>
    <row r="2708" spans="1:3">
      <c r="A2708" t="s">
        <v>146</v>
      </c>
      <c r="B2708">
        <v>5.9388646287998998</v>
      </c>
      <c r="C2708" s="1">
        <v>42704</v>
      </c>
    </row>
    <row r="2709" spans="1:3">
      <c r="A2709" t="s">
        <v>148</v>
      </c>
      <c r="B2709">
        <v>10.765528918953001</v>
      </c>
      <c r="C2709" s="1">
        <v>42704</v>
      </c>
    </row>
    <row r="2710" spans="1:3">
      <c r="A2710" t="s">
        <v>150</v>
      </c>
      <c r="B2710">
        <v>6.1876838071253699</v>
      </c>
      <c r="C2710" s="1">
        <v>42704</v>
      </c>
    </row>
    <row r="2711" spans="1:3">
      <c r="A2711" t="s">
        <v>152</v>
      </c>
      <c r="B2711">
        <v>11.074948756755999</v>
      </c>
      <c r="C2711" s="1">
        <v>42704</v>
      </c>
    </row>
    <row r="2712" spans="1:3">
      <c r="A2712" t="s">
        <v>154</v>
      </c>
      <c r="B2712">
        <v>28.096604580597202</v>
      </c>
      <c r="C2712" s="1">
        <v>42704</v>
      </c>
    </row>
    <row r="2713" spans="1:3">
      <c r="A2713" t="s">
        <v>156</v>
      </c>
      <c r="B2713">
        <v>27.045717850363001</v>
      </c>
      <c r="C2713" s="1">
        <v>42704</v>
      </c>
    </row>
    <row r="2714" spans="1:3">
      <c r="A2714" t="s">
        <v>158</v>
      </c>
      <c r="B2714">
        <v>20.604224222367002</v>
      </c>
      <c r="C2714" s="1">
        <v>42704</v>
      </c>
    </row>
    <row r="2715" spans="1:3">
      <c r="A2715" t="s">
        <v>160</v>
      </c>
      <c r="B2715">
        <v>16.397825505690001</v>
      </c>
      <c r="C2715" s="1">
        <v>42704</v>
      </c>
    </row>
    <row r="2716" spans="1:3">
      <c r="A2716" t="s">
        <v>162</v>
      </c>
      <c r="B2716">
        <v>3.1512342928326</v>
      </c>
      <c r="C2716" s="1">
        <v>42704</v>
      </c>
    </row>
    <row r="2717" spans="1:3">
      <c r="A2717" t="s">
        <v>164</v>
      </c>
      <c r="B2717">
        <v>3.1797522502338</v>
      </c>
      <c r="C2717" s="1">
        <v>42704</v>
      </c>
    </row>
    <row r="2718" spans="1:3">
      <c r="A2718" t="s">
        <v>166</v>
      </c>
      <c r="B2718">
        <v>7.6242759112108196</v>
      </c>
      <c r="C2718" s="1">
        <v>42704</v>
      </c>
    </row>
    <row r="2719" spans="1:3">
      <c r="A2719" t="s">
        <v>168</v>
      </c>
      <c r="B2719">
        <v>7.6570715622221996</v>
      </c>
      <c r="C2719" s="1">
        <v>42704</v>
      </c>
    </row>
    <row r="2720" spans="1:3">
      <c r="A2720" t="s">
        <v>8</v>
      </c>
      <c r="B2720">
        <v>20.3817184643571</v>
      </c>
      <c r="C2720" s="1">
        <v>42735</v>
      </c>
    </row>
    <row r="2721" spans="1:3">
      <c r="A2721" t="s">
        <v>11</v>
      </c>
      <c r="B2721">
        <v>56.936745886671503</v>
      </c>
      <c r="C2721" s="1">
        <v>42735</v>
      </c>
    </row>
    <row r="2722" spans="1:3">
      <c r="A2722" t="s">
        <v>14</v>
      </c>
      <c r="B2722">
        <v>6.6361974405869999</v>
      </c>
      <c r="C2722" s="1">
        <v>42735</v>
      </c>
    </row>
    <row r="2723" spans="1:3">
      <c r="A2723" t="s">
        <v>17</v>
      </c>
      <c r="B2723">
        <v>6.6354661791610399</v>
      </c>
      <c r="C2723" s="1">
        <v>42735</v>
      </c>
    </row>
    <row r="2724" spans="1:3">
      <c r="A2724" t="s">
        <v>20</v>
      </c>
      <c r="B2724">
        <v>1.2351005484464399</v>
      </c>
      <c r="C2724" s="1">
        <v>42735</v>
      </c>
    </row>
    <row r="2725" spans="1:3">
      <c r="A2725" t="s">
        <v>24</v>
      </c>
      <c r="B2725">
        <v>3.6709323583192002</v>
      </c>
      <c r="C2725" s="1">
        <v>42735</v>
      </c>
    </row>
    <row r="2726" spans="1:3">
      <c r="A2726" t="s">
        <v>27</v>
      </c>
      <c r="B2726">
        <v>14.266910420479601</v>
      </c>
      <c r="C2726" s="1">
        <v>42735</v>
      </c>
    </row>
    <row r="2727" spans="1:3">
      <c r="A2727" t="s">
        <v>29</v>
      </c>
      <c r="B2727">
        <v>2.3839122486296001</v>
      </c>
      <c r="C2727" s="1">
        <v>42735</v>
      </c>
    </row>
    <row r="2728" spans="1:3">
      <c r="A2728" t="s">
        <v>32</v>
      </c>
      <c r="B2728">
        <v>11.1444241316304</v>
      </c>
      <c r="C2728" s="1">
        <v>42735</v>
      </c>
    </row>
    <row r="2729" spans="1:3">
      <c r="A2729" t="s">
        <v>35</v>
      </c>
      <c r="B2729">
        <v>3.528336380257</v>
      </c>
      <c r="C2729" s="1">
        <v>42735</v>
      </c>
    </row>
    <row r="2730" spans="1:3">
      <c r="A2730" t="s">
        <v>37</v>
      </c>
      <c r="B2730">
        <v>1.3308957952472</v>
      </c>
      <c r="C2730" s="1">
        <v>42735</v>
      </c>
    </row>
    <row r="2731" spans="1:3">
      <c r="A2731" t="s">
        <v>39</v>
      </c>
      <c r="B2731">
        <v>1.7989031078616</v>
      </c>
      <c r="C2731" s="1">
        <v>42735</v>
      </c>
    </row>
    <row r="2732" spans="1:3">
      <c r="A2732" t="s">
        <v>42</v>
      </c>
      <c r="B2732">
        <v>2.0636197440591202</v>
      </c>
      <c r="C2732" s="1">
        <v>42735</v>
      </c>
    </row>
    <row r="2733" spans="1:3">
      <c r="A2733" t="s">
        <v>44</v>
      </c>
      <c r="B2733">
        <v>6.5447897623419999</v>
      </c>
      <c r="C2733" s="1">
        <v>42735</v>
      </c>
    </row>
    <row r="2734" spans="1:3">
      <c r="A2734" t="s">
        <v>47</v>
      </c>
      <c r="B2734">
        <v>12.0124314442449</v>
      </c>
      <c r="C2734" s="1">
        <v>42735</v>
      </c>
    </row>
    <row r="2735" spans="1:3">
      <c r="A2735" t="s">
        <v>49</v>
      </c>
      <c r="B2735">
        <v>14.5213893967136</v>
      </c>
      <c r="C2735" s="1">
        <v>42735</v>
      </c>
    </row>
    <row r="2736" spans="1:3">
      <c r="A2736" t="s">
        <v>51</v>
      </c>
      <c r="B2736">
        <v>1.36599634369328</v>
      </c>
      <c r="C2736" s="1">
        <v>42735</v>
      </c>
    </row>
    <row r="2737" spans="1:3">
      <c r="A2737" t="s">
        <v>53</v>
      </c>
      <c r="B2737">
        <v>1.0449725776968399</v>
      </c>
      <c r="C2737" s="1">
        <v>42735</v>
      </c>
    </row>
    <row r="2738" spans="1:3">
      <c r="A2738" t="s">
        <v>55</v>
      </c>
      <c r="B2738">
        <v>5.1546617915920399</v>
      </c>
      <c r="C2738" s="1">
        <v>42735</v>
      </c>
    </row>
    <row r="2739" spans="1:3">
      <c r="A2739" t="s">
        <v>57</v>
      </c>
      <c r="B2739">
        <v>5.4106032906780399</v>
      </c>
      <c r="C2739" s="1">
        <v>42735</v>
      </c>
    </row>
    <row r="2740" spans="1:3">
      <c r="A2740" t="s">
        <v>59</v>
      </c>
      <c r="B2740">
        <v>8.3663619744083597</v>
      </c>
      <c r="C2740" s="1">
        <v>42735</v>
      </c>
    </row>
    <row r="2741" spans="1:3">
      <c r="A2741" t="s">
        <v>61</v>
      </c>
      <c r="B2741">
        <v>50.822669104219997</v>
      </c>
      <c r="C2741" s="1">
        <v>42735</v>
      </c>
    </row>
    <row r="2742" spans="1:3">
      <c r="A2742" t="s">
        <v>63</v>
      </c>
      <c r="B2742">
        <v>9.4515539305330005</v>
      </c>
      <c r="C2742" s="1">
        <v>42735</v>
      </c>
    </row>
    <row r="2743" spans="1:3">
      <c r="A2743" t="s">
        <v>65</v>
      </c>
      <c r="B2743">
        <v>0.81828153564924</v>
      </c>
      <c r="C2743" s="1">
        <v>42735</v>
      </c>
    </row>
    <row r="2744" spans="1:3">
      <c r="A2744" t="s">
        <v>67</v>
      </c>
      <c r="B2744">
        <v>8.372943327242</v>
      </c>
      <c r="C2744" s="1">
        <v>42735</v>
      </c>
    </row>
    <row r="2745" spans="1:3">
      <c r="A2745" t="s">
        <v>69</v>
      </c>
      <c r="B2745">
        <v>5.8259597806233199</v>
      </c>
      <c r="C2745" s="1">
        <v>42735</v>
      </c>
    </row>
    <row r="2746" spans="1:3">
      <c r="A2746" t="s">
        <v>71</v>
      </c>
      <c r="B2746">
        <v>1.25557586837332</v>
      </c>
      <c r="C2746" s="1">
        <v>42735</v>
      </c>
    </row>
    <row r="2747" spans="1:3">
      <c r="A2747" t="s">
        <v>73</v>
      </c>
      <c r="B2747">
        <v>2.3283363802566401</v>
      </c>
      <c r="C2747" s="1">
        <v>42735</v>
      </c>
    </row>
    <row r="2748" spans="1:3">
      <c r="A2748" t="s">
        <v>75</v>
      </c>
      <c r="B2748">
        <v>0.41096892138952001</v>
      </c>
      <c r="C2748" s="1">
        <v>42735</v>
      </c>
    </row>
    <row r="2749" spans="1:3">
      <c r="A2749" t="s">
        <v>77</v>
      </c>
      <c r="B2749">
        <v>1.8932358318104401</v>
      </c>
      <c r="C2749" s="1">
        <v>42735</v>
      </c>
    </row>
    <row r="2750" spans="1:3">
      <c r="A2750" t="s">
        <v>79</v>
      </c>
      <c r="B2750">
        <v>11.4449725776999</v>
      </c>
      <c r="C2750" s="1">
        <v>42735</v>
      </c>
    </row>
    <row r="2751" spans="1:3">
      <c r="A2751" t="s">
        <v>81</v>
      </c>
      <c r="B2751">
        <v>11.261425959784001</v>
      </c>
      <c r="C2751" s="1">
        <v>42735</v>
      </c>
    </row>
    <row r="2752" spans="1:3">
      <c r="A2752" t="s">
        <v>83</v>
      </c>
      <c r="B2752">
        <v>0.54698354661808002</v>
      </c>
      <c r="C2752" s="1">
        <v>42735</v>
      </c>
    </row>
    <row r="2753" spans="1:3">
      <c r="A2753" t="s">
        <v>85</v>
      </c>
      <c r="B2753">
        <v>8.5784277879367608</v>
      </c>
      <c r="C2753" s="1">
        <v>42735</v>
      </c>
    </row>
    <row r="2754" spans="1:3">
      <c r="A2754" t="s">
        <v>87</v>
      </c>
      <c r="B2754">
        <v>20.737111517373599</v>
      </c>
      <c r="C2754" s="1">
        <v>42735</v>
      </c>
    </row>
    <row r="2755" spans="1:3">
      <c r="A2755" t="s">
        <v>89</v>
      </c>
      <c r="B2755">
        <v>9.9159049360176006</v>
      </c>
      <c r="C2755" s="1">
        <v>42735</v>
      </c>
    </row>
    <row r="2756" spans="1:3">
      <c r="A2756" t="s">
        <v>91</v>
      </c>
      <c r="B2756">
        <v>17.111517367464</v>
      </c>
      <c r="C2756" s="1">
        <v>42735</v>
      </c>
    </row>
    <row r="2757" spans="1:3">
      <c r="A2757" t="s">
        <v>93</v>
      </c>
      <c r="B2757">
        <v>25.155393053024</v>
      </c>
      <c r="C2757" s="1">
        <v>42735</v>
      </c>
    </row>
    <row r="2758" spans="1:3">
      <c r="A2758" t="s">
        <v>95</v>
      </c>
      <c r="B2758">
        <v>0.98354661791620002</v>
      </c>
      <c r="C2758" s="1">
        <v>42735</v>
      </c>
    </row>
    <row r="2759" spans="1:3">
      <c r="A2759" t="s">
        <v>97</v>
      </c>
      <c r="B2759">
        <v>13.528336380260001</v>
      </c>
      <c r="C2759" s="1">
        <v>42735</v>
      </c>
    </row>
    <row r="2760" spans="1:3">
      <c r="A2760" t="s">
        <v>99</v>
      </c>
      <c r="B2760">
        <v>8.7751371115199994</v>
      </c>
      <c r="C2760" s="1">
        <v>42735</v>
      </c>
    </row>
    <row r="2761" spans="1:3">
      <c r="A2761" t="s">
        <v>101</v>
      </c>
      <c r="B2761">
        <v>8.3539305301670392</v>
      </c>
      <c r="C2761" s="1">
        <v>42735</v>
      </c>
    </row>
    <row r="2762" spans="1:3">
      <c r="A2762" t="s">
        <v>103</v>
      </c>
      <c r="B2762">
        <v>0.92870201096920002</v>
      </c>
      <c r="C2762" s="1">
        <v>42735</v>
      </c>
    </row>
    <row r="2763" spans="1:3">
      <c r="A2763" t="s">
        <v>105</v>
      </c>
      <c r="B2763">
        <v>0.40438756855587998</v>
      </c>
      <c r="C2763" s="1">
        <v>42735</v>
      </c>
    </row>
    <row r="2764" spans="1:3">
      <c r="A2764" t="s">
        <v>107</v>
      </c>
      <c r="B2764">
        <v>6.361974405852</v>
      </c>
      <c r="C2764" s="1">
        <v>42735</v>
      </c>
    </row>
    <row r="2765" spans="1:3">
      <c r="A2765" t="s">
        <v>109</v>
      </c>
      <c r="B2765">
        <v>2.3056672760518802</v>
      </c>
      <c r="C2765" s="1">
        <v>42735</v>
      </c>
    </row>
    <row r="2766" spans="1:3">
      <c r="A2766" t="s">
        <v>111</v>
      </c>
      <c r="B2766">
        <v>7.3930530164555996</v>
      </c>
      <c r="C2766" s="1">
        <v>42735</v>
      </c>
    </row>
    <row r="2767" spans="1:3">
      <c r="A2767" t="s">
        <v>113</v>
      </c>
      <c r="B2767">
        <v>11.636563071301399</v>
      </c>
      <c r="C2767" s="1">
        <v>42735</v>
      </c>
    </row>
    <row r="2768" spans="1:3">
      <c r="A2768" t="s">
        <v>115</v>
      </c>
      <c r="B2768">
        <v>5.1934186471679196</v>
      </c>
      <c r="C2768" s="1">
        <v>42735</v>
      </c>
    </row>
    <row r="2769" spans="1:3">
      <c r="A2769" t="s">
        <v>117</v>
      </c>
      <c r="B2769">
        <v>4.6595978062171204</v>
      </c>
      <c r="C2769" s="1">
        <v>42735</v>
      </c>
    </row>
    <row r="2770" spans="1:3">
      <c r="A2770" t="s">
        <v>119</v>
      </c>
      <c r="B2770">
        <v>11.627056672764001</v>
      </c>
      <c r="C2770" s="1">
        <v>42735</v>
      </c>
    </row>
    <row r="2771" spans="1:3">
      <c r="A2771" t="s">
        <v>121</v>
      </c>
      <c r="B2771">
        <v>16.310786106037799</v>
      </c>
      <c r="C2771" s="1">
        <v>42735</v>
      </c>
    </row>
    <row r="2772" spans="1:3">
      <c r="A2772" t="s">
        <v>123</v>
      </c>
      <c r="B2772">
        <v>4.5996343692883999</v>
      </c>
      <c r="C2772" s="1">
        <v>42735</v>
      </c>
    </row>
    <row r="2773" spans="1:3">
      <c r="A2773" t="s">
        <v>125</v>
      </c>
      <c r="B2773">
        <v>147.28263254117701</v>
      </c>
      <c r="C2773" s="1">
        <v>42735</v>
      </c>
    </row>
    <row r="2774" spans="1:3">
      <c r="A2774" t="s">
        <v>127</v>
      </c>
      <c r="B2774">
        <v>9.2263254113373208</v>
      </c>
      <c r="C2774" s="1">
        <v>42735</v>
      </c>
    </row>
    <row r="2775" spans="1:3">
      <c r="A2775" t="s">
        <v>129</v>
      </c>
      <c r="B2775">
        <v>3.8881170018293201</v>
      </c>
      <c r="C2775" s="1">
        <v>42735</v>
      </c>
    </row>
    <row r="2776" spans="1:3">
      <c r="A2776" t="s">
        <v>131</v>
      </c>
      <c r="B2776">
        <v>3.6182815356500799</v>
      </c>
      <c r="C2776" s="1">
        <v>42735</v>
      </c>
    </row>
    <row r="2777" spans="1:3">
      <c r="A2777" t="s">
        <v>134</v>
      </c>
      <c r="B2777">
        <v>2.8248628884834801</v>
      </c>
      <c r="C2777" s="1">
        <v>42735</v>
      </c>
    </row>
    <row r="2778" spans="1:3">
      <c r="A2778" t="s">
        <v>136</v>
      </c>
      <c r="B2778">
        <v>12.5382084095101</v>
      </c>
      <c r="C2778" s="1">
        <v>42735</v>
      </c>
    </row>
    <row r="2779" spans="1:3">
      <c r="A2779" t="s">
        <v>138</v>
      </c>
      <c r="B2779">
        <v>13.254113345525001</v>
      </c>
      <c r="C2779" s="1">
        <v>42735</v>
      </c>
    </row>
    <row r="2780" spans="1:3">
      <c r="A2780" t="s">
        <v>140</v>
      </c>
      <c r="B2780">
        <v>8.4460694698379992</v>
      </c>
      <c r="C2780" s="1">
        <v>42735</v>
      </c>
    </row>
    <row r="2781" spans="1:3">
      <c r="A2781" t="s">
        <v>142</v>
      </c>
      <c r="B2781">
        <v>6.6361974405869999</v>
      </c>
      <c r="C2781" s="1">
        <v>42735</v>
      </c>
    </row>
    <row r="2782" spans="1:3">
      <c r="A2782" t="s">
        <v>144</v>
      </c>
      <c r="B2782">
        <v>4.9791590493616402</v>
      </c>
      <c r="C2782" s="1">
        <v>42735</v>
      </c>
    </row>
    <row r="2783" spans="1:3">
      <c r="A2783" t="s">
        <v>146</v>
      </c>
      <c r="B2783">
        <v>6.5776965265102003</v>
      </c>
      <c r="C2783" s="1">
        <v>42735</v>
      </c>
    </row>
    <row r="2784" spans="1:3">
      <c r="A2784" t="s">
        <v>148</v>
      </c>
      <c r="B2784">
        <v>11.096892138943</v>
      </c>
      <c r="C2784" s="1">
        <v>42735</v>
      </c>
    </row>
    <row r="2785" spans="1:3">
      <c r="A2785" t="s">
        <v>150</v>
      </c>
      <c r="B2785">
        <v>6.6808043875705598</v>
      </c>
      <c r="C2785" s="1">
        <v>42735</v>
      </c>
    </row>
    <row r="2786" spans="1:3">
      <c r="A2786" t="s">
        <v>152</v>
      </c>
      <c r="B2786">
        <v>11.1575868372976</v>
      </c>
      <c r="C2786" s="1">
        <v>42735</v>
      </c>
    </row>
    <row r="2787" spans="1:3">
      <c r="A2787" t="s">
        <v>154</v>
      </c>
      <c r="B2787">
        <v>29.091773308966602</v>
      </c>
      <c r="C2787" s="1">
        <v>42735</v>
      </c>
    </row>
    <row r="2788" spans="1:3">
      <c r="A2788" t="s">
        <v>156</v>
      </c>
      <c r="B2788">
        <v>29.170018281544401</v>
      </c>
      <c r="C2788" s="1">
        <v>42735</v>
      </c>
    </row>
    <row r="2789" spans="1:3">
      <c r="A2789" t="s">
        <v>158</v>
      </c>
      <c r="B2789">
        <v>19.335283363808301</v>
      </c>
      <c r="C2789" s="1">
        <v>42735</v>
      </c>
    </row>
    <row r="2790" spans="1:3">
      <c r="A2790" t="s">
        <v>160</v>
      </c>
      <c r="B2790">
        <v>17.413528336385401</v>
      </c>
      <c r="C2790" s="1">
        <v>42735</v>
      </c>
    </row>
    <row r="2791" spans="1:3">
      <c r="A2791" t="s">
        <v>162</v>
      </c>
      <c r="B2791">
        <v>3.1254113345530401</v>
      </c>
      <c r="C2791" s="1">
        <v>42735</v>
      </c>
    </row>
    <row r="2792" spans="1:3">
      <c r="A2792" t="s">
        <v>164</v>
      </c>
      <c r="B2792">
        <v>3.1875685557596398</v>
      </c>
      <c r="C2792" s="1">
        <v>42735</v>
      </c>
    </row>
    <row r="2793" spans="1:3">
      <c r="A2793" t="s">
        <v>166</v>
      </c>
      <c r="B2793">
        <v>8.6215722120684006</v>
      </c>
      <c r="C2793" s="1">
        <v>42735</v>
      </c>
    </row>
    <row r="2794" spans="1:3">
      <c r="A2794" t="s">
        <v>168</v>
      </c>
      <c r="B2794">
        <v>7.2029250457060003</v>
      </c>
      <c r="C2794" s="1">
        <v>42735</v>
      </c>
    </row>
    <row r="2795" spans="1:3">
      <c r="A2795" t="s">
        <v>8</v>
      </c>
      <c r="B2795">
        <v>22.0281899109413</v>
      </c>
      <c r="C2795" s="1">
        <v>42766</v>
      </c>
    </row>
    <row r="2796" spans="1:3">
      <c r="A2796" t="s">
        <v>11</v>
      </c>
      <c r="B2796">
        <v>60.804896142328602</v>
      </c>
      <c r="C2796" s="1">
        <v>42766</v>
      </c>
    </row>
    <row r="2797" spans="1:3">
      <c r="A2797" t="s">
        <v>14</v>
      </c>
      <c r="B2797">
        <v>7.0734421364863396</v>
      </c>
      <c r="C2797" s="1">
        <v>42766</v>
      </c>
    </row>
    <row r="2798" spans="1:3">
      <c r="A2798" t="s">
        <v>17</v>
      </c>
      <c r="B2798">
        <v>7.7893175074049896</v>
      </c>
      <c r="C2798" s="1">
        <v>42766</v>
      </c>
    </row>
    <row r="2799" spans="1:3">
      <c r="A2799" t="s">
        <v>20</v>
      </c>
      <c r="B2799">
        <v>1.335311572698</v>
      </c>
      <c r="C2799" s="1">
        <v>42766</v>
      </c>
    </row>
    <row r="2800" spans="1:3">
      <c r="A2800" t="s">
        <v>24</v>
      </c>
      <c r="B2800">
        <v>3.54599406527579</v>
      </c>
      <c r="C2800" s="1">
        <v>42766</v>
      </c>
    </row>
    <row r="2801" spans="1:3">
      <c r="A2801" t="s">
        <v>27</v>
      </c>
      <c r="B2801">
        <v>17.0912462907717</v>
      </c>
      <c r="C2801" s="1">
        <v>42766</v>
      </c>
    </row>
    <row r="2802" spans="1:3">
      <c r="A2802" t="s">
        <v>29</v>
      </c>
      <c r="B2802">
        <v>2.4925816023695999</v>
      </c>
      <c r="C2802" s="1">
        <v>42766</v>
      </c>
    </row>
    <row r="2803" spans="1:3">
      <c r="A2803" t="s">
        <v>32</v>
      </c>
      <c r="B2803">
        <v>11.201780415410999</v>
      </c>
      <c r="C2803" s="1">
        <v>42766</v>
      </c>
    </row>
    <row r="2804" spans="1:3">
      <c r="A2804" t="s">
        <v>35</v>
      </c>
      <c r="B2804">
        <v>3.8152818991032298</v>
      </c>
      <c r="C2804" s="1">
        <v>42766</v>
      </c>
    </row>
    <row r="2805" spans="1:3">
      <c r="A2805" t="s">
        <v>37</v>
      </c>
      <c r="B2805">
        <v>1.35163204747542</v>
      </c>
      <c r="C2805" s="1">
        <v>42766</v>
      </c>
    </row>
    <row r="2806" spans="1:3">
      <c r="A2806" t="s">
        <v>39</v>
      </c>
      <c r="B2806">
        <v>1.6995548961395099</v>
      </c>
      <c r="C2806" s="1">
        <v>42766</v>
      </c>
    </row>
    <row r="2807" spans="1:3">
      <c r="A2807" t="s">
        <v>42</v>
      </c>
      <c r="B2807">
        <v>2.1008902077115201</v>
      </c>
      <c r="C2807" s="1">
        <v>42766</v>
      </c>
    </row>
    <row r="2808" spans="1:3">
      <c r="A2808" t="s">
        <v>44</v>
      </c>
      <c r="B2808">
        <v>7.8872403560695101</v>
      </c>
      <c r="C2808" s="1">
        <v>42766</v>
      </c>
    </row>
    <row r="2809" spans="1:3">
      <c r="A2809" t="s">
        <v>47</v>
      </c>
      <c r="B2809">
        <v>11.968842729949699</v>
      </c>
      <c r="C2809" s="1">
        <v>42766</v>
      </c>
    </row>
    <row r="2810" spans="1:3">
      <c r="A2810" t="s">
        <v>49</v>
      </c>
      <c r="B2810">
        <v>14.1320474777205</v>
      </c>
      <c r="C2810" s="1">
        <v>42766</v>
      </c>
    </row>
    <row r="2811" spans="1:3">
      <c r="A2811" t="s">
        <v>51</v>
      </c>
      <c r="B2811">
        <v>1.3872403560806901</v>
      </c>
      <c r="C2811" s="1">
        <v>42766</v>
      </c>
    </row>
    <row r="2812" spans="1:3">
      <c r="A2812" t="s">
        <v>53</v>
      </c>
      <c r="B2812">
        <v>1.0682492581584</v>
      </c>
      <c r="C2812" s="1">
        <v>42766</v>
      </c>
    </row>
    <row r="2813" spans="1:3">
      <c r="A2813" t="s">
        <v>55</v>
      </c>
      <c r="B2813">
        <v>4.9488130563713097</v>
      </c>
      <c r="C2813" s="1">
        <v>42766</v>
      </c>
    </row>
    <row r="2814" spans="1:3">
      <c r="A2814" t="s">
        <v>57</v>
      </c>
      <c r="B2814">
        <v>5.4621661720974197</v>
      </c>
      <c r="C2814" s="1">
        <v>42766</v>
      </c>
    </row>
    <row r="2815" spans="1:3">
      <c r="A2815" t="s">
        <v>59</v>
      </c>
      <c r="B2815">
        <v>8.6988130563648607</v>
      </c>
      <c r="C2815" s="1">
        <v>42766</v>
      </c>
    </row>
    <row r="2816" spans="1:3">
      <c r="A2816" t="s">
        <v>61</v>
      </c>
      <c r="B2816">
        <v>52.077893174984602</v>
      </c>
      <c r="C2816" s="1">
        <v>42766</v>
      </c>
    </row>
    <row r="2817" spans="1:3">
      <c r="A2817" t="s">
        <v>63</v>
      </c>
      <c r="B2817">
        <v>11.2455489614049</v>
      </c>
      <c r="C2817" s="1">
        <v>42766</v>
      </c>
    </row>
    <row r="2818" spans="1:3">
      <c r="A2818" t="s">
        <v>65</v>
      </c>
      <c r="B2818">
        <v>0.82640949554753995</v>
      </c>
      <c r="C2818" s="1">
        <v>42766</v>
      </c>
    </row>
    <row r="2819" spans="1:3">
      <c r="A2819" t="s">
        <v>67</v>
      </c>
      <c r="B2819">
        <v>8.5363501483532698</v>
      </c>
      <c r="C2819" s="1">
        <v>42766</v>
      </c>
    </row>
    <row r="2820" spans="1:3">
      <c r="A2820" t="s">
        <v>69</v>
      </c>
      <c r="B2820">
        <v>6.0089020771410002</v>
      </c>
      <c r="C2820" s="1">
        <v>42766</v>
      </c>
    </row>
    <row r="2821" spans="1:3">
      <c r="A2821" t="s">
        <v>71</v>
      </c>
      <c r="B2821">
        <v>1.2537091988108999</v>
      </c>
      <c r="C2821" s="1">
        <v>42766</v>
      </c>
    </row>
    <row r="2822" spans="1:3">
      <c r="A2822" t="s">
        <v>73</v>
      </c>
      <c r="B2822">
        <v>2.3961424332302999</v>
      </c>
      <c r="C2822" s="1">
        <v>42766</v>
      </c>
    </row>
    <row r="2823" spans="1:3">
      <c r="A2823" t="s">
        <v>75</v>
      </c>
      <c r="B2823">
        <v>0.42284866468769999</v>
      </c>
      <c r="C2823" s="1">
        <v>42766</v>
      </c>
    </row>
    <row r="2824" spans="1:3">
      <c r="A2824" t="s">
        <v>77</v>
      </c>
      <c r="B2824">
        <v>1.9510385756643001</v>
      </c>
      <c r="C2824" s="1">
        <v>42766</v>
      </c>
    </row>
    <row r="2825" spans="1:3">
      <c r="A2825" t="s">
        <v>79</v>
      </c>
      <c r="B2825">
        <v>10.8048961424146</v>
      </c>
      <c r="C2825" s="1">
        <v>42766</v>
      </c>
    </row>
    <row r="2826" spans="1:3">
      <c r="A2826" t="s">
        <v>81</v>
      </c>
      <c r="B2826">
        <v>10.862759643898199</v>
      </c>
      <c r="C2826" s="1">
        <v>42766</v>
      </c>
    </row>
    <row r="2827" spans="1:3">
      <c r="A2827" t="s">
        <v>83</v>
      </c>
      <c r="B2827">
        <v>0.57863501483579904</v>
      </c>
      <c r="C2827" s="1">
        <v>42766</v>
      </c>
    </row>
    <row r="2828" spans="1:3">
      <c r="A2828" t="s">
        <v>85</v>
      </c>
      <c r="B2828">
        <v>8.9028189910826097</v>
      </c>
      <c r="C2828" s="1">
        <v>42766</v>
      </c>
    </row>
    <row r="2829" spans="1:3">
      <c r="A2829" t="s">
        <v>87</v>
      </c>
      <c r="B2829">
        <v>22.848664688387998</v>
      </c>
      <c r="C2829" s="1">
        <v>42766</v>
      </c>
    </row>
    <row r="2830" spans="1:3">
      <c r="A2830" t="s">
        <v>89</v>
      </c>
      <c r="B2830">
        <v>9.9406528189739998</v>
      </c>
      <c r="C2830" s="1">
        <v>42766</v>
      </c>
    </row>
    <row r="2831" spans="1:3">
      <c r="A2831" t="s">
        <v>91</v>
      </c>
      <c r="B2831">
        <v>17.813798219553899</v>
      </c>
      <c r="C2831" s="1">
        <v>42766</v>
      </c>
    </row>
    <row r="2832" spans="1:3">
      <c r="A2832" t="s">
        <v>93</v>
      </c>
      <c r="B2832">
        <v>25.778931750697499</v>
      </c>
      <c r="C2832" s="1">
        <v>42766</v>
      </c>
    </row>
    <row r="2833" spans="1:3">
      <c r="A2833" t="s">
        <v>95</v>
      </c>
      <c r="B2833">
        <v>1.0497032640931501</v>
      </c>
      <c r="C2833" s="1">
        <v>42766</v>
      </c>
    </row>
    <row r="2834" spans="1:3">
      <c r="A2834" t="s">
        <v>97</v>
      </c>
      <c r="B2834">
        <v>13.5007418397393</v>
      </c>
      <c r="C2834" s="1">
        <v>42766</v>
      </c>
    </row>
    <row r="2835" spans="1:3">
      <c r="A2835" t="s">
        <v>99</v>
      </c>
      <c r="B2835">
        <v>8.7900593471658901</v>
      </c>
      <c r="C2835" s="1">
        <v>42766</v>
      </c>
    </row>
    <row r="2836" spans="1:3">
      <c r="A2836" t="s">
        <v>101</v>
      </c>
      <c r="B2836">
        <v>8.4940652818845006</v>
      </c>
      <c r="C2836" s="1">
        <v>42766</v>
      </c>
    </row>
    <row r="2837" spans="1:3">
      <c r="A2837" t="s">
        <v>103</v>
      </c>
      <c r="B2837">
        <v>0.98293768545825</v>
      </c>
      <c r="C2837" s="1">
        <v>42766</v>
      </c>
    </row>
    <row r="2838" spans="1:3">
      <c r="A2838" t="s">
        <v>105</v>
      </c>
      <c r="B2838">
        <v>0.50816023738784999</v>
      </c>
      <c r="C2838" s="1">
        <v>42766</v>
      </c>
    </row>
    <row r="2839" spans="1:3">
      <c r="A2839" t="s">
        <v>107</v>
      </c>
      <c r="B2839">
        <v>6.5029673590392596</v>
      </c>
      <c r="C2839" s="1">
        <v>42766</v>
      </c>
    </row>
    <row r="2840" spans="1:3">
      <c r="A2840" t="s">
        <v>109</v>
      </c>
      <c r="B2840">
        <v>2.5081602373844101</v>
      </c>
      <c r="C2840" s="1">
        <v>42766</v>
      </c>
    </row>
    <row r="2841" spans="1:3">
      <c r="A2841" t="s">
        <v>111</v>
      </c>
      <c r="B2841">
        <v>7.6335311572568996</v>
      </c>
      <c r="C2841" s="1">
        <v>42766</v>
      </c>
    </row>
    <row r="2842" spans="1:3">
      <c r="A2842" t="s">
        <v>113</v>
      </c>
      <c r="B2842">
        <v>11.9272997032435</v>
      </c>
      <c r="C2842" s="1">
        <v>42766</v>
      </c>
    </row>
    <row r="2843" spans="1:3">
      <c r="A2843" t="s">
        <v>115</v>
      </c>
      <c r="B2843">
        <v>5.5007418397531502</v>
      </c>
      <c r="C2843" s="1">
        <v>42766</v>
      </c>
    </row>
    <row r="2844" spans="1:3">
      <c r="A2844" t="s">
        <v>117</v>
      </c>
      <c r="B2844">
        <v>5.0712166172019497</v>
      </c>
      <c r="C2844" s="1">
        <v>42766</v>
      </c>
    </row>
    <row r="2845" spans="1:3">
      <c r="A2845" t="s">
        <v>119</v>
      </c>
      <c r="B2845">
        <v>15.356083086026899</v>
      </c>
      <c r="C2845" s="1">
        <v>42766</v>
      </c>
    </row>
    <row r="2846" spans="1:3">
      <c r="A2846" t="s">
        <v>121</v>
      </c>
      <c r="B2846">
        <v>16.721810088992001</v>
      </c>
      <c r="C2846" s="1">
        <v>42766</v>
      </c>
    </row>
    <row r="2847" spans="1:3">
      <c r="A2847" t="s">
        <v>123</v>
      </c>
      <c r="B2847">
        <v>4.8212166172023796</v>
      </c>
      <c r="C2847" s="1">
        <v>42766</v>
      </c>
    </row>
    <row r="2848" spans="1:3">
      <c r="A2848" t="s">
        <v>125</v>
      </c>
      <c r="B2848">
        <v>158.59347180981601</v>
      </c>
      <c r="C2848" s="1">
        <v>42766</v>
      </c>
    </row>
    <row r="2849" spans="1:3">
      <c r="A2849" t="s">
        <v>127</v>
      </c>
      <c r="B2849">
        <v>9.3078635014676703</v>
      </c>
      <c r="C2849" s="1">
        <v>42766</v>
      </c>
    </row>
    <row r="2850" spans="1:3">
      <c r="A2850" t="s">
        <v>129</v>
      </c>
      <c r="B2850">
        <v>3.7240356083021999</v>
      </c>
      <c r="C2850" s="1">
        <v>42766</v>
      </c>
    </row>
    <row r="2851" spans="1:3">
      <c r="A2851" t="s">
        <v>131</v>
      </c>
      <c r="B2851">
        <v>3.8649851631980998</v>
      </c>
      <c r="C2851" s="1">
        <v>42766</v>
      </c>
    </row>
    <row r="2852" spans="1:3">
      <c r="A2852" t="s">
        <v>134</v>
      </c>
      <c r="B2852">
        <v>2.7114243323395399</v>
      </c>
      <c r="C2852" s="1">
        <v>42766</v>
      </c>
    </row>
    <row r="2853" spans="1:3">
      <c r="A2853" t="s">
        <v>136</v>
      </c>
      <c r="B2853">
        <v>13.278931750719</v>
      </c>
      <c r="C2853" s="1">
        <v>42766</v>
      </c>
    </row>
    <row r="2854" spans="1:3">
      <c r="A2854" t="s">
        <v>138</v>
      </c>
      <c r="B2854">
        <v>11.762611275944099</v>
      </c>
      <c r="C2854" s="1">
        <v>42766</v>
      </c>
    </row>
    <row r="2855" spans="1:3">
      <c r="A2855" t="s">
        <v>140</v>
      </c>
      <c r="B2855">
        <v>9.0504451038419997</v>
      </c>
      <c r="C2855" s="1">
        <v>42766</v>
      </c>
    </row>
    <row r="2856" spans="1:3">
      <c r="A2856" t="s">
        <v>142</v>
      </c>
      <c r="B2856">
        <v>7.0296735904923597</v>
      </c>
      <c r="C2856" s="1">
        <v>42766</v>
      </c>
    </row>
    <row r="2857" spans="1:3">
      <c r="A2857" t="s">
        <v>144</v>
      </c>
      <c r="B2857">
        <v>5.0526706231367102</v>
      </c>
      <c r="C2857" s="1">
        <v>42766</v>
      </c>
    </row>
    <row r="2858" spans="1:3">
      <c r="A2858" t="s">
        <v>146</v>
      </c>
      <c r="B2858">
        <v>6.4221068249147697</v>
      </c>
      <c r="C2858" s="1">
        <v>42766</v>
      </c>
    </row>
    <row r="2859" spans="1:3">
      <c r="A2859" t="s">
        <v>148</v>
      </c>
      <c r="B2859">
        <v>10.676557863483101</v>
      </c>
      <c r="C2859" s="1">
        <v>42766</v>
      </c>
    </row>
    <row r="2860" spans="1:3">
      <c r="A2860" t="s">
        <v>150</v>
      </c>
      <c r="B2860">
        <v>6.7967359050328202</v>
      </c>
      <c r="C2860" s="1">
        <v>42766</v>
      </c>
    </row>
    <row r="2861" spans="1:3">
      <c r="A2861" t="s">
        <v>152</v>
      </c>
      <c r="B2861">
        <v>12.6031157269812</v>
      </c>
      <c r="C2861" s="1">
        <v>42766</v>
      </c>
    </row>
    <row r="2862" spans="1:3">
      <c r="A2862" t="s">
        <v>154</v>
      </c>
      <c r="B2862">
        <v>30.089762611224199</v>
      </c>
      <c r="C2862" s="1">
        <v>42766</v>
      </c>
    </row>
    <row r="2863" spans="1:3">
      <c r="A2863" t="s">
        <v>156</v>
      </c>
      <c r="B2863">
        <v>29.637240356032098</v>
      </c>
      <c r="C2863" s="1">
        <v>42766</v>
      </c>
    </row>
    <row r="2864" spans="1:3">
      <c r="A2864" t="s">
        <v>158</v>
      </c>
      <c r="B2864">
        <v>26.0586053412014</v>
      </c>
      <c r="C2864" s="1">
        <v>42766</v>
      </c>
    </row>
    <row r="2865" spans="1:3">
      <c r="A2865" t="s">
        <v>160</v>
      </c>
      <c r="B2865">
        <v>17.226261127566801</v>
      </c>
      <c r="C2865" s="1">
        <v>42766</v>
      </c>
    </row>
    <row r="2866" spans="1:3">
      <c r="A2866" t="s">
        <v>162</v>
      </c>
      <c r="B2866">
        <v>3.9643916913878399</v>
      </c>
      <c r="C2866" s="1">
        <v>42766</v>
      </c>
    </row>
    <row r="2867" spans="1:3">
      <c r="A2867" t="s">
        <v>164</v>
      </c>
      <c r="B2867">
        <v>3.42507418397037</v>
      </c>
      <c r="C2867" s="1">
        <v>42766</v>
      </c>
    </row>
    <row r="2868" spans="1:3">
      <c r="A2868" t="s">
        <v>166</v>
      </c>
      <c r="B2868">
        <v>8.1750741839622005</v>
      </c>
      <c r="C2868" s="1">
        <v>42766</v>
      </c>
    </row>
    <row r="2869" spans="1:3">
      <c r="A2869" t="s">
        <v>168</v>
      </c>
      <c r="B2869">
        <v>8.9391691394505006</v>
      </c>
      <c r="C2869" s="1">
        <v>42766</v>
      </c>
    </row>
    <row r="2870" spans="1:3">
      <c r="A2870" t="s">
        <v>8</v>
      </c>
      <c r="B2870">
        <v>23.191131498355901</v>
      </c>
      <c r="C2870" s="1">
        <v>42794</v>
      </c>
    </row>
    <row r="2871" spans="1:3">
      <c r="A2871" t="s">
        <v>11</v>
      </c>
      <c r="B2871">
        <v>62.792048929352099</v>
      </c>
      <c r="C2871" s="1">
        <v>42794</v>
      </c>
    </row>
    <row r="2872" spans="1:3">
      <c r="A2872" t="s">
        <v>14</v>
      </c>
      <c r="B2872">
        <v>7.0733944953777597</v>
      </c>
      <c r="C2872" s="1">
        <v>42794</v>
      </c>
    </row>
    <row r="2873" spans="1:3">
      <c r="A2873" t="s">
        <v>17</v>
      </c>
      <c r="B2873">
        <v>7.3035168195356404</v>
      </c>
      <c r="C2873" s="1">
        <v>42794</v>
      </c>
    </row>
    <row r="2874" spans="1:3">
      <c r="A2874" t="s">
        <v>20</v>
      </c>
      <c r="B2874">
        <v>1.38226299693504</v>
      </c>
      <c r="C2874" s="1">
        <v>42794</v>
      </c>
    </row>
    <row r="2875" spans="1:3">
      <c r="A2875" t="s">
        <v>24</v>
      </c>
      <c r="B2875">
        <v>3.7454128440181198</v>
      </c>
      <c r="C2875" s="1">
        <v>42794</v>
      </c>
    </row>
    <row r="2876" spans="1:3">
      <c r="A2876" t="s">
        <v>27</v>
      </c>
      <c r="B2876">
        <v>15.566513761390601</v>
      </c>
      <c r="C2876" s="1">
        <v>42794</v>
      </c>
    </row>
    <row r="2877" spans="1:3">
      <c r="A2877" t="s">
        <v>29</v>
      </c>
      <c r="B2877">
        <v>2.5619266054918799</v>
      </c>
      <c r="C2877" s="1">
        <v>42794</v>
      </c>
    </row>
    <row r="2878" spans="1:3">
      <c r="A2878" t="s">
        <v>32</v>
      </c>
      <c r="B2878">
        <v>11.3325688072832</v>
      </c>
      <c r="C2878" s="1">
        <v>42794</v>
      </c>
    </row>
    <row r="2879" spans="1:3">
      <c r="A2879" t="s">
        <v>35</v>
      </c>
      <c r="B2879">
        <v>4.4984709479899196</v>
      </c>
      <c r="C2879" s="1">
        <v>42794</v>
      </c>
    </row>
    <row r="2880" spans="1:3">
      <c r="A2880" t="s">
        <v>37</v>
      </c>
      <c r="B2880">
        <v>1.4204892966290299</v>
      </c>
      <c r="C2880" s="1">
        <v>42794</v>
      </c>
    </row>
    <row r="2881" spans="1:3">
      <c r="A2881" t="s">
        <v>39</v>
      </c>
      <c r="B2881">
        <v>1.87385321099988</v>
      </c>
      <c r="C2881" s="1">
        <v>42794</v>
      </c>
    </row>
    <row r="2882" spans="1:3">
      <c r="A2882" t="s">
        <v>42</v>
      </c>
      <c r="B2882">
        <v>2.3249235473890799</v>
      </c>
      <c r="C2882" s="1">
        <v>42794</v>
      </c>
    </row>
    <row r="2883" spans="1:3">
      <c r="A2883" t="s">
        <v>44</v>
      </c>
      <c r="B2883">
        <v>8.2507645259529596</v>
      </c>
      <c r="C2883" s="1">
        <v>42794</v>
      </c>
    </row>
    <row r="2884" spans="1:3">
      <c r="A2884" t="s">
        <v>47</v>
      </c>
      <c r="B2884">
        <v>12.4464831803664</v>
      </c>
      <c r="C2884" s="1">
        <v>42794</v>
      </c>
    </row>
    <row r="2885" spans="1:3">
      <c r="A2885" t="s">
        <v>49</v>
      </c>
      <c r="B2885">
        <v>13.646788990757999</v>
      </c>
      <c r="C2885" s="1">
        <v>42794</v>
      </c>
    </row>
    <row r="2886" spans="1:3">
      <c r="A2886" t="s">
        <v>51</v>
      </c>
      <c r="B2886">
        <v>1.43501529051276</v>
      </c>
      <c r="C2886" s="1">
        <v>42794</v>
      </c>
    </row>
    <row r="2887" spans="1:3">
      <c r="A2887" t="s">
        <v>53</v>
      </c>
      <c r="B2887">
        <v>1.1238532110035999</v>
      </c>
      <c r="C2887" s="1">
        <v>42794</v>
      </c>
    </row>
    <row r="2888" spans="1:3">
      <c r="A2888" t="s">
        <v>55</v>
      </c>
      <c r="B2888">
        <v>5.1467889908001601</v>
      </c>
      <c r="C2888" s="1">
        <v>42794</v>
      </c>
    </row>
    <row r="2889" spans="1:3">
      <c r="A2889" t="s">
        <v>57</v>
      </c>
      <c r="B2889">
        <v>5.2117737002799602</v>
      </c>
      <c r="C2889" s="1">
        <v>42794</v>
      </c>
    </row>
    <row r="2890" spans="1:3">
      <c r="A2890" t="s">
        <v>59</v>
      </c>
      <c r="B2890">
        <v>9.1743119265599997</v>
      </c>
      <c r="C2890" s="1">
        <v>42794</v>
      </c>
    </row>
    <row r="2891" spans="1:3">
      <c r="A2891" t="s">
        <v>61</v>
      </c>
      <c r="B2891">
        <v>55.428134556300002</v>
      </c>
      <c r="C2891" s="1">
        <v>42794</v>
      </c>
    </row>
    <row r="2892" spans="1:3">
      <c r="A2892" t="s">
        <v>63</v>
      </c>
      <c r="B2892">
        <v>11.348623853154701</v>
      </c>
      <c r="C2892" s="1">
        <v>42794</v>
      </c>
    </row>
    <row r="2893" spans="1:3">
      <c r="A2893" t="s">
        <v>65</v>
      </c>
      <c r="B2893">
        <v>0.83103975534756003</v>
      </c>
      <c r="C2893" s="1">
        <v>42794</v>
      </c>
    </row>
    <row r="2894" spans="1:3">
      <c r="A2894" t="s">
        <v>67</v>
      </c>
      <c r="B2894">
        <v>9.4036697247240006</v>
      </c>
      <c r="C2894" s="1">
        <v>42794</v>
      </c>
    </row>
    <row r="2895" spans="1:3">
      <c r="A2895" t="s">
        <v>69</v>
      </c>
      <c r="B2895">
        <v>6.6651376146458396</v>
      </c>
      <c r="C2895" s="1">
        <v>42794</v>
      </c>
    </row>
    <row r="2896" spans="1:3">
      <c r="A2896" t="s">
        <v>71</v>
      </c>
      <c r="B2896">
        <v>1.4510703363842401</v>
      </c>
      <c r="C2896" s="1">
        <v>42794</v>
      </c>
    </row>
    <row r="2897" spans="1:3">
      <c r="A2897" t="s">
        <v>73</v>
      </c>
      <c r="B2897">
        <v>2.4311926605384002</v>
      </c>
      <c r="C2897" s="1">
        <v>42794</v>
      </c>
    </row>
    <row r="2898" spans="1:3">
      <c r="A2898" t="s">
        <v>75</v>
      </c>
      <c r="B2898">
        <v>0.42889908256668002</v>
      </c>
      <c r="C2898" s="1">
        <v>42794</v>
      </c>
    </row>
    <row r="2899" spans="1:3">
      <c r="A2899" t="s">
        <v>77</v>
      </c>
      <c r="B2899">
        <v>2.0244648317942402</v>
      </c>
      <c r="C2899" s="1">
        <v>42794</v>
      </c>
    </row>
    <row r="2900" spans="1:3">
      <c r="A2900" t="s">
        <v>79</v>
      </c>
      <c r="B2900">
        <v>11.811926605446001</v>
      </c>
      <c r="C2900" s="1">
        <v>42794</v>
      </c>
    </row>
    <row r="2901" spans="1:3">
      <c r="A2901" t="s">
        <v>81</v>
      </c>
      <c r="B2901">
        <v>11.142966360800999</v>
      </c>
      <c r="C2901" s="1">
        <v>42794</v>
      </c>
    </row>
    <row r="2902" spans="1:3">
      <c r="A2902" t="s">
        <v>83</v>
      </c>
      <c r="B2902">
        <v>0.71636085626556001</v>
      </c>
      <c r="C2902" s="1">
        <v>42794</v>
      </c>
    </row>
    <row r="2903" spans="1:3">
      <c r="A2903" t="s">
        <v>85</v>
      </c>
      <c r="B2903">
        <v>9.5909785932245999</v>
      </c>
      <c r="C2903" s="1">
        <v>42794</v>
      </c>
    </row>
    <row r="2904" spans="1:3">
      <c r="A2904" t="s">
        <v>87</v>
      </c>
      <c r="B2904">
        <v>21.664373088577499</v>
      </c>
      <c r="C2904" s="1">
        <v>42794</v>
      </c>
    </row>
    <row r="2905" spans="1:3">
      <c r="A2905" t="s">
        <v>89</v>
      </c>
      <c r="B2905">
        <v>10.999235473951501</v>
      </c>
      <c r="C2905" s="1">
        <v>42794</v>
      </c>
    </row>
    <row r="2906" spans="1:3">
      <c r="A2906" t="s">
        <v>91</v>
      </c>
      <c r="B2906">
        <v>18.540519877583801</v>
      </c>
      <c r="C2906" s="1">
        <v>42794</v>
      </c>
    </row>
    <row r="2907" spans="1:3">
      <c r="A2907" t="s">
        <v>93</v>
      </c>
      <c r="B2907">
        <v>28.288226299553799</v>
      </c>
      <c r="C2907" s="1">
        <v>42794</v>
      </c>
    </row>
    <row r="2908" spans="1:3">
      <c r="A2908" t="s">
        <v>95</v>
      </c>
      <c r="B2908">
        <v>1.0420489296584401</v>
      </c>
      <c r="C2908" s="1">
        <v>42794</v>
      </c>
    </row>
    <row r="2909" spans="1:3">
      <c r="A2909" t="s">
        <v>97</v>
      </c>
      <c r="B2909">
        <v>13.232415902074999</v>
      </c>
      <c r="C2909" s="1">
        <v>42794</v>
      </c>
    </row>
    <row r="2910" spans="1:3">
      <c r="A2910" t="s">
        <v>99</v>
      </c>
      <c r="B2910">
        <v>8.3868501528635999</v>
      </c>
      <c r="C2910" s="1">
        <v>42794</v>
      </c>
    </row>
    <row r="2911" spans="1:3">
      <c r="A2911" t="s">
        <v>101</v>
      </c>
      <c r="B2911">
        <v>10.741590214014</v>
      </c>
      <c r="C2911" s="1">
        <v>42794</v>
      </c>
    </row>
    <row r="2912" spans="1:3">
      <c r="A2912" t="s">
        <v>103</v>
      </c>
      <c r="B2912">
        <v>1.1926605504528001</v>
      </c>
      <c r="C2912" s="1">
        <v>42794</v>
      </c>
    </row>
    <row r="2913" spans="1:3">
      <c r="A2913" t="s">
        <v>105</v>
      </c>
      <c r="B2913">
        <v>0.50458715596079995</v>
      </c>
      <c r="C2913" s="1">
        <v>42794</v>
      </c>
    </row>
    <row r="2914" spans="1:3">
      <c r="A2914" t="s">
        <v>107</v>
      </c>
      <c r="B2914">
        <v>6.6055045871231997</v>
      </c>
      <c r="C2914" s="1">
        <v>42794</v>
      </c>
    </row>
    <row r="2915" spans="1:3">
      <c r="A2915" t="s">
        <v>109</v>
      </c>
      <c r="B2915">
        <v>2.4388379204772002</v>
      </c>
      <c r="C2915" s="1">
        <v>42794</v>
      </c>
    </row>
    <row r="2916" spans="1:3">
      <c r="A2916" t="s">
        <v>111</v>
      </c>
      <c r="B2916">
        <v>8.3685015290104801</v>
      </c>
      <c r="C2916" s="1">
        <v>42794</v>
      </c>
    </row>
    <row r="2917" spans="1:3">
      <c r="A2917" t="s">
        <v>113</v>
      </c>
      <c r="B2917">
        <v>12.4136085626295</v>
      </c>
      <c r="C2917" s="1">
        <v>42794</v>
      </c>
    </row>
    <row r="2918" spans="1:3">
      <c r="A2918" t="s">
        <v>115</v>
      </c>
      <c r="B2918">
        <v>5.3516819571600003</v>
      </c>
      <c r="C2918" s="1">
        <v>42794</v>
      </c>
    </row>
    <row r="2919" spans="1:3">
      <c r="A2919" t="s">
        <v>117</v>
      </c>
      <c r="B2919">
        <v>5.3096330274966004</v>
      </c>
      <c r="C2919" s="1">
        <v>42794</v>
      </c>
    </row>
    <row r="2920" spans="1:3">
      <c r="A2920" t="s">
        <v>119</v>
      </c>
      <c r="B2920">
        <v>16.399082568726001</v>
      </c>
      <c r="C2920" s="1">
        <v>42794</v>
      </c>
    </row>
    <row r="2921" spans="1:3">
      <c r="A2921" t="s">
        <v>121</v>
      </c>
      <c r="B2921">
        <v>17.0718654433404</v>
      </c>
      <c r="C2921" s="1">
        <v>42794</v>
      </c>
    </row>
    <row r="2922" spans="1:3">
      <c r="A2922" t="s">
        <v>123</v>
      </c>
      <c r="B2922">
        <v>5.1811926605247596</v>
      </c>
      <c r="C2922" s="1">
        <v>42794</v>
      </c>
    </row>
    <row r="2923" spans="1:3">
      <c r="A2923" t="s">
        <v>125</v>
      </c>
      <c r="B2923">
        <v>160.37232415822501</v>
      </c>
      <c r="C2923" s="1">
        <v>42794</v>
      </c>
    </row>
    <row r="2924" spans="1:3">
      <c r="A2924" t="s">
        <v>127</v>
      </c>
      <c r="B2924">
        <v>9.1582568806885192</v>
      </c>
      <c r="C2924" s="1">
        <v>42794</v>
      </c>
    </row>
    <row r="2925" spans="1:3">
      <c r="A2925" t="s">
        <v>129</v>
      </c>
      <c r="B2925">
        <v>3.80122324157136</v>
      </c>
      <c r="C2925" s="1">
        <v>42794</v>
      </c>
    </row>
    <row r="2926" spans="1:3">
      <c r="A2926" t="s">
        <v>131</v>
      </c>
      <c r="B2926">
        <v>4.1727828745970399</v>
      </c>
      <c r="C2926" s="1">
        <v>42794</v>
      </c>
    </row>
    <row r="2927" spans="1:3">
      <c r="A2927" t="s">
        <v>134</v>
      </c>
      <c r="B2927">
        <v>2.6605504587023998</v>
      </c>
      <c r="C2927" s="1">
        <v>42794</v>
      </c>
    </row>
    <row r="2928" spans="1:3">
      <c r="A2928" t="s">
        <v>136</v>
      </c>
      <c r="B2928">
        <v>14.468654434178999</v>
      </c>
      <c r="C2928" s="1">
        <v>42794</v>
      </c>
    </row>
    <row r="2929" spans="1:3">
      <c r="A2929" t="s">
        <v>138</v>
      </c>
      <c r="B2929">
        <v>11.851681957127701</v>
      </c>
      <c r="C2929" s="1">
        <v>42794</v>
      </c>
    </row>
    <row r="2930" spans="1:3">
      <c r="A2930" t="s">
        <v>140</v>
      </c>
      <c r="B2930">
        <v>9.8241590213579997</v>
      </c>
      <c r="C2930" s="1">
        <v>42794</v>
      </c>
    </row>
    <row r="2931" spans="1:3">
      <c r="A2931" t="s">
        <v>142</v>
      </c>
      <c r="B2931">
        <v>7.0489296635735998</v>
      </c>
      <c r="C2931" s="1">
        <v>42794</v>
      </c>
    </row>
    <row r="2932" spans="1:3">
      <c r="A2932" t="s">
        <v>144</v>
      </c>
      <c r="B2932">
        <v>5.36467889905596</v>
      </c>
      <c r="C2932" s="1">
        <v>42794</v>
      </c>
    </row>
    <row r="2933" spans="1:3">
      <c r="A2933" t="s">
        <v>146</v>
      </c>
      <c r="B2933">
        <v>6.2545871559322803</v>
      </c>
      <c r="C2933" s="1">
        <v>42794</v>
      </c>
    </row>
    <row r="2934" spans="1:3">
      <c r="A2934" t="s">
        <v>148</v>
      </c>
      <c r="B2934">
        <v>10.9487767583554</v>
      </c>
      <c r="C2934" s="1">
        <v>42794</v>
      </c>
    </row>
    <row r="2935" spans="1:3">
      <c r="A2935" t="s">
        <v>150</v>
      </c>
      <c r="B2935">
        <v>7.2821100917069996</v>
      </c>
      <c r="C2935" s="1">
        <v>42794</v>
      </c>
    </row>
    <row r="2936" spans="1:3">
      <c r="A2936" t="s">
        <v>152</v>
      </c>
      <c r="B2936">
        <v>11.132262996886601</v>
      </c>
      <c r="C2936" s="1">
        <v>42794</v>
      </c>
    </row>
    <row r="2937" spans="1:3">
      <c r="A2937" t="s">
        <v>154</v>
      </c>
      <c r="B2937">
        <v>31.957186544184001</v>
      </c>
      <c r="C2937" s="1">
        <v>42794</v>
      </c>
    </row>
    <row r="2938" spans="1:3">
      <c r="A2938" t="s">
        <v>156</v>
      </c>
      <c r="B2938">
        <v>28.516819571724</v>
      </c>
      <c r="C2938" s="1">
        <v>42794</v>
      </c>
    </row>
    <row r="2939" spans="1:3">
      <c r="A2939" t="s">
        <v>158</v>
      </c>
      <c r="B2939">
        <v>23.203363914257999</v>
      </c>
      <c r="C2939" s="1">
        <v>42794</v>
      </c>
    </row>
    <row r="2940" spans="1:3">
      <c r="A2940" t="s">
        <v>160</v>
      </c>
      <c r="B2940">
        <v>18.730886850059999</v>
      </c>
      <c r="C2940" s="1">
        <v>42794</v>
      </c>
    </row>
    <row r="2941" spans="1:3">
      <c r="A2941" t="s">
        <v>162</v>
      </c>
      <c r="B2941">
        <v>3.3669724770475198</v>
      </c>
      <c r="C2941" s="1">
        <v>42794</v>
      </c>
    </row>
    <row r="2942" spans="1:3">
      <c r="A2942" t="s">
        <v>164</v>
      </c>
      <c r="B2942">
        <v>3.077217125367</v>
      </c>
      <c r="C2942" s="1">
        <v>42794</v>
      </c>
    </row>
    <row r="2943" spans="1:3">
      <c r="A2943" t="s">
        <v>166</v>
      </c>
      <c r="B2943">
        <v>8.8577981650936799</v>
      </c>
      <c r="C2943" s="1">
        <v>42794</v>
      </c>
    </row>
    <row r="2944" spans="1:3">
      <c r="A2944" t="s">
        <v>168</v>
      </c>
      <c r="B2944">
        <v>7.7599388378820002</v>
      </c>
      <c r="C2944" s="1">
        <v>42794</v>
      </c>
    </row>
    <row r="2945" spans="1:3">
      <c r="A2945" t="s">
        <v>8</v>
      </c>
      <c r="B2945">
        <v>24.0104409435619</v>
      </c>
      <c r="C2945" s="1">
        <v>42825</v>
      </c>
    </row>
    <row r="2946" spans="1:3">
      <c r="A2946" t="s">
        <v>11</v>
      </c>
      <c r="B2946">
        <v>65.736179733788404</v>
      </c>
      <c r="C2946" s="1">
        <v>42825</v>
      </c>
    </row>
    <row r="2947" spans="1:3">
      <c r="A2947" t="s">
        <v>14</v>
      </c>
      <c r="B2947">
        <v>6.8313601193671998</v>
      </c>
      <c r="C2947" s="1">
        <v>42825</v>
      </c>
    </row>
    <row r="2948" spans="1:3">
      <c r="A2948" t="s">
        <v>17</v>
      </c>
      <c r="B2948">
        <v>7.9067772909968399</v>
      </c>
      <c r="C2948" s="1">
        <v>42825</v>
      </c>
    </row>
    <row r="2949" spans="1:3">
      <c r="A2949" t="s">
        <v>20</v>
      </c>
      <c r="B2949">
        <v>1.2708119698036799</v>
      </c>
      <c r="C2949" s="1">
        <v>42825</v>
      </c>
    </row>
    <row r="2950" spans="1:3">
      <c r="A2950" t="s">
        <v>24</v>
      </c>
      <c r="B2950">
        <v>3.6535844131855799</v>
      </c>
      <c r="C2950" s="1">
        <v>42825</v>
      </c>
    </row>
    <row r="2951" spans="1:3">
      <c r="A2951" t="s">
        <v>27</v>
      </c>
      <c r="B2951">
        <v>15.217675025730101</v>
      </c>
      <c r="C2951" s="1">
        <v>42825</v>
      </c>
    </row>
    <row r="2952" spans="1:3">
      <c r="A2952" t="s">
        <v>29</v>
      </c>
      <c r="B2952">
        <v>2.1620210683455801</v>
      </c>
      <c r="C2952" s="1">
        <v>42825</v>
      </c>
    </row>
    <row r="2953" spans="1:3">
      <c r="A2953" t="s">
        <v>32</v>
      </c>
      <c r="B2953">
        <v>11.335881420784</v>
      </c>
      <c r="C2953" s="1">
        <v>42825</v>
      </c>
    </row>
    <row r="2954" spans="1:3">
      <c r="A2954" t="s">
        <v>35</v>
      </c>
      <c r="B2954">
        <v>4.6424909108144998</v>
      </c>
      <c r="C2954" s="1">
        <v>42825</v>
      </c>
    </row>
    <row r="2955" spans="1:3">
      <c r="A2955" t="s">
        <v>37</v>
      </c>
      <c r="B2955">
        <v>1.32898294025244</v>
      </c>
      <c r="C2955" s="1">
        <v>42825</v>
      </c>
    </row>
    <row r="2956" spans="1:3">
      <c r="A2956" t="s">
        <v>39</v>
      </c>
      <c r="B2956">
        <v>1.90323482801584</v>
      </c>
      <c r="C2956" s="1">
        <v>42825</v>
      </c>
    </row>
    <row r="2957" spans="1:3">
      <c r="A2957" t="s">
        <v>42</v>
      </c>
      <c r="B2957">
        <v>2.2000559336390002</v>
      </c>
      <c r="C2957" s="1">
        <v>42825</v>
      </c>
    </row>
    <row r="2958" spans="1:3">
      <c r="A2958" t="s">
        <v>44</v>
      </c>
      <c r="B2958">
        <v>8.7920201361593797</v>
      </c>
      <c r="C2958" s="1">
        <v>42825</v>
      </c>
    </row>
    <row r="2959" spans="1:3">
      <c r="A2959" t="s">
        <v>47</v>
      </c>
      <c r="B2959">
        <v>9.6101426308041198</v>
      </c>
      <c r="C2959" s="1">
        <v>42825</v>
      </c>
    </row>
    <row r="2960" spans="1:3">
      <c r="A2960" t="s">
        <v>49</v>
      </c>
      <c r="B2960">
        <v>12.995991423590899</v>
      </c>
      <c r="C2960" s="1">
        <v>42825</v>
      </c>
    </row>
    <row r="2961" spans="1:3">
      <c r="A2961" t="s">
        <v>51</v>
      </c>
      <c r="B2961">
        <v>1.4356297194084999</v>
      </c>
      <c r="C2961" s="1">
        <v>42825</v>
      </c>
    </row>
    <row r="2962" spans="1:3">
      <c r="A2962" t="s">
        <v>53</v>
      </c>
      <c r="B2962">
        <v>1.0478232497501001</v>
      </c>
      <c r="C2962" s="1">
        <v>42825</v>
      </c>
    </row>
    <row r="2963" spans="1:3">
      <c r="A2963" t="s">
        <v>55</v>
      </c>
      <c r="B2963">
        <v>4.71632329638408</v>
      </c>
      <c r="C2963" s="1">
        <v>42825</v>
      </c>
    </row>
    <row r="2964" spans="1:3">
      <c r="A2964" t="s">
        <v>57</v>
      </c>
      <c r="B2964">
        <v>5.5955998881672597</v>
      </c>
      <c r="C2964" s="1">
        <v>42825</v>
      </c>
    </row>
    <row r="2965" spans="1:3">
      <c r="A2965" t="s">
        <v>59</v>
      </c>
      <c r="B2965">
        <v>8.6913396103826805</v>
      </c>
      <c r="C2965" s="1">
        <v>42825</v>
      </c>
    </row>
    <row r="2966" spans="1:3">
      <c r="A2966" t="s">
        <v>61</v>
      </c>
      <c r="B2966">
        <v>56.781579193041502</v>
      </c>
      <c r="C2966" s="1">
        <v>42825</v>
      </c>
    </row>
    <row r="2967" spans="1:3">
      <c r="A2967" t="s">
        <v>63</v>
      </c>
      <c r="B2967">
        <v>11.701314440269799</v>
      </c>
      <c r="C2967" s="1">
        <v>42825</v>
      </c>
    </row>
    <row r="2968" spans="1:3">
      <c r="A2968" t="s">
        <v>65</v>
      </c>
      <c r="B2968">
        <v>0.82110562133442</v>
      </c>
      <c r="C2968" s="1">
        <v>42825</v>
      </c>
    </row>
    <row r="2969" spans="1:3">
      <c r="A2969" t="s">
        <v>67</v>
      </c>
      <c r="B2969">
        <v>9.5989559057178209</v>
      </c>
      <c r="C2969" s="1">
        <v>42825</v>
      </c>
    </row>
    <row r="2970" spans="1:3">
      <c r="A2970" t="s">
        <v>69</v>
      </c>
      <c r="B2970">
        <v>6.4592150648296203</v>
      </c>
      <c r="C2970" s="1">
        <v>42825</v>
      </c>
    </row>
    <row r="2971" spans="1:3">
      <c r="A2971" t="s">
        <v>71</v>
      </c>
      <c r="B2971">
        <v>1.4915633448400001</v>
      </c>
      <c r="C2971" s="1">
        <v>42825</v>
      </c>
    </row>
    <row r="2972" spans="1:3">
      <c r="A2972" t="s">
        <v>73</v>
      </c>
      <c r="B2972">
        <v>1.9092010813952001</v>
      </c>
      <c r="C2972" s="1">
        <v>42825</v>
      </c>
    </row>
    <row r="2973" spans="1:3">
      <c r="A2973" t="s">
        <v>75</v>
      </c>
      <c r="B2973">
        <v>0.41017991983099999</v>
      </c>
      <c r="C2973" s="1">
        <v>42825</v>
      </c>
    </row>
    <row r="2974" spans="1:3">
      <c r="A2974" t="s">
        <v>77</v>
      </c>
      <c r="B2974">
        <v>1.9315745315677999</v>
      </c>
      <c r="C2974" s="1">
        <v>42825</v>
      </c>
    </row>
    <row r="2975" spans="1:3">
      <c r="A2975" t="s">
        <v>79</v>
      </c>
      <c r="B2975">
        <v>11.620024237976001</v>
      </c>
      <c r="C2975" s="1">
        <v>42825</v>
      </c>
    </row>
    <row r="2976" spans="1:3">
      <c r="A2976" t="s">
        <v>81</v>
      </c>
      <c r="B2976">
        <v>12.0182716510483</v>
      </c>
      <c r="C2976" s="1">
        <v>42825</v>
      </c>
    </row>
    <row r="2977" spans="1:3">
      <c r="A2977" t="s">
        <v>83</v>
      </c>
      <c r="B2977">
        <v>0.66672881514348004</v>
      </c>
      <c r="C2977" s="1">
        <v>42825</v>
      </c>
    </row>
    <row r="2978" spans="1:3">
      <c r="A2978" t="s">
        <v>85</v>
      </c>
      <c r="B2978">
        <v>9.1507411205934002</v>
      </c>
      <c r="C2978" s="1">
        <v>42825</v>
      </c>
    </row>
    <row r="2979" spans="1:3">
      <c r="A2979" t="s">
        <v>87</v>
      </c>
      <c r="B2979">
        <v>20.4881141047222</v>
      </c>
      <c r="C2979" s="1">
        <v>42825</v>
      </c>
    </row>
    <row r="2980" spans="1:3">
      <c r="A2980" t="s">
        <v>89</v>
      </c>
      <c r="B2980">
        <v>10.5789130232777</v>
      </c>
      <c r="C2980" s="1">
        <v>42825</v>
      </c>
    </row>
    <row r="2981" spans="1:3">
      <c r="A2981" t="s">
        <v>91</v>
      </c>
      <c r="B2981">
        <v>18.9853640347959</v>
      </c>
      <c r="C2981" s="1">
        <v>42825</v>
      </c>
    </row>
    <row r="2982" spans="1:3">
      <c r="A2982" t="s">
        <v>93</v>
      </c>
      <c r="B2982">
        <v>27.916099562025401</v>
      </c>
      <c r="C2982" s="1">
        <v>42825</v>
      </c>
    </row>
    <row r="2983" spans="1:3">
      <c r="A2983" t="s">
        <v>95</v>
      </c>
      <c r="B2983">
        <v>1.0664677915606</v>
      </c>
      <c r="C2983" s="1">
        <v>42825</v>
      </c>
    </row>
    <row r="2984" spans="1:3">
      <c r="A2984" t="s">
        <v>97</v>
      </c>
      <c r="B2984">
        <v>12.1040365433766</v>
      </c>
      <c r="C2984" s="1">
        <v>42825</v>
      </c>
    </row>
    <row r="2985" spans="1:3">
      <c r="A2985" t="s">
        <v>99</v>
      </c>
      <c r="B2985">
        <v>7.7568751748404203</v>
      </c>
      <c r="C2985" s="1">
        <v>42825</v>
      </c>
    </row>
    <row r="2986" spans="1:3">
      <c r="A2986" t="s">
        <v>101</v>
      </c>
      <c r="B2986">
        <v>10.7653584413827</v>
      </c>
      <c r="C2986" s="1">
        <v>42825</v>
      </c>
    </row>
    <row r="2987" spans="1:3">
      <c r="A2987" t="s">
        <v>103</v>
      </c>
      <c r="B2987">
        <v>1.11867250863</v>
      </c>
      <c r="C2987" s="1">
        <v>42825</v>
      </c>
    </row>
    <row r="2988" spans="1:3">
      <c r="A2988" t="s">
        <v>105</v>
      </c>
      <c r="B2988">
        <v>0.48550386874542001</v>
      </c>
      <c r="C2988" s="1">
        <v>42825</v>
      </c>
    </row>
    <row r="2989" spans="1:3">
      <c r="A2989" t="s">
        <v>107</v>
      </c>
      <c r="B2989">
        <v>5.6679407103920001</v>
      </c>
      <c r="C2989" s="1">
        <v>42825</v>
      </c>
    </row>
    <row r="2990" spans="1:3">
      <c r="A2990" t="s">
        <v>109</v>
      </c>
      <c r="B2990">
        <v>2.4498927938996999</v>
      </c>
      <c r="C2990" s="1">
        <v>42825</v>
      </c>
    </row>
    <row r="2991" spans="1:3">
      <c r="A2991" t="s">
        <v>111</v>
      </c>
      <c r="B2991">
        <v>8.5764892328299993</v>
      </c>
      <c r="C2991" s="1">
        <v>42825</v>
      </c>
    </row>
    <row r="2992" spans="1:3">
      <c r="A2992" t="s">
        <v>113</v>
      </c>
      <c r="B2992">
        <v>11.521581057216499</v>
      </c>
      <c r="C2992" s="1">
        <v>42825</v>
      </c>
    </row>
    <row r="2993" spans="1:3">
      <c r="A2993" t="s">
        <v>115</v>
      </c>
      <c r="B2993">
        <v>5.2137596718882202</v>
      </c>
      <c r="C2993" s="1">
        <v>42825</v>
      </c>
    </row>
    <row r="2994" spans="1:3">
      <c r="A2994" t="s">
        <v>117</v>
      </c>
      <c r="B2994">
        <v>4.9616854666102599</v>
      </c>
      <c r="C2994" s="1">
        <v>42825</v>
      </c>
    </row>
    <row r="2995" spans="1:3">
      <c r="A2995" t="s">
        <v>119</v>
      </c>
      <c r="B2995">
        <v>15.132655915074199</v>
      </c>
      <c r="C2995" s="1">
        <v>42825</v>
      </c>
    </row>
    <row r="2996" spans="1:3">
      <c r="A2996" t="s">
        <v>121</v>
      </c>
      <c r="B2996">
        <v>15.369814486903699</v>
      </c>
      <c r="C2996" s="1">
        <v>42825</v>
      </c>
    </row>
    <row r="2997" spans="1:3">
      <c r="A2997" t="s">
        <v>123</v>
      </c>
      <c r="B2997">
        <v>5.0243311270935402</v>
      </c>
      <c r="C2997" s="1">
        <v>42825</v>
      </c>
    </row>
    <row r="2998" spans="1:3">
      <c r="A2998" t="s">
        <v>125</v>
      </c>
      <c r="B2998">
        <v>172.64845716523001</v>
      </c>
      <c r="C2998" s="1">
        <v>42825</v>
      </c>
    </row>
    <row r="2999" spans="1:3">
      <c r="A2999" t="s">
        <v>127</v>
      </c>
      <c r="B2999">
        <v>9.0985364035239993</v>
      </c>
      <c r="C2999" s="1">
        <v>42825</v>
      </c>
    </row>
    <row r="3000" spans="1:3">
      <c r="A3000" t="s">
        <v>129</v>
      </c>
      <c r="B3000">
        <v>3.45744383333912</v>
      </c>
      <c r="C3000" s="1">
        <v>42825</v>
      </c>
    </row>
    <row r="3001" spans="1:3">
      <c r="A3001" t="s">
        <v>131</v>
      </c>
      <c r="B3001">
        <v>3.84897921135962</v>
      </c>
      <c r="C3001" s="1">
        <v>42825</v>
      </c>
    </row>
    <row r="3002" spans="1:3">
      <c r="A3002" t="s">
        <v>134</v>
      </c>
      <c r="B3002">
        <v>2.6542369721427801</v>
      </c>
      <c r="C3002" s="1">
        <v>42825</v>
      </c>
    </row>
    <row r="3003" spans="1:3">
      <c r="A3003" t="s">
        <v>136</v>
      </c>
      <c r="B3003">
        <v>14.438333178051201</v>
      </c>
      <c r="C3003" s="1">
        <v>42825</v>
      </c>
    </row>
    <row r="3004" spans="1:3">
      <c r="A3004" t="s">
        <v>138</v>
      </c>
      <c r="B3004">
        <v>11.4753425935265</v>
      </c>
      <c r="C3004" s="1">
        <v>42825</v>
      </c>
    </row>
    <row r="3005" spans="1:3">
      <c r="A3005" t="s">
        <v>140</v>
      </c>
      <c r="B3005">
        <v>9.5534632237002004</v>
      </c>
      <c r="C3005" s="1">
        <v>42825</v>
      </c>
    </row>
    <row r="3006" spans="1:3">
      <c r="A3006" t="s">
        <v>142</v>
      </c>
      <c r="B3006">
        <v>6.8209191759533203</v>
      </c>
      <c r="C3006" s="1">
        <v>42825</v>
      </c>
    </row>
    <row r="3007" spans="1:3">
      <c r="A3007" t="s">
        <v>144</v>
      </c>
      <c r="B3007">
        <v>5.3696280414239999</v>
      </c>
      <c r="C3007" s="1">
        <v>42825</v>
      </c>
    </row>
    <row r="3008" spans="1:3">
      <c r="A3008" t="s">
        <v>146</v>
      </c>
      <c r="B3008">
        <v>6.7963083807634597</v>
      </c>
      <c r="C3008" s="1">
        <v>42825</v>
      </c>
    </row>
    <row r="3009" spans="1:3">
      <c r="A3009" t="s">
        <v>148</v>
      </c>
      <c r="B3009">
        <v>10.720611541037499</v>
      </c>
      <c r="C3009" s="1">
        <v>42825</v>
      </c>
    </row>
    <row r="3010" spans="1:3">
      <c r="A3010" t="s">
        <v>150</v>
      </c>
      <c r="B3010">
        <v>7.3832385569580001</v>
      </c>
      <c r="C3010" s="1">
        <v>42825</v>
      </c>
    </row>
    <row r="3011" spans="1:3">
      <c r="A3011" t="s">
        <v>152</v>
      </c>
      <c r="B3011">
        <v>10.6833224574165</v>
      </c>
      <c r="C3011" s="1">
        <v>42825</v>
      </c>
    </row>
    <row r="3012" spans="1:3">
      <c r="A3012" t="s">
        <v>154</v>
      </c>
      <c r="B3012">
        <v>29.864827072058901</v>
      </c>
      <c r="C3012" s="1">
        <v>42825</v>
      </c>
    </row>
    <row r="3013" spans="1:3">
      <c r="A3013" t="s">
        <v>156</v>
      </c>
      <c r="B3013">
        <v>29.129486343052701</v>
      </c>
      <c r="C3013" s="1">
        <v>42825</v>
      </c>
    </row>
    <row r="3014" spans="1:3">
      <c r="A3014" t="s">
        <v>158</v>
      </c>
      <c r="B3014">
        <v>22.8268854294313</v>
      </c>
      <c r="C3014" s="1">
        <v>42825</v>
      </c>
    </row>
    <row r="3015" spans="1:3">
      <c r="A3015" t="s">
        <v>160</v>
      </c>
      <c r="B3015">
        <v>18.010627388943</v>
      </c>
      <c r="C3015" s="1">
        <v>42825</v>
      </c>
    </row>
    <row r="3016" spans="1:3">
      <c r="A3016" t="s">
        <v>162</v>
      </c>
      <c r="B3016">
        <v>3.37242472268324</v>
      </c>
      <c r="C3016" s="1">
        <v>42825</v>
      </c>
    </row>
    <row r="3017" spans="1:3">
      <c r="A3017" t="s">
        <v>164</v>
      </c>
      <c r="B3017">
        <v>3.4880208819083398</v>
      </c>
      <c r="C3017" s="1">
        <v>42825</v>
      </c>
    </row>
    <row r="3018" spans="1:3">
      <c r="A3018" t="s">
        <v>166</v>
      </c>
      <c r="B3018">
        <v>8.8971753519705992</v>
      </c>
      <c r="C3018" s="1">
        <v>42825</v>
      </c>
    </row>
    <row r="3019" spans="1:3">
      <c r="A3019" t="s">
        <v>168</v>
      </c>
      <c r="B3019">
        <v>7.0894005780245202</v>
      </c>
      <c r="C3019" s="1">
        <v>42825</v>
      </c>
    </row>
    <row r="3020" spans="1:3">
      <c r="A3020" t="s">
        <v>8</v>
      </c>
      <c r="B3020">
        <v>25.925469319011999</v>
      </c>
      <c r="C3020" s="1">
        <v>42855</v>
      </c>
    </row>
    <row r="3021" spans="1:3">
      <c r="A3021" t="s">
        <v>11</v>
      </c>
      <c r="B3021">
        <v>67.3099841222121</v>
      </c>
      <c r="C3021" s="1">
        <v>42855</v>
      </c>
    </row>
    <row r="3022" spans="1:3">
      <c r="A3022" t="s">
        <v>14</v>
      </c>
      <c r="B3022">
        <v>7.4097319510243302</v>
      </c>
      <c r="C3022" s="1">
        <v>42855</v>
      </c>
    </row>
    <row r="3023" spans="1:3">
      <c r="A3023" t="s">
        <v>17</v>
      </c>
      <c r="B3023">
        <v>8.3780704211793697</v>
      </c>
      <c r="C3023" s="1">
        <v>42855</v>
      </c>
    </row>
    <row r="3024" spans="1:3">
      <c r="A3024" t="s">
        <v>20</v>
      </c>
      <c r="B3024">
        <v>1.2701970673330001</v>
      </c>
      <c r="C3024" s="1">
        <v>42855</v>
      </c>
    </row>
    <row r="3025" spans="1:3">
      <c r="A3025" t="s">
        <v>24</v>
      </c>
      <c r="B3025">
        <v>3.4556831978912501</v>
      </c>
      <c r="C3025" s="1">
        <v>42855</v>
      </c>
    </row>
    <row r="3026" spans="1:3">
      <c r="A3026" t="s">
        <v>27</v>
      </c>
      <c r="B3026">
        <v>14.339777715444001</v>
      </c>
      <c r="C3026" s="1">
        <v>42855</v>
      </c>
    </row>
    <row r="3027" spans="1:3">
      <c r="A3027" t="s">
        <v>29</v>
      </c>
      <c r="B3027">
        <v>2.1466330437927699</v>
      </c>
      <c r="C3027" s="1">
        <v>42855</v>
      </c>
    </row>
    <row r="3028" spans="1:3">
      <c r="A3028" t="s">
        <v>32</v>
      </c>
      <c r="B3028">
        <v>11.2980293265542</v>
      </c>
      <c r="C3028" s="1">
        <v>42855</v>
      </c>
    </row>
    <row r="3029" spans="1:3">
      <c r="A3029" t="s">
        <v>35</v>
      </c>
      <c r="B3029">
        <v>4.4740823759941204</v>
      </c>
      <c r="C3029" s="1">
        <v>42855</v>
      </c>
    </row>
    <row r="3030" spans="1:3">
      <c r="A3030" t="s">
        <v>37</v>
      </c>
      <c r="B3030">
        <v>1.26571401886006</v>
      </c>
      <c r="C3030" s="1">
        <v>42855</v>
      </c>
    </row>
    <row r="3031" spans="1:3">
      <c r="A3031" t="s">
        <v>39</v>
      </c>
      <c r="B3031">
        <v>1.8014383113763901</v>
      </c>
      <c r="C3031" s="1">
        <v>42855</v>
      </c>
    </row>
    <row r="3032" spans="1:3">
      <c r="A3032" t="s">
        <v>42</v>
      </c>
      <c r="B3032">
        <v>2.24077706172451</v>
      </c>
      <c r="C3032" s="1">
        <v>42855</v>
      </c>
    </row>
    <row r="3033" spans="1:3">
      <c r="A3033" t="s">
        <v>44</v>
      </c>
      <c r="B3033">
        <v>8.50882600164012</v>
      </c>
      <c r="C3033" s="1">
        <v>42855</v>
      </c>
    </row>
    <row r="3034" spans="1:3">
      <c r="A3034" t="s">
        <v>47</v>
      </c>
      <c r="B3034">
        <v>10.639768375777599</v>
      </c>
      <c r="C3034" s="1">
        <v>42855</v>
      </c>
    </row>
    <row r="3035" spans="1:3">
      <c r="A3035" t="s">
        <v>49</v>
      </c>
      <c r="B3035">
        <v>13.462594564238801</v>
      </c>
      <c r="C3035" s="1">
        <v>42855</v>
      </c>
    </row>
    <row r="3036" spans="1:3">
      <c r="A3036" t="s">
        <v>51</v>
      </c>
      <c r="B3036">
        <v>1.4196320164309999</v>
      </c>
      <c r="C3036" s="1">
        <v>42855</v>
      </c>
    </row>
    <row r="3037" spans="1:3">
      <c r="A3037" t="s">
        <v>53</v>
      </c>
      <c r="B3037">
        <v>1.046044643686</v>
      </c>
      <c r="C3037" s="1">
        <v>42855</v>
      </c>
    </row>
    <row r="3038" spans="1:3">
      <c r="A3038" t="s">
        <v>55</v>
      </c>
      <c r="B3038">
        <v>4.7363407116611098</v>
      </c>
      <c r="C3038" s="1">
        <v>42855</v>
      </c>
    </row>
    <row r="3039" spans="1:3">
      <c r="A3039" t="s">
        <v>57</v>
      </c>
      <c r="B3039">
        <v>5.5873727467742196</v>
      </c>
      <c r="C3039" s="1">
        <v>42855</v>
      </c>
    </row>
    <row r="3040" spans="1:3">
      <c r="A3040" t="s">
        <v>59</v>
      </c>
      <c r="B3040">
        <v>8.7060801344494791</v>
      </c>
      <c r="C3040" s="1">
        <v>42855</v>
      </c>
    </row>
    <row r="3041" spans="1:3">
      <c r="A3041" t="s">
        <v>61</v>
      </c>
      <c r="B3041">
        <v>56.9750630425944</v>
      </c>
      <c r="C3041" s="1">
        <v>42855</v>
      </c>
    </row>
    <row r="3042" spans="1:3">
      <c r="A3042" t="s">
        <v>63</v>
      </c>
      <c r="B3042">
        <v>11.581208555094999</v>
      </c>
      <c r="C3042" s="1">
        <v>42855</v>
      </c>
    </row>
    <row r="3043" spans="1:3">
      <c r="A3043" t="s">
        <v>65</v>
      </c>
      <c r="B3043">
        <v>0.82189222003899998</v>
      </c>
      <c r="C3043" s="1">
        <v>42855</v>
      </c>
    </row>
    <row r="3044" spans="1:3">
      <c r="A3044" t="s">
        <v>67</v>
      </c>
      <c r="B3044">
        <v>9.9971980946562002</v>
      </c>
      <c r="C3044" s="1">
        <v>42855</v>
      </c>
    </row>
    <row r="3045" spans="1:3">
      <c r="A3045" t="s">
        <v>69</v>
      </c>
      <c r="B3045">
        <v>6.4653030727249696</v>
      </c>
      <c r="C3045" s="1">
        <v>42855</v>
      </c>
    </row>
    <row r="3046" spans="1:3">
      <c r="A3046" t="s">
        <v>71</v>
      </c>
      <c r="B3046">
        <v>1.4271037638859001</v>
      </c>
      <c r="C3046" s="1">
        <v>42855</v>
      </c>
    </row>
    <row r="3047" spans="1:3">
      <c r="A3047" t="s">
        <v>73</v>
      </c>
      <c r="B3047">
        <v>1.9807602502939901</v>
      </c>
      <c r="C3047" s="1">
        <v>42855</v>
      </c>
    </row>
    <row r="3048" spans="1:3">
      <c r="A3048" t="s">
        <v>75</v>
      </c>
      <c r="B3048">
        <v>0.41094611001949999</v>
      </c>
      <c r="C3048" s="1">
        <v>42855</v>
      </c>
    </row>
    <row r="3049" spans="1:3">
      <c r="A3049" t="s">
        <v>77</v>
      </c>
      <c r="B3049">
        <v>1.9142616979453799</v>
      </c>
      <c r="C3049" s="1">
        <v>42855</v>
      </c>
    </row>
    <row r="3050" spans="1:3">
      <c r="A3050" t="s">
        <v>79</v>
      </c>
      <c r="B3050">
        <v>11.0649108059614</v>
      </c>
      <c r="C3050" s="1">
        <v>42855</v>
      </c>
    </row>
    <row r="3051" spans="1:3">
      <c r="A3051" t="s">
        <v>81</v>
      </c>
      <c r="B3051">
        <v>10.724946296763401</v>
      </c>
      <c r="C3051" s="1">
        <v>42855</v>
      </c>
    </row>
    <row r="3052" spans="1:3">
      <c r="A3052" t="s">
        <v>83</v>
      </c>
      <c r="B3052">
        <v>0.70010273652413002</v>
      </c>
      <c r="C3052" s="1">
        <v>42855</v>
      </c>
    </row>
    <row r="3053" spans="1:3">
      <c r="A3053" t="s">
        <v>85</v>
      </c>
      <c r="B3053">
        <v>9.2231250583285593</v>
      </c>
      <c r="C3053" s="1">
        <v>42855</v>
      </c>
    </row>
    <row r="3054" spans="1:3">
      <c r="A3054" t="s">
        <v>87</v>
      </c>
      <c r="B3054">
        <v>20.713925469219198</v>
      </c>
      <c r="C3054" s="1">
        <v>42855</v>
      </c>
    </row>
    <row r="3055" spans="1:3">
      <c r="A3055" t="s">
        <v>89</v>
      </c>
      <c r="B3055">
        <v>10.3468758755455</v>
      </c>
      <c r="C3055" s="1">
        <v>42855</v>
      </c>
    </row>
    <row r="3056" spans="1:3">
      <c r="A3056" t="s">
        <v>91</v>
      </c>
      <c r="B3056">
        <v>18.4813673296951</v>
      </c>
      <c r="C3056" s="1">
        <v>42855</v>
      </c>
    </row>
    <row r="3057" spans="1:3">
      <c r="A3057" t="s">
        <v>93</v>
      </c>
      <c r="B3057">
        <v>27.122443261287</v>
      </c>
      <c r="C3057" s="1">
        <v>42855</v>
      </c>
    </row>
    <row r="3058" spans="1:3">
      <c r="A3058" t="s">
        <v>95</v>
      </c>
      <c r="B3058">
        <v>0.89810404407898003</v>
      </c>
      <c r="C3058" s="1">
        <v>42855</v>
      </c>
    </row>
    <row r="3059" spans="1:3">
      <c r="A3059" t="s">
        <v>97</v>
      </c>
      <c r="B3059">
        <v>11.897263472437199</v>
      </c>
      <c r="C3059" s="1">
        <v>42855</v>
      </c>
    </row>
    <row r="3060" spans="1:3">
      <c r="A3060" t="s">
        <v>99</v>
      </c>
      <c r="B3060">
        <v>7.4284113196615804</v>
      </c>
      <c r="C3060" s="1">
        <v>42855</v>
      </c>
    </row>
    <row r="3061" spans="1:3">
      <c r="A3061" t="s">
        <v>101</v>
      </c>
      <c r="B3061">
        <v>10.161576538664001</v>
      </c>
      <c r="C3061" s="1">
        <v>42855</v>
      </c>
    </row>
    <row r="3062" spans="1:3">
      <c r="A3062" t="s">
        <v>103</v>
      </c>
      <c r="B3062">
        <v>1.0744372840146199</v>
      </c>
      <c r="C3062" s="1">
        <v>42855</v>
      </c>
    </row>
    <row r="3063" spans="1:3">
      <c r="A3063" t="s">
        <v>105</v>
      </c>
      <c r="B3063">
        <v>0.46698421593125</v>
      </c>
      <c r="C3063" s="1">
        <v>42855</v>
      </c>
    </row>
    <row r="3064" spans="1:3">
      <c r="A3064" t="s">
        <v>107</v>
      </c>
      <c r="B3064">
        <v>5.45063976834955</v>
      </c>
      <c r="C3064" s="1">
        <v>42855</v>
      </c>
    </row>
    <row r="3065" spans="1:3">
      <c r="A3065" t="s">
        <v>109</v>
      </c>
      <c r="B3065">
        <v>2.16531241243002</v>
      </c>
      <c r="C3065" s="1">
        <v>42855</v>
      </c>
    </row>
    <row r="3066" spans="1:3">
      <c r="A3066" t="s">
        <v>111</v>
      </c>
      <c r="B3066">
        <v>8.6694685719204703</v>
      </c>
      <c r="C3066" s="1">
        <v>42855</v>
      </c>
    </row>
    <row r="3067" spans="1:3">
      <c r="A3067" t="s">
        <v>113</v>
      </c>
      <c r="B3067">
        <v>11.926403287511301</v>
      </c>
      <c r="C3067" s="1">
        <v>42855</v>
      </c>
    </row>
    <row r="3068" spans="1:3">
      <c r="A3068" t="s">
        <v>115</v>
      </c>
      <c r="B3068">
        <v>5.4170169048024999</v>
      </c>
      <c r="C3068" s="1">
        <v>42855</v>
      </c>
    </row>
    <row r="3069" spans="1:3">
      <c r="A3069" t="s">
        <v>117</v>
      </c>
      <c r="B3069">
        <v>4.7445596338614999</v>
      </c>
      <c r="C3069" s="1">
        <v>42855</v>
      </c>
    </row>
    <row r="3070" spans="1:3">
      <c r="A3070" t="s">
        <v>119</v>
      </c>
      <c r="B3070">
        <v>13.005323619998901</v>
      </c>
      <c r="C3070" s="1">
        <v>42855</v>
      </c>
    </row>
    <row r="3071" spans="1:3">
      <c r="A3071" t="s">
        <v>121</v>
      </c>
      <c r="B3071">
        <v>16.5753245539501</v>
      </c>
      <c r="C3071" s="1">
        <v>42855</v>
      </c>
    </row>
    <row r="3072" spans="1:3">
      <c r="A3072" t="s">
        <v>123</v>
      </c>
      <c r="B3072">
        <v>5.2967217707786096</v>
      </c>
      <c r="C3072" s="1">
        <v>42855</v>
      </c>
    </row>
    <row r="3073" spans="1:3">
      <c r="A3073" t="s">
        <v>125</v>
      </c>
      <c r="B3073">
        <v>189.67404501636301</v>
      </c>
      <c r="C3073" s="1">
        <v>42855</v>
      </c>
    </row>
    <row r="3074" spans="1:3">
      <c r="A3074" t="s">
        <v>127</v>
      </c>
      <c r="B3074">
        <v>9.4517605304484995</v>
      </c>
      <c r="C3074" s="1">
        <v>42855</v>
      </c>
    </row>
    <row r="3075" spans="1:3">
      <c r="A3075" t="s">
        <v>129</v>
      </c>
      <c r="B3075">
        <v>3.7246661062676498</v>
      </c>
      <c r="C3075" s="1">
        <v>42855</v>
      </c>
    </row>
    <row r="3076" spans="1:3">
      <c r="A3076" t="s">
        <v>131</v>
      </c>
      <c r="B3076">
        <v>4.3380965723149396</v>
      </c>
      <c r="C3076" s="1">
        <v>42855</v>
      </c>
    </row>
    <row r="3077" spans="1:3">
      <c r="A3077" t="s">
        <v>134</v>
      </c>
      <c r="B3077">
        <v>2.7473615391667301</v>
      </c>
      <c r="C3077" s="1">
        <v>42855</v>
      </c>
    </row>
    <row r="3078" spans="1:3">
      <c r="A3078" t="s">
        <v>136</v>
      </c>
      <c r="B3078">
        <v>15.675726160380201</v>
      </c>
      <c r="C3078" s="1">
        <v>42855</v>
      </c>
    </row>
    <row r="3079" spans="1:3">
      <c r="A3079" t="s">
        <v>138</v>
      </c>
      <c r="B3079">
        <v>11.9181843653109</v>
      </c>
      <c r="C3079" s="1">
        <v>42855</v>
      </c>
    </row>
    <row r="3080" spans="1:3">
      <c r="A3080" t="s">
        <v>140</v>
      </c>
      <c r="B3080">
        <v>10.0293266087122</v>
      </c>
      <c r="C3080" s="1">
        <v>42855</v>
      </c>
    </row>
    <row r="3081" spans="1:3">
      <c r="A3081" t="s">
        <v>142</v>
      </c>
      <c r="B3081">
        <v>7.4829550760823498</v>
      </c>
      <c r="C3081" s="1">
        <v>42855</v>
      </c>
    </row>
    <row r="3082" spans="1:3">
      <c r="A3082" t="s">
        <v>144</v>
      </c>
      <c r="B3082">
        <v>5.2974689455241002</v>
      </c>
      <c r="C3082" s="1">
        <v>42855</v>
      </c>
    </row>
    <row r="3083" spans="1:3">
      <c r="A3083" t="s">
        <v>146</v>
      </c>
      <c r="B3083">
        <v>7.4194452227156997</v>
      </c>
      <c r="C3083" s="1">
        <v>42855</v>
      </c>
    </row>
    <row r="3084" spans="1:3">
      <c r="A3084" t="s">
        <v>148</v>
      </c>
      <c r="B3084">
        <v>11.0850845240896</v>
      </c>
      <c r="C3084" s="1">
        <v>42855</v>
      </c>
    </row>
    <row r="3085" spans="1:3">
      <c r="A3085" t="s">
        <v>150</v>
      </c>
      <c r="B3085">
        <v>7.3028859624192597</v>
      </c>
      <c r="C3085" s="1">
        <v>42855</v>
      </c>
    </row>
    <row r="3086" spans="1:3">
      <c r="A3086" t="s">
        <v>152</v>
      </c>
      <c r="B3086">
        <v>11.296534977063301</v>
      </c>
      <c r="C3086" s="1">
        <v>42855</v>
      </c>
    </row>
    <row r="3087" spans="1:3">
      <c r="A3087" t="s">
        <v>154</v>
      </c>
      <c r="B3087">
        <v>30.182123844068499</v>
      </c>
      <c r="C3087" s="1">
        <v>42855</v>
      </c>
    </row>
    <row r="3088" spans="1:3">
      <c r="A3088" t="s">
        <v>156</v>
      </c>
      <c r="B3088">
        <v>30.63416456509</v>
      </c>
      <c r="C3088" s="1">
        <v>42855</v>
      </c>
    </row>
    <row r="3089" spans="1:3">
      <c r="A3089" t="s">
        <v>158</v>
      </c>
      <c r="B3089">
        <v>24.661249649642901</v>
      </c>
      <c r="C3089" s="1">
        <v>42855</v>
      </c>
    </row>
    <row r="3090" spans="1:3">
      <c r="A3090" t="s">
        <v>160</v>
      </c>
      <c r="B3090">
        <v>16.845054637072</v>
      </c>
      <c r="C3090" s="1">
        <v>42855</v>
      </c>
    </row>
    <row r="3091" spans="1:3">
      <c r="A3091" t="s">
        <v>162</v>
      </c>
      <c r="B3091">
        <v>3.2091155318795499</v>
      </c>
      <c r="C3091" s="1">
        <v>42855</v>
      </c>
    </row>
    <row r="3092" spans="1:3">
      <c r="A3092" t="s">
        <v>164</v>
      </c>
      <c r="B3092">
        <v>3.2688895115187502</v>
      </c>
      <c r="C3092" s="1">
        <v>42855</v>
      </c>
    </row>
    <row r="3093" spans="1:3">
      <c r="A3093" t="s">
        <v>166</v>
      </c>
      <c r="B3093">
        <v>8.9974782851905797</v>
      </c>
      <c r="C3093" s="1">
        <v>42855</v>
      </c>
    </row>
    <row r="3094" spans="1:3">
      <c r="A3094" t="s">
        <v>168</v>
      </c>
      <c r="B3094">
        <v>6.3136265993905001</v>
      </c>
      <c r="C3094" s="1">
        <v>42855</v>
      </c>
    </row>
    <row r="3095" spans="1:3">
      <c r="A3095" t="s">
        <v>8</v>
      </c>
      <c r="B3095">
        <v>26.162100673071201</v>
      </c>
      <c r="C3095" s="1">
        <v>42886</v>
      </c>
    </row>
    <row r="3096" spans="1:3">
      <c r="A3096" t="s">
        <v>11</v>
      </c>
      <c r="B3096">
        <v>71.599582898912303</v>
      </c>
      <c r="C3096" s="1">
        <v>42886</v>
      </c>
    </row>
    <row r="3097" spans="1:3">
      <c r="A3097" t="s">
        <v>14</v>
      </c>
      <c r="B3097">
        <v>7.8028249123204301</v>
      </c>
      <c r="C3097" s="1">
        <v>42886</v>
      </c>
    </row>
    <row r="3098" spans="1:3">
      <c r="A3098" t="s">
        <v>17</v>
      </c>
      <c r="B3098">
        <v>8.3882832496040702</v>
      </c>
      <c r="C3098" s="1">
        <v>42886</v>
      </c>
    </row>
    <row r="3099" spans="1:3">
      <c r="A3099" t="s">
        <v>20</v>
      </c>
      <c r="B3099">
        <v>1.2702625841322499</v>
      </c>
      <c r="C3099" s="1">
        <v>42886</v>
      </c>
    </row>
    <row r="3100" spans="1:3">
      <c r="A3100" t="s">
        <v>24</v>
      </c>
      <c r="B3100">
        <v>3.4126457484150001</v>
      </c>
      <c r="C3100" s="1">
        <v>42886</v>
      </c>
    </row>
    <row r="3101" spans="1:3">
      <c r="A3101" t="s">
        <v>27</v>
      </c>
      <c r="B3101">
        <v>13.345719973468199</v>
      </c>
      <c r="C3101" s="1">
        <v>42886</v>
      </c>
    </row>
    <row r="3102" spans="1:3">
      <c r="A3102" t="s">
        <v>29</v>
      </c>
      <c r="B3102">
        <v>2.1181154611829101</v>
      </c>
      <c r="C3102" s="1">
        <v>42886</v>
      </c>
    </row>
    <row r="3103" spans="1:3">
      <c r="A3103" t="s">
        <v>32</v>
      </c>
      <c r="B3103">
        <v>12.5327519196236</v>
      </c>
      <c r="C3103" s="1">
        <v>42886</v>
      </c>
    </row>
    <row r="3104" spans="1:3">
      <c r="A3104" t="s">
        <v>35</v>
      </c>
      <c r="B3104">
        <v>4.6867001611566002</v>
      </c>
      <c r="C3104" s="1">
        <v>42886</v>
      </c>
    </row>
    <row r="3105" spans="1:3">
      <c r="A3105" t="s">
        <v>37</v>
      </c>
      <c r="B3105">
        <v>1.1906341833359</v>
      </c>
      <c r="C3105" s="1">
        <v>42886</v>
      </c>
    </row>
    <row r="3106" spans="1:3">
      <c r="A3106" t="s">
        <v>39</v>
      </c>
      <c r="B3106">
        <v>1.820077732488</v>
      </c>
      <c r="C3106" s="1">
        <v>42886</v>
      </c>
    </row>
    <row r="3107" spans="1:3">
      <c r="A3107" t="s">
        <v>42</v>
      </c>
      <c r="B3107">
        <v>2.2750971656100001</v>
      </c>
      <c r="C3107" s="1">
        <v>42886</v>
      </c>
    </row>
    <row r="3108" spans="1:3">
      <c r="A3108" t="s">
        <v>44</v>
      </c>
      <c r="B3108">
        <v>7.7421556545708299</v>
      </c>
      <c r="C3108" s="1">
        <v>42886</v>
      </c>
    </row>
    <row r="3109" spans="1:3">
      <c r="A3109" t="s">
        <v>47</v>
      </c>
      <c r="B3109">
        <v>10.0248364773995</v>
      </c>
      <c r="C3109" s="1">
        <v>42886</v>
      </c>
    </row>
    <row r="3110" spans="1:3">
      <c r="A3110" t="s">
        <v>49</v>
      </c>
      <c r="B3110">
        <v>12.961986918201999</v>
      </c>
      <c r="C3110" s="1">
        <v>42886</v>
      </c>
    </row>
    <row r="3111" spans="1:3">
      <c r="A3111" t="s">
        <v>51</v>
      </c>
      <c r="B3111">
        <v>1.42951938572495</v>
      </c>
      <c r="C3111" s="1">
        <v>42886</v>
      </c>
    </row>
    <row r="3112" spans="1:3">
      <c r="A3112" t="s">
        <v>53</v>
      </c>
      <c r="B3112">
        <v>1.0450279647368601</v>
      </c>
      <c r="C3112" s="1">
        <v>42886</v>
      </c>
    </row>
    <row r="3113" spans="1:3">
      <c r="A3113" t="s">
        <v>55</v>
      </c>
      <c r="B3113">
        <v>5.34875343634911</v>
      </c>
      <c r="C3113" s="1">
        <v>42886</v>
      </c>
    </row>
    <row r="3114" spans="1:3">
      <c r="A3114" t="s">
        <v>57</v>
      </c>
      <c r="B3114">
        <v>5.5929471987912498</v>
      </c>
      <c r="C3114" s="1">
        <v>42886</v>
      </c>
    </row>
    <row r="3115" spans="1:3">
      <c r="A3115" t="s">
        <v>59</v>
      </c>
      <c r="B3115">
        <v>9.1208645369304904</v>
      </c>
      <c r="C3115" s="1">
        <v>42886</v>
      </c>
    </row>
    <row r="3116" spans="1:3">
      <c r="A3116" t="s">
        <v>61</v>
      </c>
      <c r="B3116">
        <v>59.060005687791801</v>
      </c>
      <c r="C3116" s="1">
        <v>42886</v>
      </c>
    </row>
    <row r="3117" spans="1:3">
      <c r="A3117" t="s">
        <v>63</v>
      </c>
      <c r="B3117">
        <v>12.161152715907299</v>
      </c>
      <c r="C3117" s="1">
        <v>42886</v>
      </c>
    </row>
    <row r="3118" spans="1:3">
      <c r="A3118" t="s">
        <v>65</v>
      </c>
      <c r="B3118">
        <v>0.80007583657284997</v>
      </c>
      <c r="C3118" s="1">
        <v>42886</v>
      </c>
    </row>
    <row r="3119" spans="1:3">
      <c r="A3119" t="s">
        <v>67</v>
      </c>
      <c r="B3119">
        <v>9.7161816285984397</v>
      </c>
      <c r="C3119" s="1">
        <v>42886</v>
      </c>
    </row>
    <row r="3120" spans="1:3">
      <c r="A3120" t="s">
        <v>69</v>
      </c>
      <c r="B3120">
        <v>5.6763674281969498</v>
      </c>
      <c r="C3120" s="1">
        <v>42886</v>
      </c>
    </row>
    <row r="3121" spans="1:3">
      <c r="A3121" t="s">
        <v>71</v>
      </c>
      <c r="B3121">
        <v>1.35823300786917</v>
      </c>
      <c r="C3121" s="1">
        <v>42886</v>
      </c>
    </row>
    <row r="3122" spans="1:3">
      <c r="A3122" t="s">
        <v>73</v>
      </c>
      <c r="B3122">
        <v>2.0445539861615201</v>
      </c>
      <c r="C3122" s="1">
        <v>42886</v>
      </c>
    </row>
    <row r="3123" spans="1:3">
      <c r="A3123" t="s">
        <v>75</v>
      </c>
      <c r="B3123">
        <v>0.42089297563785</v>
      </c>
      <c r="C3123" s="1">
        <v>42886</v>
      </c>
    </row>
    <row r="3124" spans="1:3">
      <c r="A3124" t="s">
        <v>77</v>
      </c>
      <c r="B3124">
        <v>1.9027395961718301</v>
      </c>
      <c r="C3124" s="1">
        <v>42886</v>
      </c>
    </row>
    <row r="3125" spans="1:3">
      <c r="A3125" t="s">
        <v>79</v>
      </c>
      <c r="B3125">
        <v>10.170442695998499</v>
      </c>
      <c r="C3125" s="1">
        <v>42886</v>
      </c>
    </row>
    <row r="3126" spans="1:3">
      <c r="A3126" t="s">
        <v>81</v>
      </c>
      <c r="B3126">
        <v>10.535974973939901</v>
      </c>
      <c r="C3126" s="1">
        <v>42886</v>
      </c>
    </row>
    <row r="3127" spans="1:3">
      <c r="A3127" t="s">
        <v>83</v>
      </c>
      <c r="B3127">
        <v>0.67873732107364904</v>
      </c>
      <c r="C3127" s="1">
        <v>42886</v>
      </c>
    </row>
    <row r="3128" spans="1:3">
      <c r="A3128" t="s">
        <v>85</v>
      </c>
      <c r="B3128">
        <v>9.0040762157625096</v>
      </c>
      <c r="C3128" s="1">
        <v>42886</v>
      </c>
    </row>
    <row r="3129" spans="1:3">
      <c r="A3129" t="s">
        <v>87</v>
      </c>
      <c r="B3129">
        <v>22.523461939539001</v>
      </c>
      <c r="C3129" s="1">
        <v>42886</v>
      </c>
    </row>
    <row r="3130" spans="1:3">
      <c r="A3130" t="s">
        <v>89</v>
      </c>
      <c r="B3130">
        <v>10.1173570954676</v>
      </c>
      <c r="C3130" s="1">
        <v>42886</v>
      </c>
    </row>
    <row r="3131" spans="1:3">
      <c r="A3131" t="s">
        <v>91</v>
      </c>
      <c r="B3131">
        <v>18.579960185815001</v>
      </c>
      <c r="C3131" s="1">
        <v>42886</v>
      </c>
    </row>
    <row r="3132" spans="1:3">
      <c r="A3132" t="s">
        <v>93</v>
      </c>
      <c r="B3132">
        <v>26.091572660937299</v>
      </c>
      <c r="C3132" s="1">
        <v>42886</v>
      </c>
    </row>
    <row r="3133" spans="1:3">
      <c r="A3133" t="s">
        <v>95</v>
      </c>
      <c r="B3133">
        <v>0.86529528865367</v>
      </c>
      <c r="C3133" s="1">
        <v>42886</v>
      </c>
    </row>
    <row r="3134" spans="1:3">
      <c r="A3134" t="s">
        <v>97</v>
      </c>
      <c r="B3134">
        <v>11.587828230173599</v>
      </c>
      <c r="C3134" s="1">
        <v>42886</v>
      </c>
    </row>
    <row r="3135" spans="1:3">
      <c r="A3135" t="s">
        <v>99</v>
      </c>
      <c r="B3135">
        <v>7.2803109299519999</v>
      </c>
      <c r="C3135" s="1">
        <v>42886</v>
      </c>
    </row>
    <row r="3136" spans="1:3">
      <c r="A3136" t="s">
        <v>101</v>
      </c>
      <c r="B3136">
        <v>9.9421746137157001</v>
      </c>
      <c r="C3136" s="1">
        <v>42886</v>
      </c>
    </row>
    <row r="3137" spans="1:3">
      <c r="A3137" t="s">
        <v>103</v>
      </c>
      <c r="B3137">
        <v>1.137548582805</v>
      </c>
      <c r="C3137" s="1">
        <v>42886</v>
      </c>
    </row>
    <row r="3138" spans="1:3">
      <c r="A3138" t="s">
        <v>105</v>
      </c>
      <c r="B3138">
        <v>0.46563655322817998</v>
      </c>
      <c r="C3138" s="1">
        <v>42886</v>
      </c>
    </row>
    <row r="3139" spans="1:3">
      <c r="A3139" t="s">
        <v>107</v>
      </c>
      <c r="B3139">
        <v>4.929377192155</v>
      </c>
      <c r="C3139" s="1">
        <v>42886</v>
      </c>
    </row>
    <row r="3140" spans="1:3">
      <c r="A3140" t="s">
        <v>109</v>
      </c>
      <c r="B3140">
        <v>1.99298511707436</v>
      </c>
      <c r="C3140" s="1">
        <v>42886</v>
      </c>
    </row>
    <row r="3141" spans="1:3">
      <c r="A3141" t="s">
        <v>111</v>
      </c>
      <c r="B3141">
        <v>8.1281638070026592</v>
      </c>
      <c r="C3141" s="1">
        <v>42886</v>
      </c>
    </row>
    <row r="3142" spans="1:3">
      <c r="A3142" t="s">
        <v>113</v>
      </c>
      <c r="B3142">
        <v>10.503365247899501</v>
      </c>
      <c r="C3142" s="1">
        <v>42886</v>
      </c>
    </row>
    <row r="3143" spans="1:3">
      <c r="A3143" t="s">
        <v>115</v>
      </c>
      <c r="B3143">
        <v>5.1113849654037997</v>
      </c>
      <c r="C3143" s="1">
        <v>42886</v>
      </c>
    </row>
    <row r="3144" spans="1:3">
      <c r="A3144" t="s">
        <v>117</v>
      </c>
      <c r="B3144">
        <v>4.56308654849179</v>
      </c>
      <c r="C3144" s="1">
        <v>42886</v>
      </c>
    </row>
    <row r="3145" spans="1:3">
      <c r="A3145" t="s">
        <v>119</v>
      </c>
      <c r="B3145">
        <v>11.910133661968301</v>
      </c>
      <c r="C3145" s="1">
        <v>42886</v>
      </c>
    </row>
    <row r="3146" spans="1:3">
      <c r="A3146" t="s">
        <v>121</v>
      </c>
      <c r="B3146">
        <v>16.509621765109799</v>
      </c>
      <c r="C3146" s="1">
        <v>42886</v>
      </c>
    </row>
    <row r="3147" spans="1:3">
      <c r="A3147" t="s">
        <v>123</v>
      </c>
      <c r="B3147">
        <v>5.2046639491938098</v>
      </c>
      <c r="C3147" s="1">
        <v>42886</v>
      </c>
    </row>
    <row r="3148" spans="1:3">
      <c r="A3148" t="s">
        <v>125</v>
      </c>
      <c r="B3148">
        <v>205.938761968129</v>
      </c>
      <c r="C3148" s="1">
        <v>42886</v>
      </c>
    </row>
    <row r="3149" spans="1:3">
      <c r="A3149" t="s">
        <v>127</v>
      </c>
      <c r="B3149">
        <v>8.9107972319725004</v>
      </c>
      <c r="C3149" s="1">
        <v>42886</v>
      </c>
    </row>
    <row r="3150" spans="1:3">
      <c r="A3150" t="s">
        <v>129</v>
      </c>
      <c r="B3150">
        <v>3.73950137454097</v>
      </c>
      <c r="C3150" s="1">
        <v>42886</v>
      </c>
    </row>
    <row r="3151" spans="1:3">
      <c r="A3151" t="s">
        <v>131</v>
      </c>
      <c r="B3151">
        <v>3.9586690681614001</v>
      </c>
      <c r="C3151" s="1">
        <v>42886</v>
      </c>
    </row>
    <row r="3152" spans="1:3">
      <c r="A3152" t="s">
        <v>134</v>
      </c>
      <c r="B3152">
        <v>2.8347710683500602</v>
      </c>
      <c r="C3152" s="1">
        <v>42886</v>
      </c>
    </row>
    <row r="3153" spans="1:3">
      <c r="A3153" t="s">
        <v>136</v>
      </c>
      <c r="B3153">
        <v>15.849843587083001</v>
      </c>
      <c r="C3153" s="1">
        <v>42886</v>
      </c>
    </row>
    <row r="3154" spans="1:3">
      <c r="A3154" t="s">
        <v>138</v>
      </c>
      <c r="B3154">
        <v>12.957436723870799</v>
      </c>
      <c r="C3154" s="1">
        <v>42886</v>
      </c>
    </row>
    <row r="3155" spans="1:3">
      <c r="A3155" t="s">
        <v>140</v>
      </c>
      <c r="B3155">
        <v>10.3304578633131</v>
      </c>
      <c r="C3155" s="1">
        <v>42886</v>
      </c>
    </row>
    <row r="3156" spans="1:3">
      <c r="A3156" t="s">
        <v>142</v>
      </c>
      <c r="B3156">
        <v>7.8225424210890502</v>
      </c>
      <c r="C3156" s="1">
        <v>42886</v>
      </c>
    </row>
    <row r="3157" spans="1:3">
      <c r="A3157" t="s">
        <v>144</v>
      </c>
      <c r="B3157">
        <v>5.4867759977294499</v>
      </c>
      <c r="C3157" s="1">
        <v>42886</v>
      </c>
    </row>
    <row r="3158" spans="1:3">
      <c r="A3158" t="s">
        <v>146</v>
      </c>
      <c r="B3158">
        <v>7.3265712389860704</v>
      </c>
      <c r="C3158" s="1">
        <v>42886</v>
      </c>
    </row>
    <row r="3159" spans="1:3">
      <c r="A3159" t="s">
        <v>148</v>
      </c>
      <c r="B3159">
        <v>11.1130912882829</v>
      </c>
      <c r="C3159" s="1">
        <v>42886</v>
      </c>
    </row>
    <row r="3160" spans="1:3">
      <c r="A3160" t="s">
        <v>150</v>
      </c>
      <c r="B3160">
        <v>7.4820362119694197</v>
      </c>
      <c r="C3160" s="1">
        <v>42886</v>
      </c>
    </row>
    <row r="3161" spans="1:3">
      <c r="A3161" t="s">
        <v>152</v>
      </c>
      <c r="B3161">
        <v>11.2617309697695</v>
      </c>
      <c r="C3161" s="1">
        <v>42886</v>
      </c>
    </row>
    <row r="3162" spans="1:3">
      <c r="A3162" t="s">
        <v>154</v>
      </c>
      <c r="B3162">
        <v>29.121243719808</v>
      </c>
      <c r="C3162" s="1">
        <v>42886</v>
      </c>
    </row>
    <row r="3163" spans="1:3">
      <c r="A3163" t="s">
        <v>156</v>
      </c>
      <c r="B3163">
        <v>29.735519954522701</v>
      </c>
      <c r="C3163" s="1">
        <v>42886</v>
      </c>
    </row>
    <row r="3164" spans="1:3">
      <c r="A3164" t="s">
        <v>158</v>
      </c>
      <c r="B3164">
        <v>21.1515783486761</v>
      </c>
      <c r="C3164" s="1">
        <v>42886</v>
      </c>
    </row>
    <row r="3165" spans="1:3">
      <c r="A3165" t="s">
        <v>160</v>
      </c>
      <c r="B3165">
        <v>16.692387904080501</v>
      </c>
      <c r="C3165" s="1">
        <v>42886</v>
      </c>
    </row>
    <row r="3166" spans="1:3">
      <c r="A3166" t="s">
        <v>162</v>
      </c>
      <c r="B3166">
        <v>2.7885107593159901</v>
      </c>
      <c r="C3166" s="1">
        <v>42886</v>
      </c>
    </row>
    <row r="3167" spans="1:3">
      <c r="A3167" t="s">
        <v>164</v>
      </c>
      <c r="B3167">
        <v>3.5188169494768</v>
      </c>
      <c r="C3167" s="1">
        <v>42886</v>
      </c>
    </row>
    <row r="3168" spans="1:3">
      <c r="A3168" t="s">
        <v>166</v>
      </c>
      <c r="B3168">
        <v>8.8326855626198899</v>
      </c>
      <c r="C3168" s="1">
        <v>42886</v>
      </c>
    </row>
    <row r="3169" spans="1:3">
      <c r="A3169" t="s">
        <v>168</v>
      </c>
      <c r="B3169">
        <v>6.1579296615843999</v>
      </c>
      <c r="C3169" s="1">
        <v>42886</v>
      </c>
    </row>
    <row r="3170" spans="1:3">
      <c r="A3170" t="s">
        <v>8</v>
      </c>
      <c r="B3170">
        <v>25.998855180452502</v>
      </c>
      <c r="C3170" s="1">
        <v>42916</v>
      </c>
    </row>
    <row r="3171" spans="1:3">
      <c r="A3171" t="s">
        <v>11</v>
      </c>
      <c r="B3171">
        <v>68.189276855938104</v>
      </c>
      <c r="C3171" s="1">
        <v>42916</v>
      </c>
    </row>
    <row r="3172" spans="1:3">
      <c r="A3172" t="s">
        <v>14</v>
      </c>
      <c r="B3172">
        <v>7.4260637283371</v>
      </c>
      <c r="C3172" s="1">
        <v>42916</v>
      </c>
    </row>
    <row r="3173" spans="1:3">
      <c r="A3173" t="s">
        <v>17</v>
      </c>
      <c r="B3173">
        <v>8.2556763976795899</v>
      </c>
      <c r="C3173" s="1">
        <v>42916</v>
      </c>
    </row>
    <row r="3174" spans="1:3">
      <c r="A3174" t="s">
        <v>20</v>
      </c>
      <c r="B3174">
        <v>1.2951726769771901</v>
      </c>
      <c r="C3174" s="1">
        <v>42916</v>
      </c>
    </row>
    <row r="3175" spans="1:3">
      <c r="A3175" t="s">
        <v>24</v>
      </c>
      <c r="B3175">
        <v>3.3772180881697502</v>
      </c>
      <c r="C3175" s="1">
        <v>42916</v>
      </c>
    </row>
    <row r="3176" spans="1:3">
      <c r="A3176" t="s">
        <v>27</v>
      </c>
      <c r="B3176">
        <v>13.395916809842999</v>
      </c>
      <c r="C3176" s="1">
        <v>42916</v>
      </c>
    </row>
    <row r="3177" spans="1:3">
      <c r="A3177" t="s">
        <v>29</v>
      </c>
      <c r="B3177">
        <v>1.95764167144755</v>
      </c>
      <c r="C3177" s="1">
        <v>42916</v>
      </c>
    </row>
    <row r="3178" spans="1:3">
      <c r="A3178" t="s">
        <v>32</v>
      </c>
      <c r="B3178">
        <v>12.5373020416642</v>
      </c>
      <c r="C3178" s="1">
        <v>42916</v>
      </c>
    </row>
    <row r="3179" spans="1:3">
      <c r="A3179" t="s">
        <v>35</v>
      </c>
      <c r="B3179">
        <v>4.5105895821657001</v>
      </c>
      <c r="C3179" s="1">
        <v>42916</v>
      </c>
    </row>
    <row r="3180" spans="1:3">
      <c r="A3180" t="s">
        <v>37</v>
      </c>
      <c r="B3180">
        <v>1.1448196909049999</v>
      </c>
      <c r="C3180" s="1">
        <v>42916</v>
      </c>
    </row>
    <row r="3181" spans="1:3">
      <c r="A3181" t="s">
        <v>39</v>
      </c>
      <c r="B3181">
        <v>1.8340011448298099</v>
      </c>
      <c r="C3181" s="1">
        <v>42916</v>
      </c>
    </row>
    <row r="3182" spans="1:3">
      <c r="A3182" t="s">
        <v>42</v>
      </c>
      <c r="B3182">
        <v>2.1369967563559999</v>
      </c>
      <c r="C3182" s="1">
        <v>42916</v>
      </c>
    </row>
    <row r="3183" spans="1:3">
      <c r="A3183" t="s">
        <v>44</v>
      </c>
      <c r="B3183">
        <v>7.0978820836110001</v>
      </c>
      <c r="C3183" s="1">
        <v>42916</v>
      </c>
    </row>
    <row r="3184" spans="1:3">
      <c r="A3184" t="s">
        <v>47</v>
      </c>
      <c r="B3184">
        <v>9.3501240221847706</v>
      </c>
      <c r="C3184" s="1">
        <v>42916</v>
      </c>
    </row>
    <row r="3185" spans="1:3">
      <c r="A3185" t="s">
        <v>49</v>
      </c>
      <c r="B3185">
        <v>11.7618775043579</v>
      </c>
      <c r="C3185" s="1">
        <v>42916</v>
      </c>
    </row>
    <row r="3186" spans="1:3">
      <c r="A3186" t="s">
        <v>51</v>
      </c>
      <c r="B3186">
        <v>1.3966800229041001</v>
      </c>
      <c r="C3186" s="1">
        <v>42916</v>
      </c>
    </row>
    <row r="3187" spans="1:3">
      <c r="A3187" t="s">
        <v>53</v>
      </c>
      <c r="B3187">
        <v>1.05781339439622</v>
      </c>
      <c r="C3187" s="1">
        <v>42916</v>
      </c>
    </row>
    <row r="3188" spans="1:3">
      <c r="A3188" t="s">
        <v>55</v>
      </c>
      <c r="B3188">
        <v>4.9753863766731303</v>
      </c>
      <c r="C3188" s="1">
        <v>42916</v>
      </c>
    </row>
    <row r="3189" spans="1:3">
      <c r="A3189" t="s">
        <v>57</v>
      </c>
      <c r="B3189">
        <v>4.6975767983468497</v>
      </c>
      <c r="C3189" s="1">
        <v>42916</v>
      </c>
    </row>
    <row r="3190" spans="1:3">
      <c r="A3190" t="s">
        <v>59</v>
      </c>
      <c r="B3190">
        <v>9.2913566113849804</v>
      </c>
      <c r="C3190" s="1">
        <v>42916</v>
      </c>
    </row>
    <row r="3191" spans="1:3">
      <c r="A3191" t="s">
        <v>61</v>
      </c>
      <c r="B3191">
        <v>63.346689563410003</v>
      </c>
      <c r="C3191" s="1">
        <v>42916</v>
      </c>
    </row>
    <row r="3192" spans="1:3">
      <c r="A3192" t="s">
        <v>63</v>
      </c>
      <c r="B3192">
        <v>11.295554283595999</v>
      </c>
      <c r="C3192" s="1">
        <v>42916</v>
      </c>
    </row>
    <row r="3193" spans="1:3">
      <c r="A3193" t="s">
        <v>65</v>
      </c>
      <c r="B3193">
        <v>0.80290020988804001</v>
      </c>
      <c r="C3193" s="1">
        <v>42916</v>
      </c>
    </row>
    <row r="3194" spans="1:3">
      <c r="A3194" t="s">
        <v>67</v>
      </c>
      <c r="B3194">
        <v>9.7630223240378395</v>
      </c>
      <c r="C3194" s="1">
        <v>42916</v>
      </c>
    </row>
    <row r="3195" spans="1:3">
      <c r="A3195" t="s">
        <v>69</v>
      </c>
      <c r="B3195">
        <v>5.4569738599804998</v>
      </c>
      <c r="C3195" s="1">
        <v>42916</v>
      </c>
    </row>
    <row r="3196" spans="1:3">
      <c r="A3196" t="s">
        <v>71</v>
      </c>
      <c r="B3196">
        <v>1.3623354321769501</v>
      </c>
      <c r="C3196" s="1">
        <v>42916</v>
      </c>
    </row>
    <row r="3197" spans="1:3">
      <c r="A3197" t="s">
        <v>73</v>
      </c>
      <c r="B3197">
        <v>1.9637473764657101</v>
      </c>
      <c r="C3197" s="1">
        <v>42916</v>
      </c>
    </row>
    <row r="3198" spans="1:3">
      <c r="A3198" t="s">
        <v>75</v>
      </c>
      <c r="B3198">
        <v>0.41976721999849997</v>
      </c>
      <c r="C3198" s="1">
        <v>42916</v>
      </c>
    </row>
    <row r="3199" spans="1:3">
      <c r="A3199" t="s">
        <v>77</v>
      </c>
      <c r="B3199">
        <v>1.8683457355569599</v>
      </c>
      <c r="C3199" s="1">
        <v>42916</v>
      </c>
    </row>
    <row r="3200" spans="1:3">
      <c r="A3200" t="s">
        <v>79</v>
      </c>
      <c r="B3200">
        <v>9.6164854036020007</v>
      </c>
      <c r="C3200" s="1">
        <v>42916</v>
      </c>
    </row>
    <row r="3201" spans="1:3">
      <c r="A3201" t="s">
        <v>81</v>
      </c>
      <c r="B3201">
        <v>10.6842205686527</v>
      </c>
      <c r="C3201" s="1">
        <v>42916</v>
      </c>
    </row>
    <row r="3202" spans="1:3">
      <c r="A3202" t="s">
        <v>83</v>
      </c>
      <c r="B3202">
        <v>0.62049227247050998</v>
      </c>
      <c r="C3202" s="1">
        <v>42916</v>
      </c>
    </row>
    <row r="3203" spans="1:3">
      <c r="A3203" t="s">
        <v>85</v>
      </c>
      <c r="B3203">
        <v>8.9105132608772504</v>
      </c>
      <c r="C3203" s="1">
        <v>42916</v>
      </c>
    </row>
    <row r="3204" spans="1:3">
      <c r="A3204" t="s">
        <v>87</v>
      </c>
      <c r="B3204">
        <v>21.911848883921699</v>
      </c>
      <c r="C3204" s="1">
        <v>42916</v>
      </c>
    </row>
    <row r="3205" spans="1:3">
      <c r="A3205" t="s">
        <v>89</v>
      </c>
      <c r="B3205">
        <v>10.1827895440363</v>
      </c>
      <c r="C3205" s="1">
        <v>42916</v>
      </c>
    </row>
    <row r="3206" spans="1:3">
      <c r="A3206" t="s">
        <v>91</v>
      </c>
      <c r="B3206">
        <v>18.2644533486983</v>
      </c>
      <c r="C3206" s="1">
        <v>42916</v>
      </c>
    </row>
    <row r="3207" spans="1:3">
      <c r="A3207" t="s">
        <v>93</v>
      </c>
      <c r="B3207">
        <v>26.712459454449998</v>
      </c>
      <c r="C3207" s="1">
        <v>42916</v>
      </c>
    </row>
    <row r="3208" spans="1:3">
      <c r="A3208" t="s">
        <v>95</v>
      </c>
      <c r="B3208">
        <v>0.84411371876062002</v>
      </c>
      <c r="C3208" s="1">
        <v>42916</v>
      </c>
    </row>
    <row r="3209" spans="1:3">
      <c r="A3209" t="s">
        <v>97</v>
      </c>
      <c r="B3209">
        <v>9.9980919672370003</v>
      </c>
      <c r="C3209" s="1">
        <v>42916</v>
      </c>
    </row>
    <row r="3210" spans="1:3">
      <c r="A3210" t="s">
        <v>99</v>
      </c>
      <c r="B3210">
        <v>6.9376073268842999</v>
      </c>
      <c r="C3210" s="1">
        <v>42916</v>
      </c>
    </row>
    <row r="3211" spans="1:3">
      <c r="A3211" t="s">
        <v>101</v>
      </c>
      <c r="B3211">
        <v>9.8072886854195005</v>
      </c>
      <c r="C3211" s="1">
        <v>42916</v>
      </c>
    </row>
    <row r="3212" spans="1:3">
      <c r="A3212" t="s">
        <v>103</v>
      </c>
      <c r="B3212">
        <v>1.16313680595948</v>
      </c>
      <c r="C3212" s="1">
        <v>42916</v>
      </c>
    </row>
    <row r="3213" spans="1:3">
      <c r="A3213" t="s">
        <v>105</v>
      </c>
      <c r="B3213">
        <v>0.40373974432582999</v>
      </c>
      <c r="C3213" s="1">
        <v>42916</v>
      </c>
    </row>
    <row r="3214" spans="1:3">
      <c r="A3214" t="s">
        <v>107</v>
      </c>
      <c r="B3214">
        <v>4.2114100362758604</v>
      </c>
      <c r="C3214" s="1">
        <v>42916</v>
      </c>
    </row>
    <row r="3215" spans="1:3">
      <c r="A3215" t="s">
        <v>109</v>
      </c>
      <c r="B3215">
        <v>1.6546460599213599</v>
      </c>
      <c r="C3215" s="1">
        <v>42916</v>
      </c>
    </row>
    <row r="3216" spans="1:3">
      <c r="A3216" t="s">
        <v>111</v>
      </c>
      <c r="B3216">
        <v>8.1114291166255601</v>
      </c>
      <c r="C3216" s="1">
        <v>42916</v>
      </c>
    </row>
    <row r="3217" spans="1:3">
      <c r="A3217" t="s">
        <v>113</v>
      </c>
      <c r="B3217">
        <v>10.477389811162499</v>
      </c>
      <c r="C3217" s="1">
        <v>42916</v>
      </c>
    </row>
    <row r="3218" spans="1:3">
      <c r="A3218" t="s">
        <v>115</v>
      </c>
      <c r="B3218">
        <v>4.7052089296195501</v>
      </c>
      <c r="C3218" s="1">
        <v>42916</v>
      </c>
    </row>
    <row r="3219" spans="1:3">
      <c r="A3219" t="s">
        <v>117</v>
      </c>
      <c r="B3219">
        <v>4.5037206640202703</v>
      </c>
      <c r="C3219" s="1">
        <v>42916</v>
      </c>
    </row>
    <row r="3220" spans="1:3">
      <c r="A3220" t="s">
        <v>119</v>
      </c>
      <c r="B3220">
        <v>13.066971951989601</v>
      </c>
      <c r="C3220" s="1">
        <v>42916</v>
      </c>
    </row>
    <row r="3221" spans="1:3">
      <c r="A3221" t="s">
        <v>121</v>
      </c>
      <c r="B3221">
        <v>16.291547414705398</v>
      </c>
      <c r="C3221" s="1">
        <v>42916</v>
      </c>
    </row>
    <row r="3222" spans="1:3">
      <c r="A3222" t="s">
        <v>123</v>
      </c>
      <c r="B3222">
        <v>4.9456210647096004</v>
      </c>
      <c r="C3222" s="1">
        <v>42916</v>
      </c>
    </row>
    <row r="3223" spans="1:3">
      <c r="A3223" t="s">
        <v>125</v>
      </c>
      <c r="B3223">
        <v>194.23774089021501</v>
      </c>
      <c r="C3223" s="1">
        <v>42916</v>
      </c>
    </row>
    <row r="3224" spans="1:3">
      <c r="A3224" t="s">
        <v>127</v>
      </c>
      <c r="B3224">
        <v>8.7082617821507</v>
      </c>
      <c r="C3224" s="1">
        <v>42916</v>
      </c>
    </row>
    <row r="3225" spans="1:3">
      <c r="A3225" t="s">
        <v>129</v>
      </c>
      <c r="B3225">
        <v>3.5985498950780501</v>
      </c>
      <c r="C3225" s="1">
        <v>42916</v>
      </c>
    </row>
    <row r="3226" spans="1:3">
      <c r="A3226" t="s">
        <v>131</v>
      </c>
      <c r="B3226">
        <v>4.5983590918017496</v>
      </c>
      <c r="C3226" s="1">
        <v>42916</v>
      </c>
    </row>
    <row r="3227" spans="1:3">
      <c r="A3227" t="s">
        <v>134</v>
      </c>
      <c r="B3227">
        <v>2.8162564396262999</v>
      </c>
      <c r="C3227" s="1">
        <v>42916</v>
      </c>
    </row>
    <row r="3228" spans="1:3">
      <c r="A3228" t="s">
        <v>136</v>
      </c>
      <c r="B3228">
        <v>15.216943331509199</v>
      </c>
      <c r="C3228" s="1">
        <v>42916</v>
      </c>
    </row>
    <row r="3229" spans="1:3">
      <c r="A3229" t="s">
        <v>138</v>
      </c>
      <c r="B3229">
        <v>12.026712459520599</v>
      </c>
      <c r="C3229" s="1">
        <v>42916</v>
      </c>
    </row>
    <row r="3230" spans="1:3">
      <c r="A3230" t="s">
        <v>140</v>
      </c>
      <c r="B3230">
        <v>10.68498378178</v>
      </c>
      <c r="C3230" s="1">
        <v>42916</v>
      </c>
    </row>
    <row r="3231" spans="1:3">
      <c r="A3231" t="s">
        <v>142</v>
      </c>
      <c r="B3231">
        <v>7.3650066781554999</v>
      </c>
      <c r="C3231" s="1">
        <v>42916</v>
      </c>
    </row>
    <row r="3232" spans="1:3">
      <c r="A3232" t="s">
        <v>144</v>
      </c>
      <c r="B3232">
        <v>5.5958786491436401</v>
      </c>
      <c r="C3232" s="1">
        <v>42916</v>
      </c>
    </row>
    <row r="3233" spans="1:3">
      <c r="A3233" t="s">
        <v>146</v>
      </c>
      <c r="B3233">
        <v>6.6468231253944303</v>
      </c>
      <c r="C3233" s="1">
        <v>42916</v>
      </c>
    </row>
    <row r="3234" spans="1:3">
      <c r="A3234" t="s">
        <v>148</v>
      </c>
      <c r="B3234">
        <v>10.993321885197</v>
      </c>
      <c r="C3234" s="1">
        <v>42916</v>
      </c>
    </row>
    <row r="3235" spans="1:3">
      <c r="A3235" t="s">
        <v>150</v>
      </c>
      <c r="B3235">
        <v>7.250524709065</v>
      </c>
      <c r="C3235" s="1">
        <v>42916</v>
      </c>
    </row>
    <row r="3236" spans="1:3">
      <c r="A3236" t="s">
        <v>152</v>
      </c>
      <c r="B3236">
        <v>9.7691280290560005</v>
      </c>
      <c r="C3236" s="1">
        <v>42916</v>
      </c>
    </row>
    <row r="3237" spans="1:3">
      <c r="A3237" t="s">
        <v>154</v>
      </c>
      <c r="B3237">
        <v>28.078610952263301</v>
      </c>
      <c r="C3237" s="1">
        <v>42916</v>
      </c>
    </row>
    <row r="3238" spans="1:3">
      <c r="A3238" t="s">
        <v>156</v>
      </c>
      <c r="B3238">
        <v>27.971761114445499</v>
      </c>
      <c r="C3238" s="1">
        <v>42916</v>
      </c>
    </row>
    <row r="3239" spans="1:3">
      <c r="A3239" t="s">
        <v>158</v>
      </c>
      <c r="B3239">
        <v>22.877313489918201</v>
      </c>
      <c r="C3239" s="1">
        <v>42916</v>
      </c>
    </row>
    <row r="3240" spans="1:3">
      <c r="A3240" t="s">
        <v>160</v>
      </c>
      <c r="B3240">
        <v>15.9351268842703</v>
      </c>
      <c r="C3240" s="1">
        <v>42916</v>
      </c>
    </row>
    <row r="3241" spans="1:3">
      <c r="A3241" t="s">
        <v>162</v>
      </c>
      <c r="B3241">
        <v>2.8124403739899502</v>
      </c>
      <c r="C3241" s="1">
        <v>42916</v>
      </c>
    </row>
    <row r="3242" spans="1:3">
      <c r="A3242" t="s">
        <v>164</v>
      </c>
      <c r="B3242">
        <v>3.4291165808241102</v>
      </c>
      <c r="C3242" s="1">
        <v>42916</v>
      </c>
    </row>
    <row r="3243" spans="1:3">
      <c r="A3243" t="s">
        <v>166</v>
      </c>
      <c r="B3243">
        <v>8.3037588246975993</v>
      </c>
      <c r="C3243" s="1">
        <v>42916</v>
      </c>
    </row>
    <row r="3244" spans="1:3">
      <c r="A3244" t="s">
        <v>168</v>
      </c>
      <c r="B3244">
        <v>6.4346498760133697</v>
      </c>
      <c r="C3244" s="1">
        <v>42916</v>
      </c>
    </row>
    <row r="3245" spans="1:3">
      <c r="A3245" t="s">
        <v>8</v>
      </c>
      <c r="B3245">
        <v>26.187399336865099</v>
      </c>
      <c r="C3245" s="1">
        <v>42947</v>
      </c>
    </row>
    <row r="3246" spans="1:3">
      <c r="A3246" t="s">
        <v>11</v>
      </c>
      <c r="B3246">
        <v>62.546281383368999</v>
      </c>
      <c r="C3246" s="1">
        <v>42947</v>
      </c>
    </row>
    <row r="3247" spans="1:3">
      <c r="A3247" t="s">
        <v>14</v>
      </c>
      <c r="B3247">
        <v>7.5475130270181197</v>
      </c>
      <c r="C3247" s="1">
        <v>42947</v>
      </c>
    </row>
    <row r="3248" spans="1:3">
      <c r="A3248" t="s">
        <v>17</v>
      </c>
      <c r="B3248">
        <v>8.5002368545900993</v>
      </c>
      <c r="C3248" s="1">
        <v>42947</v>
      </c>
    </row>
    <row r="3249" spans="1:3">
      <c r="A3249" t="s">
        <v>20</v>
      </c>
      <c r="B3249">
        <v>1.35518711511432</v>
      </c>
      <c r="C3249" s="1">
        <v>42947</v>
      </c>
    </row>
    <row r="3250" spans="1:3">
      <c r="A3250" t="s">
        <v>24</v>
      </c>
      <c r="B3250">
        <v>3.2174324964543</v>
      </c>
      <c r="C3250" s="1">
        <v>42947</v>
      </c>
    </row>
    <row r="3251" spans="1:3">
      <c r="A3251" t="s">
        <v>27</v>
      </c>
      <c r="B3251">
        <v>16.428233064934499</v>
      </c>
      <c r="C3251" s="1">
        <v>42947</v>
      </c>
    </row>
    <row r="3252" spans="1:3">
      <c r="A3252" t="s">
        <v>29</v>
      </c>
      <c r="B3252">
        <v>1.9175746091942001</v>
      </c>
      <c r="C3252" s="1">
        <v>42947</v>
      </c>
    </row>
    <row r="3253" spans="1:3">
      <c r="A3253" t="s">
        <v>32</v>
      </c>
      <c r="B3253">
        <v>13.4965419232889</v>
      </c>
      <c r="C3253" s="1">
        <v>42947</v>
      </c>
    </row>
    <row r="3254" spans="1:3">
      <c r="A3254" t="s">
        <v>35</v>
      </c>
      <c r="B3254">
        <v>4.82273803885482</v>
      </c>
      <c r="C3254" s="1">
        <v>42947</v>
      </c>
    </row>
    <row r="3255" spans="1:3">
      <c r="A3255" t="s">
        <v>37</v>
      </c>
      <c r="B3255">
        <v>1.2831833254410101</v>
      </c>
      <c r="C3255" s="1">
        <v>42947</v>
      </c>
    </row>
    <row r="3256" spans="1:3">
      <c r="A3256" t="s">
        <v>39</v>
      </c>
      <c r="B3256">
        <v>1.8000947418325</v>
      </c>
      <c r="C3256" s="1">
        <v>42947</v>
      </c>
    </row>
    <row r="3257" spans="1:3">
      <c r="A3257" t="s">
        <v>42</v>
      </c>
      <c r="B3257">
        <v>2.0418758882091601</v>
      </c>
      <c r="C3257" s="1">
        <v>42947</v>
      </c>
    </row>
    <row r="3258" spans="1:3">
      <c r="A3258" t="s">
        <v>44</v>
      </c>
      <c r="B3258">
        <v>8.25542396970088</v>
      </c>
      <c r="C3258" s="1">
        <v>42947</v>
      </c>
    </row>
    <row r="3259" spans="1:3">
      <c r="A3259" t="s">
        <v>47</v>
      </c>
      <c r="B3259">
        <v>10.004737091448</v>
      </c>
      <c r="C3259" s="1">
        <v>42947</v>
      </c>
    </row>
    <row r="3260" spans="1:3">
      <c r="A3260" t="s">
        <v>49</v>
      </c>
      <c r="B3260">
        <v>12.517290383732099</v>
      </c>
      <c r="C3260" s="1">
        <v>42947</v>
      </c>
    </row>
    <row r="3261" spans="1:3">
      <c r="A3261" t="s">
        <v>51</v>
      </c>
      <c r="B3261">
        <v>1.4628138323102</v>
      </c>
      <c r="C3261" s="1">
        <v>42947</v>
      </c>
    </row>
    <row r="3262" spans="1:3">
      <c r="A3262" t="s">
        <v>53</v>
      </c>
      <c r="B3262">
        <v>1.0724774988181001</v>
      </c>
      <c r="C3262" s="1">
        <v>42947</v>
      </c>
    </row>
    <row r="3263" spans="1:3">
      <c r="A3263" t="s">
        <v>55</v>
      </c>
      <c r="B3263">
        <v>5.1782093794524702</v>
      </c>
      <c r="C3263" s="1">
        <v>42947</v>
      </c>
    </row>
    <row r="3264" spans="1:3">
      <c r="A3264" t="s">
        <v>57</v>
      </c>
      <c r="B3264">
        <v>4.9303647560506896</v>
      </c>
      <c r="C3264" s="1">
        <v>42947</v>
      </c>
    </row>
    <row r="3265" spans="1:3">
      <c r="A3265" t="s">
        <v>59</v>
      </c>
      <c r="B3265">
        <v>9.9319753671465598</v>
      </c>
      <c r="C3265" s="1">
        <v>42947</v>
      </c>
    </row>
    <row r="3266" spans="1:3">
      <c r="A3266" t="s">
        <v>61</v>
      </c>
      <c r="B3266">
        <v>65.166461392849001</v>
      </c>
      <c r="C3266" s="1">
        <v>42947</v>
      </c>
    </row>
    <row r="3267" spans="1:3">
      <c r="A3267" t="s">
        <v>63</v>
      </c>
      <c r="B3267">
        <v>10.966556134557599</v>
      </c>
      <c r="C3267" s="1">
        <v>42947</v>
      </c>
    </row>
    <row r="3268" spans="1:3">
      <c r="A3268" t="s">
        <v>65</v>
      </c>
      <c r="B3268">
        <v>0.81629559450677902</v>
      </c>
      <c r="C3268" s="1">
        <v>42947</v>
      </c>
    </row>
    <row r="3269" spans="1:3">
      <c r="A3269" t="s">
        <v>67</v>
      </c>
      <c r="B3269">
        <v>10.634580767432301</v>
      </c>
      <c r="C3269" s="1">
        <v>42947</v>
      </c>
    </row>
    <row r="3270" spans="1:3">
      <c r="A3270" t="s">
        <v>69</v>
      </c>
      <c r="B3270">
        <v>5.7299857887383903</v>
      </c>
      <c r="C3270" s="1">
        <v>42947</v>
      </c>
    </row>
    <row r="3271" spans="1:3">
      <c r="A3271" t="s">
        <v>71</v>
      </c>
      <c r="B3271">
        <v>1.3604926575112899</v>
      </c>
      <c r="C3271" s="1">
        <v>42947</v>
      </c>
    </row>
    <row r="3272" spans="1:3">
      <c r="A3272" t="s">
        <v>73</v>
      </c>
      <c r="B3272">
        <v>1.8607295120837</v>
      </c>
      <c r="C3272" s="1">
        <v>42947</v>
      </c>
    </row>
    <row r="3273" spans="1:3">
      <c r="A3273" t="s">
        <v>75</v>
      </c>
      <c r="B3273">
        <v>0.42444339175839901</v>
      </c>
      <c r="C3273" s="1">
        <v>42947</v>
      </c>
    </row>
    <row r="3274" spans="1:3">
      <c r="A3274" t="s">
        <v>77</v>
      </c>
      <c r="B3274">
        <v>1.8781620085309201</v>
      </c>
      <c r="C3274" s="1">
        <v>42947</v>
      </c>
    </row>
    <row r="3275" spans="1:3">
      <c r="A3275" t="s">
        <v>79</v>
      </c>
      <c r="B3275">
        <v>8.8413074372531</v>
      </c>
      <c r="C3275" s="1">
        <v>42947</v>
      </c>
    </row>
    <row r="3276" spans="1:3">
      <c r="A3276" t="s">
        <v>81</v>
      </c>
      <c r="B3276">
        <v>10.4140217906436</v>
      </c>
      <c r="C3276" s="1">
        <v>42947</v>
      </c>
    </row>
    <row r="3277" spans="1:3">
      <c r="A3277" t="s">
        <v>83</v>
      </c>
      <c r="B3277">
        <v>0.60786357176827999</v>
      </c>
      <c r="C3277" s="1">
        <v>42947</v>
      </c>
    </row>
    <row r="3278" spans="1:3">
      <c r="A3278" t="s">
        <v>85</v>
      </c>
      <c r="B3278">
        <v>8.9587873046148001</v>
      </c>
      <c r="C3278" s="1">
        <v>42947</v>
      </c>
    </row>
    <row r="3279" spans="1:3">
      <c r="A3279" t="s">
        <v>87</v>
      </c>
      <c r="B3279">
        <v>20.938702036995601</v>
      </c>
      <c r="C3279" s="1">
        <v>42947</v>
      </c>
    </row>
    <row r="3280" spans="1:3">
      <c r="A3280" t="s">
        <v>89</v>
      </c>
      <c r="B3280">
        <v>9.8114637612722895</v>
      </c>
      <c r="C3280" s="1">
        <v>42947</v>
      </c>
    </row>
    <row r="3281" spans="1:3">
      <c r="A3281" t="s">
        <v>91</v>
      </c>
      <c r="B3281">
        <v>18.372335386113601</v>
      </c>
      <c r="C3281" s="1">
        <v>42947</v>
      </c>
    </row>
    <row r="3282" spans="1:3">
      <c r="A3282" t="s">
        <v>93</v>
      </c>
      <c r="B3282">
        <v>27.209853150225999</v>
      </c>
      <c r="C3282" s="1">
        <v>42947</v>
      </c>
    </row>
    <row r="3283" spans="1:3">
      <c r="A3283" t="s">
        <v>95</v>
      </c>
      <c r="B3283">
        <v>0.93832306963732004</v>
      </c>
      <c r="C3283" s="1">
        <v>42947</v>
      </c>
    </row>
    <row r="3284" spans="1:3">
      <c r="A3284" t="s">
        <v>97</v>
      </c>
      <c r="B3284">
        <v>10.3192799621261</v>
      </c>
      <c r="C3284" s="1">
        <v>42947</v>
      </c>
    </row>
    <row r="3285" spans="1:3">
      <c r="A3285" t="s">
        <v>99</v>
      </c>
      <c r="B3285">
        <v>7.162482235923</v>
      </c>
      <c r="C3285" s="1">
        <v>42947</v>
      </c>
    </row>
    <row r="3286" spans="1:3">
      <c r="A3286" t="s">
        <v>101</v>
      </c>
      <c r="B3286">
        <v>9.54846044530772</v>
      </c>
      <c r="C3286" s="1">
        <v>42947</v>
      </c>
    </row>
    <row r="3287" spans="1:3">
      <c r="A3287" t="s">
        <v>103</v>
      </c>
      <c r="B3287">
        <v>1.2051160587426</v>
      </c>
      <c r="C3287" s="1">
        <v>42947</v>
      </c>
    </row>
    <row r="3288" spans="1:3">
      <c r="A3288" t="s">
        <v>105</v>
      </c>
      <c r="B3288">
        <v>0.361534817622779</v>
      </c>
      <c r="C3288" s="1">
        <v>42947</v>
      </c>
    </row>
    <row r="3289" spans="1:3">
      <c r="A3289" t="s">
        <v>107</v>
      </c>
      <c r="B3289">
        <v>4.206537186177</v>
      </c>
      <c r="C3289" s="1">
        <v>42947</v>
      </c>
    </row>
    <row r="3290" spans="1:3">
      <c r="A3290" t="s">
        <v>109</v>
      </c>
      <c r="B3290">
        <v>1.7765987683601601</v>
      </c>
      <c r="C3290" s="1">
        <v>42947</v>
      </c>
    </row>
    <row r="3291" spans="1:3">
      <c r="A3291" t="s">
        <v>111</v>
      </c>
      <c r="B3291">
        <v>8.0341070582840004</v>
      </c>
      <c r="C3291" s="1">
        <v>42947</v>
      </c>
    </row>
    <row r="3292" spans="1:3">
      <c r="A3292" t="s">
        <v>113</v>
      </c>
      <c r="B3292">
        <v>11.4971103742556</v>
      </c>
      <c r="C3292" s="1">
        <v>42947</v>
      </c>
    </row>
    <row r="3293" spans="1:3">
      <c r="A3293" t="s">
        <v>115</v>
      </c>
      <c r="B3293">
        <v>4.7749881572820003</v>
      </c>
      <c r="C3293" s="1">
        <v>42947</v>
      </c>
    </row>
    <row r="3294" spans="1:3">
      <c r="A3294" t="s">
        <v>117</v>
      </c>
      <c r="B3294">
        <v>4.8060634770357398</v>
      </c>
      <c r="C3294" s="1">
        <v>42947</v>
      </c>
    </row>
    <row r="3295" spans="1:3">
      <c r="A3295" t="s">
        <v>119</v>
      </c>
      <c r="B3295">
        <v>14.893415442951</v>
      </c>
      <c r="C3295" s="1">
        <v>42947</v>
      </c>
    </row>
    <row r="3296" spans="1:3">
      <c r="A3296" t="s">
        <v>121</v>
      </c>
      <c r="B3296">
        <v>16.200852676492499</v>
      </c>
      <c r="C3296" s="1">
        <v>42947</v>
      </c>
    </row>
    <row r="3297" spans="1:3">
      <c r="A3297" t="s">
        <v>123</v>
      </c>
      <c r="B3297">
        <v>5.0288962577088903</v>
      </c>
      <c r="C3297" s="1">
        <v>42947</v>
      </c>
    </row>
    <row r="3298" spans="1:3">
      <c r="A3298" t="s">
        <v>125</v>
      </c>
      <c r="B3298">
        <v>220.44528659451899</v>
      </c>
      <c r="C3298" s="1">
        <v>42947</v>
      </c>
    </row>
    <row r="3299" spans="1:3">
      <c r="A3299" t="s">
        <v>127</v>
      </c>
      <c r="B3299">
        <v>8.9807674088308502</v>
      </c>
      <c r="C3299" s="1">
        <v>42947</v>
      </c>
    </row>
    <row r="3300" spans="1:3">
      <c r="A3300" t="s">
        <v>129</v>
      </c>
      <c r="B3300">
        <v>3.93064898153404</v>
      </c>
      <c r="C3300" s="1">
        <v>42947</v>
      </c>
    </row>
    <row r="3301" spans="1:3">
      <c r="A3301" t="s">
        <v>131</v>
      </c>
      <c r="B3301">
        <v>4.3535765040361598</v>
      </c>
      <c r="C3301" s="1">
        <v>42947</v>
      </c>
    </row>
    <row r="3302" spans="1:3">
      <c r="A3302" t="s">
        <v>134</v>
      </c>
      <c r="B3302">
        <v>2.7619137849421498</v>
      </c>
      <c r="C3302" s="1">
        <v>42947</v>
      </c>
    </row>
    <row r="3303" spans="1:3">
      <c r="A3303" t="s">
        <v>136</v>
      </c>
      <c r="B3303">
        <v>15.2860255803275</v>
      </c>
      <c r="C3303" s="1">
        <v>42947</v>
      </c>
    </row>
    <row r="3304" spans="1:3">
      <c r="A3304" t="s">
        <v>138</v>
      </c>
      <c r="B3304">
        <v>12.7098057792796</v>
      </c>
      <c r="C3304" s="1">
        <v>42947</v>
      </c>
    </row>
    <row r="3305" spans="1:3">
      <c r="A3305" t="s">
        <v>140</v>
      </c>
      <c r="B3305">
        <v>11.3129322596176</v>
      </c>
      <c r="C3305" s="1">
        <v>42947</v>
      </c>
    </row>
    <row r="3306" spans="1:3">
      <c r="A3306" t="s">
        <v>142</v>
      </c>
      <c r="B3306">
        <v>7.4694457603197</v>
      </c>
      <c r="C3306" s="1">
        <v>42947</v>
      </c>
    </row>
    <row r="3307" spans="1:3">
      <c r="A3307" t="s">
        <v>144</v>
      </c>
      <c r="B3307">
        <v>5.45106584558288</v>
      </c>
      <c r="C3307" s="1">
        <v>42947</v>
      </c>
    </row>
    <row r="3308" spans="1:3">
      <c r="A3308" t="s">
        <v>146</v>
      </c>
      <c r="B3308">
        <v>6.6175272382903403</v>
      </c>
      <c r="C3308" s="1">
        <v>42947</v>
      </c>
    </row>
    <row r="3309" spans="1:3">
      <c r="A3309" t="s">
        <v>148</v>
      </c>
      <c r="B3309">
        <v>12.409663666536201</v>
      </c>
      <c r="C3309" s="1">
        <v>42947</v>
      </c>
    </row>
    <row r="3310" spans="1:3">
      <c r="A3310" t="s">
        <v>150</v>
      </c>
      <c r="B3310">
        <v>7.4277593557719896</v>
      </c>
      <c r="C3310" s="1">
        <v>42947</v>
      </c>
    </row>
    <row r="3311" spans="1:3">
      <c r="A3311" t="s">
        <v>152</v>
      </c>
      <c r="B3311">
        <v>10.088109900543399</v>
      </c>
      <c r="C3311" s="1">
        <v>42947</v>
      </c>
    </row>
    <row r="3312" spans="1:3">
      <c r="A3312" t="s">
        <v>154</v>
      </c>
      <c r="B3312">
        <v>30.279488394192999</v>
      </c>
      <c r="C3312" s="1">
        <v>42947</v>
      </c>
    </row>
    <row r="3313" spans="1:3">
      <c r="A3313" t="s">
        <v>156</v>
      </c>
      <c r="B3313">
        <v>30.090762671786099</v>
      </c>
      <c r="C3313" s="1">
        <v>42947</v>
      </c>
    </row>
    <row r="3314" spans="1:3">
      <c r="A3314" t="s">
        <v>158</v>
      </c>
      <c r="B3314">
        <v>24.457792515449601</v>
      </c>
      <c r="C3314" s="1">
        <v>42947</v>
      </c>
    </row>
    <row r="3315" spans="1:3">
      <c r="A3315" t="s">
        <v>160</v>
      </c>
      <c r="B3315">
        <v>16.6040738986629</v>
      </c>
      <c r="C3315" s="1">
        <v>42947</v>
      </c>
    </row>
    <row r="3316" spans="1:3">
      <c r="A3316" t="s">
        <v>162</v>
      </c>
      <c r="B3316">
        <v>2.6686878256809399</v>
      </c>
      <c r="C3316" s="1">
        <v>42947</v>
      </c>
    </row>
    <row r="3317" spans="1:3">
      <c r="A3317" t="s">
        <v>164</v>
      </c>
      <c r="B3317">
        <v>4.0155376598857098</v>
      </c>
      <c r="C3317" s="1">
        <v>42947</v>
      </c>
    </row>
    <row r="3318" spans="1:3">
      <c r="A3318" t="s">
        <v>166</v>
      </c>
      <c r="B3318">
        <v>8.9883467551122607</v>
      </c>
      <c r="C3318" s="1">
        <v>42947</v>
      </c>
    </row>
    <row r="3319" spans="1:3">
      <c r="A3319" t="s">
        <v>168</v>
      </c>
      <c r="B3319">
        <v>7.1086688773250604</v>
      </c>
      <c r="C3319" s="1">
        <v>42947</v>
      </c>
    </row>
    <row r="3320" spans="1:3">
      <c r="A3320" t="s">
        <v>8</v>
      </c>
      <c r="B3320">
        <v>27.274475860806</v>
      </c>
      <c r="C3320" s="1">
        <v>42978</v>
      </c>
    </row>
    <row r="3321" spans="1:3">
      <c r="A3321" t="s">
        <v>11</v>
      </c>
      <c r="B3321">
        <v>62.127332179409997</v>
      </c>
      <c r="C3321" s="1">
        <v>42978</v>
      </c>
    </row>
    <row r="3322" spans="1:3">
      <c r="A3322" t="s">
        <v>14</v>
      </c>
      <c r="B3322">
        <v>7.5976149259649999</v>
      </c>
      <c r="C3322" s="1">
        <v>42978</v>
      </c>
    </row>
    <row r="3323" spans="1:3">
      <c r="A3323" t="s">
        <v>17</v>
      </c>
      <c r="B3323">
        <v>8.9063281400476804</v>
      </c>
      <c r="C3323" s="1">
        <v>42978</v>
      </c>
    </row>
    <row r="3324" spans="1:3">
      <c r="A3324" t="s">
        <v>20</v>
      </c>
      <c r="B3324">
        <v>1.3925754952908</v>
      </c>
      <c r="C3324" s="1">
        <v>42978</v>
      </c>
    </row>
    <row r="3325" spans="1:3">
      <c r="A3325" t="s">
        <v>24</v>
      </c>
      <c r="B3325">
        <v>2.9928832467851998</v>
      </c>
      <c r="C3325" s="1">
        <v>42978</v>
      </c>
    </row>
    <row r="3326" spans="1:3">
      <c r="A3326" t="s">
        <v>27</v>
      </c>
      <c r="B3326">
        <v>18.085016349339998</v>
      </c>
      <c r="C3326" s="1">
        <v>42978</v>
      </c>
    </row>
    <row r="3327" spans="1:3">
      <c r="A3327" t="s">
        <v>29</v>
      </c>
      <c r="B3327">
        <v>2.0288517022551602</v>
      </c>
      <c r="C3327" s="1">
        <v>42978</v>
      </c>
    </row>
    <row r="3328" spans="1:3">
      <c r="A3328" t="s">
        <v>32</v>
      </c>
      <c r="B3328">
        <v>13.971148297782101</v>
      </c>
      <c r="C3328" s="1">
        <v>42978</v>
      </c>
    </row>
    <row r="3329" spans="1:3">
      <c r="A3329" t="s">
        <v>35</v>
      </c>
      <c r="B3329">
        <v>4.8470859780840003</v>
      </c>
      <c r="C3329" s="1">
        <v>42978</v>
      </c>
    </row>
    <row r="3330" spans="1:3">
      <c r="A3330" t="s">
        <v>37</v>
      </c>
      <c r="B3330">
        <v>1.4225812656313199</v>
      </c>
      <c r="C3330" s="1">
        <v>42978</v>
      </c>
    </row>
    <row r="3331" spans="1:3">
      <c r="A3331" t="s">
        <v>39</v>
      </c>
      <c r="B3331">
        <v>1.750336603197</v>
      </c>
      <c r="C3331" s="1">
        <v>42978</v>
      </c>
    </row>
    <row r="3332" spans="1:3">
      <c r="A3332" t="s">
        <v>42</v>
      </c>
      <c r="B3332">
        <v>2.16426235815084</v>
      </c>
      <c r="C3332" s="1">
        <v>42978</v>
      </c>
    </row>
    <row r="3333" spans="1:3">
      <c r="A3333" t="s">
        <v>44</v>
      </c>
      <c r="B3333">
        <v>10.0688593960611</v>
      </c>
      <c r="C3333" s="1">
        <v>42978</v>
      </c>
    </row>
    <row r="3334" spans="1:3">
      <c r="A3334" t="s">
        <v>47</v>
      </c>
      <c r="B3334">
        <v>10.3689170994663</v>
      </c>
      <c r="C3334" s="1">
        <v>42978</v>
      </c>
    </row>
    <row r="3335" spans="1:3">
      <c r="A3335" t="s">
        <v>49</v>
      </c>
      <c r="B3335">
        <v>13.006347374525401</v>
      </c>
      <c r="C3335" s="1">
        <v>42978</v>
      </c>
    </row>
    <row r="3336" spans="1:3">
      <c r="A3336" t="s">
        <v>51</v>
      </c>
      <c r="B3336">
        <v>1.442585112525</v>
      </c>
      <c r="C3336" s="1">
        <v>42978</v>
      </c>
    </row>
    <row r="3337" spans="1:3">
      <c r="A3337" t="s">
        <v>53</v>
      </c>
      <c r="B3337">
        <v>1.0671282939051601</v>
      </c>
      <c r="C3337" s="1">
        <v>42978</v>
      </c>
    </row>
    <row r="3338" spans="1:3">
      <c r="A3338" t="s">
        <v>55</v>
      </c>
      <c r="B3338">
        <v>5.4125793421938004</v>
      </c>
      <c r="C3338" s="1">
        <v>42978</v>
      </c>
    </row>
    <row r="3339" spans="1:3">
      <c r="A3339" t="s">
        <v>57</v>
      </c>
      <c r="B3339">
        <v>4.8286208886436803</v>
      </c>
      <c r="C3339" s="1">
        <v>42978</v>
      </c>
    </row>
    <row r="3340" spans="1:3">
      <c r="A3340" t="s">
        <v>59</v>
      </c>
      <c r="B3340">
        <v>9.6218503558600794</v>
      </c>
      <c r="C3340" s="1">
        <v>42978</v>
      </c>
    </row>
    <row r="3341" spans="1:3">
      <c r="A3341" t="s">
        <v>61</v>
      </c>
      <c r="B3341">
        <v>69.282554337533995</v>
      </c>
      <c r="C3341" s="1">
        <v>42978</v>
      </c>
    </row>
    <row r="3342" spans="1:3">
      <c r="A3342" t="s">
        <v>63</v>
      </c>
      <c r="B3342">
        <v>11.92537026354</v>
      </c>
      <c r="C3342" s="1">
        <v>42978</v>
      </c>
    </row>
    <row r="3343" spans="1:3">
      <c r="A3343" t="s">
        <v>65</v>
      </c>
      <c r="B3343">
        <v>0.82015772264088005</v>
      </c>
      <c r="C3343" s="1">
        <v>42978</v>
      </c>
    </row>
    <row r="3344" spans="1:3">
      <c r="A3344" t="s">
        <v>67</v>
      </c>
      <c r="B3344">
        <v>11.586843623800799</v>
      </c>
      <c r="C3344" s="1">
        <v>42978</v>
      </c>
    </row>
    <row r="3345" spans="1:3">
      <c r="A3345" t="s">
        <v>69</v>
      </c>
      <c r="B3345">
        <v>6.3881515676240399</v>
      </c>
      <c r="C3345" s="1">
        <v>42978</v>
      </c>
    </row>
    <row r="3346" spans="1:3">
      <c r="A3346" t="s">
        <v>71</v>
      </c>
      <c r="B3346">
        <v>1.4002692825576</v>
      </c>
      <c r="C3346" s="1">
        <v>42978</v>
      </c>
    </row>
    <row r="3347" spans="1:3">
      <c r="A3347" t="s">
        <v>73</v>
      </c>
      <c r="B3347">
        <v>1.8549721100254799</v>
      </c>
      <c r="C3347" s="1">
        <v>42978</v>
      </c>
    </row>
    <row r="3348" spans="1:3">
      <c r="A3348" t="s">
        <v>75</v>
      </c>
      <c r="B3348">
        <v>0.41623389113387999</v>
      </c>
      <c r="C3348" s="1">
        <v>42978</v>
      </c>
    </row>
    <row r="3349" spans="1:3">
      <c r="A3349" t="s">
        <v>77</v>
      </c>
      <c r="B3349">
        <v>1.9349874976001999</v>
      </c>
      <c r="C3349" s="1">
        <v>42978</v>
      </c>
    </row>
    <row r="3350" spans="1:3">
      <c r="A3350" t="s">
        <v>79</v>
      </c>
      <c r="B3350">
        <v>9.0940565493575996</v>
      </c>
      <c r="C3350" s="1">
        <v>42978</v>
      </c>
    </row>
    <row r="3351" spans="1:3">
      <c r="A3351" t="s">
        <v>81</v>
      </c>
      <c r="B3351">
        <v>10.675129832685</v>
      </c>
      <c r="C3351" s="1">
        <v>42978</v>
      </c>
    </row>
    <row r="3352" spans="1:3">
      <c r="A3352" t="s">
        <v>83</v>
      </c>
      <c r="B3352">
        <v>0.65012502404460004</v>
      </c>
      <c r="C3352" s="1">
        <v>42978</v>
      </c>
    </row>
    <row r="3353" spans="1:3">
      <c r="A3353" t="s">
        <v>85</v>
      </c>
      <c r="B3353">
        <v>8.7809194075988408</v>
      </c>
      <c r="C3353" s="1">
        <v>42978</v>
      </c>
    </row>
    <row r="3354" spans="1:3">
      <c r="A3354" t="s">
        <v>87</v>
      </c>
      <c r="B3354">
        <v>22.3050586651798</v>
      </c>
      <c r="C3354" s="1">
        <v>42978</v>
      </c>
    </row>
    <row r="3355" spans="1:3">
      <c r="A3355" t="s">
        <v>89</v>
      </c>
      <c r="B3355">
        <v>10.232737064844001</v>
      </c>
      <c r="C3355" s="1">
        <v>42978</v>
      </c>
    </row>
    <row r="3356" spans="1:3">
      <c r="A3356" t="s">
        <v>91</v>
      </c>
      <c r="B3356">
        <v>19.926909021012001</v>
      </c>
      <c r="C3356" s="1">
        <v>42978</v>
      </c>
    </row>
    <row r="3357" spans="1:3">
      <c r="A3357" t="s">
        <v>93</v>
      </c>
      <c r="B3357">
        <v>28.581650317435301</v>
      </c>
      <c r="C3357" s="1">
        <v>42978</v>
      </c>
    </row>
    <row r="3358" spans="1:3">
      <c r="A3358" t="s">
        <v>95</v>
      </c>
      <c r="B3358">
        <v>1.0394306597446801</v>
      </c>
      <c r="C3358" s="1">
        <v>42978</v>
      </c>
    </row>
    <row r="3359" spans="1:3">
      <c r="A3359" t="s">
        <v>97</v>
      </c>
      <c r="B3359">
        <v>10.886708982522</v>
      </c>
      <c r="C3359" s="1">
        <v>42978</v>
      </c>
    </row>
    <row r="3360" spans="1:3">
      <c r="A3360" t="s">
        <v>99</v>
      </c>
      <c r="B3360">
        <v>7.2075399115382401</v>
      </c>
      <c r="C3360" s="1">
        <v>42978</v>
      </c>
    </row>
    <row r="3361" spans="1:3">
      <c r="A3361" t="s">
        <v>101</v>
      </c>
      <c r="B3361">
        <v>10.001923446839999</v>
      </c>
      <c r="C3361" s="1">
        <v>42978</v>
      </c>
    </row>
    <row r="3362" spans="1:3">
      <c r="A3362" t="s">
        <v>103</v>
      </c>
      <c r="B3362">
        <v>1.1848432390871999</v>
      </c>
      <c r="C3362" s="1">
        <v>42978</v>
      </c>
    </row>
    <row r="3363" spans="1:3">
      <c r="A3363" t="s">
        <v>105</v>
      </c>
      <c r="B3363">
        <v>0.43700711675423998</v>
      </c>
      <c r="C3363" s="1">
        <v>42978</v>
      </c>
    </row>
    <row r="3364" spans="1:3">
      <c r="A3364" t="s">
        <v>107</v>
      </c>
      <c r="B3364">
        <v>4.4623966147439997</v>
      </c>
      <c r="C3364" s="1">
        <v>42978</v>
      </c>
    </row>
    <row r="3365" spans="1:3">
      <c r="A3365" t="s">
        <v>109</v>
      </c>
      <c r="B3365">
        <v>1.98807462974112</v>
      </c>
      <c r="C3365" s="1">
        <v>42978</v>
      </c>
    </row>
    <row r="3366" spans="1:3">
      <c r="A3366" t="s">
        <v>111</v>
      </c>
      <c r="B3366">
        <v>8.2323523754759993</v>
      </c>
      <c r="C3366" s="1">
        <v>42978</v>
      </c>
    </row>
    <row r="3367" spans="1:3">
      <c r="A3367" t="s">
        <v>113</v>
      </c>
      <c r="B3367">
        <v>11.792267743824301</v>
      </c>
      <c r="C3367" s="1">
        <v>42978</v>
      </c>
    </row>
    <row r="3368" spans="1:3">
      <c r="A3368" t="s">
        <v>115</v>
      </c>
      <c r="B3368">
        <v>4.5654933641191198</v>
      </c>
      <c r="C3368" s="1">
        <v>42978</v>
      </c>
    </row>
    <row r="3369" spans="1:3">
      <c r="A3369" t="s">
        <v>117</v>
      </c>
      <c r="B3369">
        <v>4.9224850932986399</v>
      </c>
      <c r="C3369" s="1">
        <v>42978</v>
      </c>
    </row>
    <row r="3370" spans="1:3">
      <c r="A3370" t="s">
        <v>119</v>
      </c>
      <c r="B3370">
        <v>16.4408540104249</v>
      </c>
      <c r="C3370" s="1">
        <v>42978</v>
      </c>
    </row>
    <row r="3371" spans="1:3">
      <c r="A3371" t="s">
        <v>121</v>
      </c>
      <c r="B3371">
        <v>16.7224466243898</v>
      </c>
      <c r="C3371" s="1">
        <v>42978</v>
      </c>
    </row>
    <row r="3372" spans="1:3">
      <c r="A3372" t="s">
        <v>123</v>
      </c>
      <c r="B3372">
        <v>5.5241392575623998</v>
      </c>
      <c r="C3372" s="1">
        <v>42978</v>
      </c>
    </row>
    <row r="3373" spans="1:3">
      <c r="A3373" t="s">
        <v>125</v>
      </c>
      <c r="B3373">
        <v>226.27197538040701</v>
      </c>
      <c r="C3373" s="1">
        <v>42978</v>
      </c>
    </row>
    <row r="3374" spans="1:3">
      <c r="A3374" t="s">
        <v>127</v>
      </c>
      <c r="B3374">
        <v>9.9426812848856407</v>
      </c>
      <c r="C3374" s="1">
        <v>42978</v>
      </c>
    </row>
    <row r="3375" spans="1:3">
      <c r="A3375" t="s">
        <v>129</v>
      </c>
      <c r="B3375">
        <v>4.2723600692540398</v>
      </c>
      <c r="C3375" s="1">
        <v>42978</v>
      </c>
    </row>
    <row r="3376" spans="1:3">
      <c r="A3376" t="s">
        <v>131</v>
      </c>
      <c r="B3376">
        <v>4.35237545682876</v>
      </c>
      <c r="C3376" s="1">
        <v>42978</v>
      </c>
    </row>
    <row r="3377" spans="1:3">
      <c r="A3377" t="s">
        <v>134</v>
      </c>
      <c r="B3377">
        <v>3.17830351991508</v>
      </c>
      <c r="C3377" s="1">
        <v>42978</v>
      </c>
    </row>
    <row r="3378" spans="1:3">
      <c r="A3378" t="s">
        <v>136</v>
      </c>
      <c r="B3378">
        <v>17.341027120640501</v>
      </c>
      <c r="C3378" s="1">
        <v>42978</v>
      </c>
    </row>
    <row r="3379" spans="1:3">
      <c r="A3379" t="s">
        <v>138</v>
      </c>
      <c r="B3379">
        <v>13.190998268928601</v>
      </c>
      <c r="C3379" s="1">
        <v>42978</v>
      </c>
    </row>
    <row r="3380" spans="1:3">
      <c r="A3380" t="s">
        <v>140</v>
      </c>
      <c r="B3380">
        <v>11.448355452998401</v>
      </c>
      <c r="C3380" s="1">
        <v>42978</v>
      </c>
    </row>
    <row r="3381" spans="1:3">
      <c r="A3381" t="s">
        <v>142</v>
      </c>
      <c r="B3381">
        <v>7.6222350452187602</v>
      </c>
      <c r="C3381" s="1">
        <v>42978</v>
      </c>
    </row>
    <row r="3382" spans="1:3">
      <c r="A3382" t="s">
        <v>144</v>
      </c>
      <c r="B3382">
        <v>5.3471821504259998</v>
      </c>
      <c r="C3382" s="1">
        <v>42978</v>
      </c>
    </row>
    <row r="3383" spans="1:3">
      <c r="A3383" t="s">
        <v>146</v>
      </c>
      <c r="B3383">
        <v>6.7243700711832002</v>
      </c>
      <c r="C3383" s="1">
        <v>42978</v>
      </c>
    </row>
    <row r="3384" spans="1:3">
      <c r="A3384" t="s">
        <v>148</v>
      </c>
      <c r="B3384">
        <v>12.881708020803201</v>
      </c>
      <c r="C3384" s="1">
        <v>42978</v>
      </c>
    </row>
    <row r="3385" spans="1:3">
      <c r="A3385" t="s">
        <v>150</v>
      </c>
      <c r="B3385">
        <v>7.60069244087172</v>
      </c>
      <c r="C3385" s="1">
        <v>42978</v>
      </c>
    </row>
    <row r="3386" spans="1:3">
      <c r="A3386" t="s">
        <v>152</v>
      </c>
      <c r="B3386">
        <v>10.1296403154688</v>
      </c>
      <c r="C3386" s="1">
        <v>42978</v>
      </c>
    </row>
    <row r="3387" spans="1:3">
      <c r="A3387" t="s">
        <v>154</v>
      </c>
      <c r="B3387">
        <v>31.005962685204</v>
      </c>
      <c r="C3387" s="1">
        <v>42978</v>
      </c>
    </row>
    <row r="3388" spans="1:3">
      <c r="A3388" t="s">
        <v>156</v>
      </c>
      <c r="B3388">
        <v>30.150413541135801</v>
      </c>
      <c r="C3388" s="1">
        <v>42978</v>
      </c>
    </row>
    <row r="3389" spans="1:3">
      <c r="A3389" t="s">
        <v>158</v>
      </c>
      <c r="B3389">
        <v>27.120600115470001</v>
      </c>
      <c r="C3389" s="1">
        <v>42978</v>
      </c>
    </row>
    <row r="3390" spans="1:3">
      <c r="A3390" t="s">
        <v>160</v>
      </c>
      <c r="B3390">
        <v>16.916330063513101</v>
      </c>
      <c r="C3390" s="1">
        <v>42978</v>
      </c>
    </row>
    <row r="3391" spans="1:3">
      <c r="A3391" t="s">
        <v>162</v>
      </c>
      <c r="B3391">
        <v>3.0929024812536001</v>
      </c>
      <c r="C3391" s="1">
        <v>42978</v>
      </c>
    </row>
    <row r="3392" spans="1:3">
      <c r="A3392" t="s">
        <v>164</v>
      </c>
      <c r="B3392">
        <v>4.4623966147439997</v>
      </c>
      <c r="C3392" s="1">
        <v>42978</v>
      </c>
    </row>
    <row r="3393" spans="1:3">
      <c r="A3393" t="s">
        <v>166</v>
      </c>
      <c r="B3393">
        <v>9.8865166378379996</v>
      </c>
      <c r="C3393" s="1">
        <v>42978</v>
      </c>
    </row>
    <row r="3394" spans="1:3">
      <c r="A3394" t="s">
        <v>168</v>
      </c>
      <c r="B3394">
        <v>8.4554722062131997</v>
      </c>
      <c r="C3394" s="1">
        <v>42978</v>
      </c>
    </row>
    <row r="3395" spans="1:3">
      <c r="A3395" t="s">
        <v>8</v>
      </c>
      <c r="B3395">
        <v>26.869838918812299</v>
      </c>
      <c r="C3395" s="1">
        <v>43008</v>
      </c>
    </row>
    <row r="3396" spans="1:3">
      <c r="A3396" t="s">
        <v>11</v>
      </c>
      <c r="B3396">
        <v>62.686169228139001</v>
      </c>
      <c r="C3396" s="1">
        <v>43008</v>
      </c>
    </row>
    <row r="3397" spans="1:3">
      <c r="A3397" t="s">
        <v>14</v>
      </c>
      <c r="B3397">
        <v>7.2579152009139998</v>
      </c>
      <c r="C3397" s="1">
        <v>43008</v>
      </c>
    </row>
    <row r="3398" spans="1:3">
      <c r="A3398" t="s">
        <v>17</v>
      </c>
      <c r="B3398">
        <v>9.1020181448197004</v>
      </c>
      <c r="C3398" s="1">
        <v>43008</v>
      </c>
    </row>
    <row r="3399" spans="1:3">
      <c r="A3399" t="s">
        <v>20</v>
      </c>
      <c r="B3399">
        <v>1.3701166450705</v>
      </c>
      <c r="C3399" s="1">
        <v>43008</v>
      </c>
    </row>
    <row r="3400" spans="1:3">
      <c r="A3400" t="s">
        <v>24</v>
      </c>
      <c r="B3400">
        <v>2.7994815774953898</v>
      </c>
      <c r="C3400" s="1">
        <v>43008</v>
      </c>
    </row>
    <row r="3401" spans="1:3">
      <c r="A3401" t="s">
        <v>27</v>
      </c>
      <c r="B3401">
        <v>17.952971671975099</v>
      </c>
      <c r="C3401" s="1">
        <v>43008</v>
      </c>
    </row>
    <row r="3402" spans="1:3">
      <c r="A3402" t="s">
        <v>29</v>
      </c>
      <c r="B3402">
        <v>1.7552305128740999</v>
      </c>
      <c r="C3402" s="1">
        <v>43008</v>
      </c>
    </row>
    <row r="3403" spans="1:3">
      <c r="A3403" t="s">
        <v>32</v>
      </c>
      <c r="B3403">
        <v>11.934086280360001</v>
      </c>
      <c r="C3403" s="1">
        <v>43008</v>
      </c>
    </row>
    <row r="3404" spans="1:3">
      <c r="A3404" t="s">
        <v>35</v>
      </c>
      <c r="B3404">
        <v>4.4806517311764997</v>
      </c>
      <c r="C3404" s="1">
        <v>43008</v>
      </c>
    </row>
    <row r="3405" spans="1:3">
      <c r="A3405" t="s">
        <v>37</v>
      </c>
      <c r="B3405">
        <v>1.2960562858775</v>
      </c>
      <c r="C3405" s="1">
        <v>43008</v>
      </c>
    </row>
    <row r="3406" spans="1:3">
      <c r="A3406" t="s">
        <v>39</v>
      </c>
      <c r="B3406">
        <v>1.4663951120214</v>
      </c>
      <c r="C3406" s="1">
        <v>43008</v>
      </c>
    </row>
    <row r="3407" spans="1:3">
      <c r="A3407" t="s">
        <v>42</v>
      </c>
      <c r="B3407">
        <v>2.11146084059243</v>
      </c>
      <c r="C3407" s="1">
        <v>43008</v>
      </c>
    </row>
    <row r="3408" spans="1:3">
      <c r="A3408" t="s">
        <v>44</v>
      </c>
      <c r="B3408">
        <v>9.0983151268600402</v>
      </c>
      <c r="C3408" s="1">
        <v>43008</v>
      </c>
    </row>
    <row r="3409" spans="1:3">
      <c r="A3409" t="s">
        <v>47</v>
      </c>
      <c r="B3409">
        <v>9.1723754860530402</v>
      </c>
      <c r="C3409" s="1">
        <v>43008</v>
      </c>
    </row>
    <row r="3410" spans="1:3">
      <c r="A3410" t="s">
        <v>49</v>
      </c>
      <c r="B3410">
        <v>12.374004813966399</v>
      </c>
      <c r="C3410" s="1">
        <v>43008</v>
      </c>
    </row>
    <row r="3411" spans="1:3">
      <c r="A3411" t="s">
        <v>51</v>
      </c>
      <c r="B3411">
        <v>1.46417330124561</v>
      </c>
      <c r="C3411" s="1">
        <v>43008</v>
      </c>
    </row>
    <row r="3412" spans="1:3">
      <c r="A3412" t="s">
        <v>53</v>
      </c>
      <c r="B3412">
        <v>0.98129975930725</v>
      </c>
      <c r="C3412" s="1">
        <v>43008</v>
      </c>
    </row>
    <row r="3413" spans="1:3">
      <c r="A3413" t="s">
        <v>55</v>
      </c>
      <c r="B3413">
        <v>4.9842621736888999</v>
      </c>
      <c r="C3413" s="1">
        <v>43008</v>
      </c>
    </row>
    <row r="3414" spans="1:3">
      <c r="A3414" t="s">
        <v>57</v>
      </c>
      <c r="B3414">
        <v>4.39103869655297</v>
      </c>
      <c r="C3414" s="1">
        <v>43008</v>
      </c>
    </row>
    <row r="3415" spans="1:3">
      <c r="A3415" t="s">
        <v>59</v>
      </c>
      <c r="B3415">
        <v>9.8559526014044394</v>
      </c>
      <c r="C3415" s="1">
        <v>43008</v>
      </c>
    </row>
    <row r="3416" spans="1:3">
      <c r="A3416" t="s">
        <v>61</v>
      </c>
      <c r="B3416">
        <v>63.623032771930497</v>
      </c>
      <c r="C3416" s="1">
        <v>43008</v>
      </c>
    </row>
    <row r="3417" spans="1:3">
      <c r="A3417" t="s">
        <v>63</v>
      </c>
      <c r="B3417">
        <v>12.7443066099314</v>
      </c>
      <c r="C3417" s="1">
        <v>43008</v>
      </c>
    </row>
    <row r="3418" spans="1:3">
      <c r="A3418" t="s">
        <v>65</v>
      </c>
      <c r="B3418">
        <v>0.79170523977316998</v>
      </c>
      <c r="C3418" s="1">
        <v>43008</v>
      </c>
    </row>
    <row r="3419" spans="1:3">
      <c r="A3419" t="s">
        <v>67</v>
      </c>
      <c r="B3419">
        <v>10.4173301240873</v>
      </c>
      <c r="C3419" s="1">
        <v>43008</v>
      </c>
    </row>
    <row r="3420" spans="1:3">
      <c r="A3420" t="s">
        <v>69</v>
      </c>
      <c r="B3420">
        <v>5.7211627476592497</v>
      </c>
      <c r="C3420" s="1">
        <v>43008</v>
      </c>
    </row>
    <row r="3421" spans="1:3">
      <c r="A3421" t="s">
        <v>71</v>
      </c>
      <c r="B3421">
        <v>1.3108683577161</v>
      </c>
      <c r="C3421" s="1">
        <v>43008</v>
      </c>
    </row>
    <row r="3422" spans="1:3">
      <c r="A3422" t="s">
        <v>73</v>
      </c>
      <c r="B3422">
        <v>1.7626365487933999</v>
      </c>
      <c r="C3422" s="1">
        <v>43008</v>
      </c>
    </row>
    <row r="3423" spans="1:3">
      <c r="A3423" t="s">
        <v>75</v>
      </c>
      <c r="B3423">
        <v>0.362155156453769</v>
      </c>
      <c r="C3423" s="1">
        <v>43008</v>
      </c>
    </row>
    <row r="3424" spans="1:3">
      <c r="A3424" t="s">
        <v>77</v>
      </c>
      <c r="B3424">
        <v>1.7996667283898999</v>
      </c>
      <c r="C3424" s="1">
        <v>43008</v>
      </c>
    </row>
    <row r="3425" spans="1:3">
      <c r="A3425" t="s">
        <v>79</v>
      </c>
      <c r="B3425">
        <v>8.6650620255809994</v>
      </c>
      <c r="C3425" s="1">
        <v>43008</v>
      </c>
    </row>
    <row r="3426" spans="1:3">
      <c r="A3426" t="s">
        <v>81</v>
      </c>
      <c r="B3426">
        <v>10.907609701945001</v>
      </c>
      <c r="C3426" s="1">
        <v>43008</v>
      </c>
    </row>
    <row r="3427" spans="1:3">
      <c r="A3427" t="s">
        <v>83</v>
      </c>
      <c r="B3427">
        <v>0.62729124236471001</v>
      </c>
      <c r="C3427" s="1">
        <v>43008</v>
      </c>
    </row>
    <row r="3428" spans="1:3">
      <c r="A3428" t="s">
        <v>85</v>
      </c>
      <c r="B3428">
        <v>7.8296611738839497</v>
      </c>
      <c r="C3428" s="1">
        <v>43008</v>
      </c>
    </row>
    <row r="3429" spans="1:3">
      <c r="A3429" t="s">
        <v>87</v>
      </c>
      <c r="B3429">
        <v>22.483984447402801</v>
      </c>
      <c r="C3429" s="1">
        <v>43008</v>
      </c>
    </row>
    <row r="3430" spans="1:3">
      <c r="A3430" t="s">
        <v>89</v>
      </c>
      <c r="B3430">
        <v>9.6878355860363303</v>
      </c>
      <c r="C3430" s="1">
        <v>43008</v>
      </c>
    </row>
    <row r="3431" spans="1:3">
      <c r="A3431" t="s">
        <v>91</v>
      </c>
      <c r="B3431">
        <v>19.033512312600902</v>
      </c>
      <c r="C3431" s="1">
        <v>43008</v>
      </c>
    </row>
    <row r="3432" spans="1:3">
      <c r="A3432" t="s">
        <v>93</v>
      </c>
      <c r="B3432">
        <v>28.513238289304901</v>
      </c>
      <c r="C3432" s="1">
        <v>43008</v>
      </c>
    </row>
    <row r="3433" spans="1:3">
      <c r="A3433" t="s">
        <v>95</v>
      </c>
      <c r="B3433">
        <v>1.0220329568633999</v>
      </c>
      <c r="C3433" s="1">
        <v>43008</v>
      </c>
    </row>
    <row r="3434" spans="1:3">
      <c r="A3434" t="s">
        <v>97</v>
      </c>
      <c r="B3434">
        <v>10.306980188889799</v>
      </c>
      <c r="C3434" s="1">
        <v>43008</v>
      </c>
    </row>
    <row r="3435" spans="1:3">
      <c r="A3435" t="s">
        <v>99</v>
      </c>
      <c r="B3435">
        <v>6.0973893723596797</v>
      </c>
      <c r="C3435" s="1">
        <v>43008</v>
      </c>
    </row>
    <row r="3436" spans="1:3">
      <c r="A3436" t="s">
        <v>101</v>
      </c>
      <c r="B3436">
        <v>9.3982595815917005</v>
      </c>
      <c r="C3436" s="1">
        <v>43008</v>
      </c>
    </row>
    <row r="3437" spans="1:3">
      <c r="A3437" t="s">
        <v>103</v>
      </c>
      <c r="B3437">
        <v>1.1294204776932499</v>
      </c>
      <c r="C3437" s="1">
        <v>43008</v>
      </c>
    </row>
    <row r="3438" spans="1:3">
      <c r="A3438" t="s">
        <v>105</v>
      </c>
      <c r="B3438">
        <v>0.46806147009976001</v>
      </c>
      <c r="C3438" s="1">
        <v>43008</v>
      </c>
    </row>
    <row r="3439" spans="1:3">
      <c r="A3439" t="s">
        <v>107</v>
      </c>
      <c r="B3439">
        <v>3.7948528050493202</v>
      </c>
      <c r="C3439" s="1">
        <v>43008</v>
      </c>
    </row>
    <row r="3440" spans="1:3">
      <c r="A3440" t="s">
        <v>109</v>
      </c>
      <c r="B3440">
        <v>1.7863358637351601</v>
      </c>
      <c r="C3440" s="1">
        <v>43008</v>
      </c>
    </row>
    <row r="3441" spans="1:3">
      <c r="A3441" t="s">
        <v>111</v>
      </c>
      <c r="B3441">
        <v>7.5097204221701999</v>
      </c>
      <c r="C3441" s="1">
        <v>43008</v>
      </c>
    </row>
    <row r="3442" spans="1:3">
      <c r="A3442" t="s">
        <v>113</v>
      </c>
      <c r="B3442">
        <v>10.053693760449701</v>
      </c>
      <c r="C3442" s="1">
        <v>43008</v>
      </c>
    </row>
    <row r="3443" spans="1:3">
      <c r="A3443" t="s">
        <v>115</v>
      </c>
      <c r="B3443">
        <v>4.43547491206877</v>
      </c>
      <c r="C3443" s="1">
        <v>43008</v>
      </c>
    </row>
    <row r="3444" spans="1:3">
      <c r="A3444" t="s">
        <v>117</v>
      </c>
      <c r="B3444">
        <v>4.2666172931087196</v>
      </c>
      <c r="C3444" s="1">
        <v>43008</v>
      </c>
    </row>
    <row r="3445" spans="1:3">
      <c r="A3445" t="s">
        <v>119</v>
      </c>
      <c r="B3445">
        <v>16.323643769729099</v>
      </c>
      <c r="C3445" s="1">
        <v>43008</v>
      </c>
    </row>
    <row r="3446" spans="1:3">
      <c r="A3446" t="s">
        <v>121</v>
      </c>
      <c r="B3446">
        <v>15.2075541566906</v>
      </c>
      <c r="C3446" s="1">
        <v>43008</v>
      </c>
    </row>
    <row r="3447" spans="1:3">
      <c r="A3447" t="s">
        <v>123</v>
      </c>
      <c r="B3447">
        <v>5.0109239029983703</v>
      </c>
      <c r="C3447" s="1">
        <v>43008</v>
      </c>
    </row>
    <row r="3448" spans="1:3">
      <c r="A3448" t="s">
        <v>125</v>
      </c>
      <c r="B3448">
        <v>216.25624884356</v>
      </c>
      <c r="C3448" s="1">
        <v>43008</v>
      </c>
    </row>
    <row r="3449" spans="1:3">
      <c r="A3449" t="s">
        <v>127</v>
      </c>
      <c r="B3449">
        <v>9.2116274764253401</v>
      </c>
      <c r="C3449" s="1">
        <v>43008</v>
      </c>
    </row>
    <row r="3450" spans="1:3">
      <c r="A3450" t="s">
        <v>129</v>
      </c>
      <c r="B3450">
        <v>3.8533604888117901</v>
      </c>
      <c r="C3450" s="1">
        <v>43008</v>
      </c>
    </row>
    <row r="3451" spans="1:3">
      <c r="A3451" t="s">
        <v>131</v>
      </c>
      <c r="B3451">
        <v>4.2414367709831096</v>
      </c>
      <c r="C3451" s="1">
        <v>43008</v>
      </c>
    </row>
    <row r="3452" spans="1:3">
      <c r="A3452" t="s">
        <v>134</v>
      </c>
      <c r="B3452">
        <v>3.18459544529899</v>
      </c>
      <c r="C3452" s="1">
        <v>43008</v>
      </c>
    </row>
    <row r="3453" spans="1:3">
      <c r="A3453" t="s">
        <v>136</v>
      </c>
      <c r="B3453">
        <v>15.322347713439701</v>
      </c>
      <c r="C3453" s="1">
        <v>43008</v>
      </c>
    </row>
    <row r="3454" spans="1:3">
      <c r="A3454" t="s">
        <v>138</v>
      </c>
      <c r="B3454">
        <v>12.787261618263299</v>
      </c>
      <c r="C3454" s="1">
        <v>43008</v>
      </c>
    </row>
    <row r="3455" spans="1:3">
      <c r="A3455" t="s">
        <v>140</v>
      </c>
      <c r="B3455">
        <v>11.7037585632697</v>
      </c>
      <c r="C3455" s="1">
        <v>43008</v>
      </c>
    </row>
    <row r="3456" spans="1:3">
      <c r="A3456" t="s">
        <v>142</v>
      </c>
      <c r="B3456">
        <v>7.2579152009139998</v>
      </c>
      <c r="C3456" s="1">
        <v>43008</v>
      </c>
    </row>
    <row r="3457" spans="1:3">
      <c r="A3457" t="s">
        <v>144</v>
      </c>
      <c r="B3457">
        <v>5.0153675245499496</v>
      </c>
      <c r="C3457" s="1">
        <v>43008</v>
      </c>
    </row>
    <row r="3458" spans="1:3">
      <c r="A3458" t="s">
        <v>146</v>
      </c>
      <c r="B3458">
        <v>6.8179966673075798</v>
      </c>
      <c r="C3458" s="1">
        <v>43008</v>
      </c>
    </row>
    <row r="3459" spans="1:3">
      <c r="A3459" t="s">
        <v>148</v>
      </c>
      <c r="B3459">
        <v>11.687465284247301</v>
      </c>
      <c r="C3459" s="1">
        <v>43008</v>
      </c>
    </row>
    <row r="3460" spans="1:3">
      <c r="A3460" t="s">
        <v>150</v>
      </c>
      <c r="B3460">
        <v>7.2505091649946998</v>
      </c>
      <c r="C3460" s="1">
        <v>43008</v>
      </c>
    </row>
    <row r="3461" spans="1:3">
      <c r="A3461" t="s">
        <v>152</v>
      </c>
      <c r="B3461">
        <v>9.4278837252688898</v>
      </c>
      <c r="C3461" s="1">
        <v>43008</v>
      </c>
    </row>
    <row r="3462" spans="1:3">
      <c r="A3462" t="s">
        <v>154</v>
      </c>
      <c r="B3462">
        <v>27.946676541478499</v>
      </c>
      <c r="C3462" s="1">
        <v>43008</v>
      </c>
    </row>
    <row r="3463" spans="1:3">
      <c r="A3463" t="s">
        <v>156</v>
      </c>
      <c r="B3463">
        <v>27.476393260603</v>
      </c>
      <c r="C3463" s="1">
        <v>43008</v>
      </c>
    </row>
    <row r="3464" spans="1:3">
      <c r="A3464" t="s">
        <v>158</v>
      </c>
      <c r="B3464">
        <v>25.550823921585</v>
      </c>
      <c r="C3464" s="1">
        <v>43008</v>
      </c>
    </row>
    <row r="3465" spans="1:3">
      <c r="A3465" t="s">
        <v>160</v>
      </c>
      <c r="B3465">
        <v>15.0083317904614</v>
      </c>
      <c r="C3465" s="1">
        <v>43008</v>
      </c>
    </row>
    <row r="3466" spans="1:3">
      <c r="A3466" t="s">
        <v>162</v>
      </c>
      <c r="B3466">
        <v>2.2958711349829999</v>
      </c>
      <c r="C3466" s="1">
        <v>43008</v>
      </c>
    </row>
    <row r="3467" spans="1:3">
      <c r="A3467" t="s">
        <v>164</v>
      </c>
      <c r="B3467">
        <v>4.3680799852031296</v>
      </c>
      <c r="C3467" s="1">
        <v>43008</v>
      </c>
    </row>
    <row r="3468" spans="1:3">
      <c r="A3468" t="s">
        <v>166</v>
      </c>
      <c r="B3468">
        <v>9.2212553231204293</v>
      </c>
      <c r="C3468" s="1">
        <v>43008</v>
      </c>
    </row>
    <row r="3469" spans="1:3">
      <c r="A3469" t="s">
        <v>168</v>
      </c>
      <c r="B3469">
        <v>7.55637844846179</v>
      </c>
      <c r="C3469" s="1">
        <v>43008</v>
      </c>
    </row>
    <row r="3470" spans="1:3">
      <c r="A3470" t="s">
        <v>8</v>
      </c>
      <c r="B3470">
        <v>24.0792009194226</v>
      </c>
      <c r="C3470" s="1">
        <v>43039</v>
      </c>
    </row>
    <row r="3471" spans="1:3">
      <c r="A3471" t="s">
        <v>11</v>
      </c>
      <c r="B3471">
        <v>64.350746928649997</v>
      </c>
      <c r="C3471" s="1">
        <v>43039</v>
      </c>
    </row>
    <row r="3472" spans="1:3">
      <c r="A3472" t="s">
        <v>14</v>
      </c>
      <c r="B3472">
        <v>6.8240077786975002</v>
      </c>
      <c r="C3472" s="1">
        <v>43039</v>
      </c>
    </row>
    <row r="3473" spans="1:3">
      <c r="A3473" t="s">
        <v>17</v>
      </c>
      <c r="B3473">
        <v>9.2170069831650991</v>
      </c>
      <c r="C3473" s="1">
        <v>43039</v>
      </c>
    </row>
    <row r="3474" spans="1:3">
      <c r="A3474" t="s">
        <v>20</v>
      </c>
      <c r="B3474">
        <v>1.31883673650475</v>
      </c>
      <c r="C3474" s="1">
        <v>43039</v>
      </c>
    </row>
    <row r="3475" spans="1:3">
      <c r="A3475" t="s">
        <v>24</v>
      </c>
      <c r="B3475">
        <v>2.8427472819030002</v>
      </c>
      <c r="C3475" s="1">
        <v>43039</v>
      </c>
    </row>
    <row r="3476" spans="1:3">
      <c r="A3476" t="s">
        <v>27</v>
      </c>
      <c r="B3476">
        <v>18.745867586061301</v>
      </c>
      <c r="C3476" s="1">
        <v>43039</v>
      </c>
    </row>
    <row r="3477" spans="1:3">
      <c r="A3477" t="s">
        <v>29</v>
      </c>
      <c r="B3477">
        <v>1.852735790693</v>
      </c>
      <c r="C3477" s="1">
        <v>43039</v>
      </c>
    </row>
    <row r="3478" spans="1:3">
      <c r="A3478" t="s">
        <v>32</v>
      </c>
      <c r="B3478">
        <v>10.8618403607039</v>
      </c>
      <c r="C3478" s="1">
        <v>43039</v>
      </c>
    </row>
    <row r="3479" spans="1:3">
      <c r="A3479" t="s">
        <v>35</v>
      </c>
      <c r="B3479">
        <v>4.1566339609516998</v>
      </c>
      <c r="C3479" s="1">
        <v>43039</v>
      </c>
    </row>
    <row r="3480" spans="1:3">
      <c r="A3480" t="s">
        <v>37</v>
      </c>
      <c r="B3480">
        <v>1.2198355873837501</v>
      </c>
      <c r="C3480" s="1">
        <v>43039</v>
      </c>
    </row>
    <row r="3481" spans="1:3">
      <c r="A3481" t="s">
        <v>39</v>
      </c>
      <c r="B3481">
        <v>1.4355166622544999</v>
      </c>
      <c r="C3481" s="1">
        <v>43039</v>
      </c>
    </row>
    <row r="3482" spans="1:3">
      <c r="A3482" t="s">
        <v>42</v>
      </c>
      <c r="B3482">
        <v>1.9969946079835901</v>
      </c>
      <c r="C3482" s="1">
        <v>43039</v>
      </c>
    </row>
    <row r="3483" spans="1:3">
      <c r="A3483" t="s">
        <v>44</v>
      </c>
      <c r="B3483">
        <v>10.1660037125964</v>
      </c>
      <c r="C3483" s="1">
        <v>43039</v>
      </c>
    </row>
    <row r="3484" spans="1:3">
      <c r="A3484" t="s">
        <v>47</v>
      </c>
      <c r="B3484">
        <v>9.4807743304660494</v>
      </c>
      <c r="C3484" s="1">
        <v>43039</v>
      </c>
    </row>
    <row r="3485" spans="1:3">
      <c r="A3485" t="s">
        <v>49</v>
      </c>
      <c r="B3485">
        <v>11.7641651198354</v>
      </c>
      <c r="C3485" s="1">
        <v>43039</v>
      </c>
    </row>
    <row r="3486" spans="1:3">
      <c r="A3486" t="s">
        <v>51</v>
      </c>
      <c r="B3486">
        <v>1.3930875983455</v>
      </c>
      <c r="C3486" s="1">
        <v>43039</v>
      </c>
    </row>
    <row r="3487" spans="1:3">
      <c r="A3487" t="s">
        <v>53</v>
      </c>
      <c r="B3487">
        <v>0.92707504641164995</v>
      </c>
      <c r="C3487" s="1">
        <v>43039</v>
      </c>
    </row>
    <row r="3488" spans="1:3">
      <c r="A3488" t="s">
        <v>55</v>
      </c>
      <c r="B3488">
        <v>5.0455228498452396</v>
      </c>
      <c r="C3488" s="1">
        <v>43039</v>
      </c>
    </row>
    <row r="3489" spans="1:3">
      <c r="A3489" t="s">
        <v>57</v>
      </c>
      <c r="B3489">
        <v>3.7450720410343998</v>
      </c>
      <c r="C3489" s="1">
        <v>43039</v>
      </c>
    </row>
    <row r="3490" spans="1:3">
      <c r="A3490" t="s">
        <v>59</v>
      </c>
      <c r="B3490">
        <v>9.9595156015725994</v>
      </c>
      <c r="C3490" s="1">
        <v>43039</v>
      </c>
    </row>
    <row r="3491" spans="1:3">
      <c r="A3491" t="s">
        <v>61</v>
      </c>
      <c r="B3491">
        <v>66.460885707057599</v>
      </c>
      <c r="C3491" s="1">
        <v>43039</v>
      </c>
    </row>
    <row r="3492" spans="1:3">
      <c r="A3492" t="s">
        <v>63</v>
      </c>
      <c r="B3492">
        <v>13.7159020596494</v>
      </c>
      <c r="C3492" s="1">
        <v>43039</v>
      </c>
    </row>
    <row r="3493" spans="1:3">
      <c r="A3493" t="s">
        <v>65</v>
      </c>
      <c r="B3493">
        <v>0.75028728012414903</v>
      </c>
      <c r="C3493" s="1">
        <v>43039</v>
      </c>
    </row>
    <row r="3494" spans="1:3">
      <c r="A3494" t="s">
        <v>67</v>
      </c>
      <c r="B3494">
        <v>10.363298859773201</v>
      </c>
      <c r="C3494" s="1">
        <v>43039</v>
      </c>
    </row>
    <row r="3495" spans="1:3">
      <c r="A3495" t="s">
        <v>69</v>
      </c>
      <c r="B3495">
        <v>5.3290904269704003</v>
      </c>
      <c r="C3495" s="1">
        <v>43039</v>
      </c>
    </row>
    <row r="3496" spans="1:3">
      <c r="A3496" t="s">
        <v>71</v>
      </c>
      <c r="B3496">
        <v>1.2537788385109501</v>
      </c>
      <c r="C3496" s="1">
        <v>43039</v>
      </c>
    </row>
    <row r="3497" spans="1:3">
      <c r="A3497" t="s">
        <v>73</v>
      </c>
      <c r="B3497">
        <v>1.7600990011583499</v>
      </c>
      <c r="C3497" s="1">
        <v>43039</v>
      </c>
    </row>
    <row r="3498" spans="1:3">
      <c r="A3498" t="s">
        <v>75</v>
      </c>
      <c r="B3498">
        <v>0.33872536020685001</v>
      </c>
      <c r="C3498" s="1">
        <v>43039</v>
      </c>
    </row>
    <row r="3499" spans="1:3">
      <c r="A3499" t="s">
        <v>77</v>
      </c>
      <c r="B3499">
        <v>1.73322726068265</v>
      </c>
      <c r="C3499" s="1">
        <v>43039</v>
      </c>
    </row>
    <row r="3500" spans="1:3">
      <c r="A3500" t="s">
        <v>79</v>
      </c>
      <c r="B3500">
        <v>7.23061964115875</v>
      </c>
      <c r="C3500" s="1">
        <v>43039</v>
      </c>
    </row>
    <row r="3501" spans="1:3">
      <c r="A3501" t="s">
        <v>81</v>
      </c>
      <c r="B3501">
        <v>10.713338637022501</v>
      </c>
      <c r="C3501" s="1">
        <v>43039</v>
      </c>
    </row>
    <row r="3502" spans="1:3">
      <c r="A3502" t="s">
        <v>83</v>
      </c>
      <c r="B3502">
        <v>0.60107840537750001</v>
      </c>
      <c r="C3502" s="1">
        <v>43039</v>
      </c>
    </row>
    <row r="3503" spans="1:3">
      <c r="A3503" t="s">
        <v>85</v>
      </c>
      <c r="B3503">
        <v>7.5205515778702496</v>
      </c>
      <c r="C3503" s="1">
        <v>43039</v>
      </c>
    </row>
    <row r="3504" spans="1:3">
      <c r="A3504" t="s">
        <v>87</v>
      </c>
      <c r="B3504">
        <v>22.5899407762167</v>
      </c>
      <c r="C3504" s="1">
        <v>43039</v>
      </c>
    </row>
    <row r="3505" spans="1:3">
      <c r="A3505" t="s">
        <v>89</v>
      </c>
      <c r="B3505">
        <v>8.7623088482736495</v>
      </c>
      <c r="C3505" s="1">
        <v>43039</v>
      </c>
    </row>
    <row r="3506" spans="1:3">
      <c r="A3506" t="s">
        <v>91</v>
      </c>
      <c r="B3506">
        <v>17.806063820477</v>
      </c>
      <c r="C3506" s="1">
        <v>43039</v>
      </c>
    </row>
    <row r="3507" spans="1:3">
      <c r="A3507" t="s">
        <v>93</v>
      </c>
      <c r="B3507">
        <v>25.740298771460001</v>
      </c>
      <c r="C3507" s="1">
        <v>43039</v>
      </c>
    </row>
    <row r="3508" spans="1:3">
      <c r="A3508" t="s">
        <v>95</v>
      </c>
      <c r="B3508">
        <v>1.10103420843855</v>
      </c>
      <c r="C3508" s="1">
        <v>43039</v>
      </c>
    </row>
    <row r="3509" spans="1:3">
      <c r="A3509" t="s">
        <v>97</v>
      </c>
      <c r="B3509">
        <v>10.3074339256264</v>
      </c>
      <c r="C3509" s="1">
        <v>43039</v>
      </c>
    </row>
    <row r="3510" spans="1:3">
      <c r="A3510" t="s">
        <v>99</v>
      </c>
      <c r="B3510">
        <v>6.378502607653</v>
      </c>
      <c r="C3510" s="1">
        <v>43039</v>
      </c>
    </row>
    <row r="3511" spans="1:3">
      <c r="A3511" t="s">
        <v>101</v>
      </c>
      <c r="B3511">
        <v>8.9058605144990999</v>
      </c>
      <c r="C3511" s="1">
        <v>43039</v>
      </c>
    </row>
    <row r="3512" spans="1:3">
      <c r="A3512" t="s">
        <v>103</v>
      </c>
      <c r="B3512">
        <v>1.06143374879015</v>
      </c>
      <c r="C3512" s="1">
        <v>43039</v>
      </c>
    </row>
    <row r="3513" spans="1:3">
      <c r="A3513" t="s">
        <v>105</v>
      </c>
      <c r="B3513">
        <v>0.52117033501554999</v>
      </c>
      <c r="C3513" s="1">
        <v>43039</v>
      </c>
    </row>
    <row r="3514" spans="1:3">
      <c r="A3514" t="s">
        <v>107</v>
      </c>
      <c r="B3514">
        <v>3.5626270662257</v>
      </c>
      <c r="C3514" s="1">
        <v>43039</v>
      </c>
    </row>
    <row r="3515" spans="1:3">
      <c r="A3515" t="s">
        <v>109</v>
      </c>
      <c r="B3515">
        <v>1.71059842659785</v>
      </c>
      <c r="C3515" s="1">
        <v>43039</v>
      </c>
    </row>
    <row r="3516" spans="1:3">
      <c r="A3516" t="s">
        <v>111</v>
      </c>
      <c r="B3516">
        <v>7.4738796075703497</v>
      </c>
      <c r="C3516" s="1">
        <v>43039</v>
      </c>
    </row>
    <row r="3517" spans="1:3">
      <c r="A3517" t="s">
        <v>113</v>
      </c>
      <c r="B3517">
        <v>9.5818969327825005</v>
      </c>
      <c r="C3517" s="1">
        <v>43039</v>
      </c>
    </row>
    <row r="3518" spans="1:3">
      <c r="A3518" t="s">
        <v>115</v>
      </c>
      <c r="B3518">
        <v>3.9847962521202498</v>
      </c>
      <c r="C3518" s="1">
        <v>43039</v>
      </c>
    </row>
    <row r="3519" spans="1:3">
      <c r="A3519" t="s">
        <v>117</v>
      </c>
      <c r="B3519">
        <v>4.1934058163395003</v>
      </c>
      <c r="C3519" s="1">
        <v>43039</v>
      </c>
    </row>
    <row r="3520" spans="1:3">
      <c r="A3520" t="s">
        <v>119</v>
      </c>
      <c r="B3520">
        <v>19.23450897208</v>
      </c>
      <c r="C3520" s="1">
        <v>43039</v>
      </c>
    </row>
    <row r="3521" spans="1:3">
      <c r="A3521" t="s">
        <v>121</v>
      </c>
      <c r="B3521">
        <v>15.133032794209999</v>
      </c>
      <c r="C3521" s="1">
        <v>43039</v>
      </c>
    </row>
    <row r="3522" spans="1:3">
      <c r="A3522" t="s">
        <v>123</v>
      </c>
      <c r="B3522">
        <v>4.9995580306105003</v>
      </c>
      <c r="C3522" s="1">
        <v>43039</v>
      </c>
    </row>
    <row r="3523" spans="1:3">
      <c r="A3523" t="s">
        <v>125</v>
      </c>
      <c r="B3523">
        <v>243.61354194417501</v>
      </c>
      <c r="C3523" s="1">
        <v>43039</v>
      </c>
    </row>
    <row r="3524" spans="1:3">
      <c r="A3524" t="s">
        <v>127</v>
      </c>
      <c r="B3524">
        <v>8.6816936268465401</v>
      </c>
      <c r="C3524" s="1">
        <v>43039</v>
      </c>
    </row>
    <row r="3525" spans="1:3">
      <c r="A3525" t="s">
        <v>129</v>
      </c>
      <c r="B3525">
        <v>3.6241492088937499</v>
      </c>
      <c r="C3525" s="1">
        <v>43039</v>
      </c>
    </row>
    <row r="3526" spans="1:3">
      <c r="A3526" t="s">
        <v>131</v>
      </c>
      <c r="B3526">
        <v>4.2436135419651499</v>
      </c>
      <c r="C3526" s="1">
        <v>43039</v>
      </c>
    </row>
    <row r="3527" spans="1:3">
      <c r="A3527" t="s">
        <v>134</v>
      </c>
      <c r="B3527">
        <v>2.8215327499485001</v>
      </c>
      <c r="C3527" s="1">
        <v>43039</v>
      </c>
    </row>
    <row r="3528" spans="1:3">
      <c r="A3528" t="s">
        <v>136</v>
      </c>
      <c r="B3528">
        <v>14.3099089543754</v>
      </c>
      <c r="C3528" s="1">
        <v>43039</v>
      </c>
    </row>
    <row r="3529" spans="1:3">
      <c r="A3529" t="s">
        <v>138</v>
      </c>
      <c r="B3529">
        <v>12.1276407673225</v>
      </c>
      <c r="C3529" s="1">
        <v>43039</v>
      </c>
    </row>
    <row r="3530" spans="1:3">
      <c r="A3530" t="s">
        <v>140</v>
      </c>
      <c r="B3530">
        <v>11.2033943251714</v>
      </c>
      <c r="C3530" s="1">
        <v>43039</v>
      </c>
    </row>
    <row r="3531" spans="1:3">
      <c r="A3531" t="s">
        <v>142</v>
      </c>
      <c r="B3531">
        <v>6.8197648723065996</v>
      </c>
      <c r="C3531" s="1">
        <v>43039</v>
      </c>
    </row>
    <row r="3532" spans="1:3">
      <c r="A3532" t="s">
        <v>144</v>
      </c>
      <c r="B3532">
        <v>4.9175285070530999</v>
      </c>
      <c r="C3532" s="1">
        <v>43039</v>
      </c>
    </row>
    <row r="3533" spans="1:3">
      <c r="A3533" t="s">
        <v>146</v>
      </c>
      <c r="B3533">
        <v>6.6967205869704998</v>
      </c>
      <c r="C3533" s="1">
        <v>43039</v>
      </c>
    </row>
    <row r="3534" spans="1:3">
      <c r="A3534" t="s">
        <v>148</v>
      </c>
      <c r="B3534">
        <v>11.59727746846</v>
      </c>
      <c r="C3534" s="1">
        <v>43039</v>
      </c>
    </row>
    <row r="3535" spans="1:3">
      <c r="A3535" t="s">
        <v>150</v>
      </c>
      <c r="B3535">
        <v>6.97604525770475</v>
      </c>
      <c r="C3535" s="1">
        <v>43039</v>
      </c>
    </row>
    <row r="3536" spans="1:3">
      <c r="A3536" t="s">
        <v>152</v>
      </c>
      <c r="B3536">
        <v>9.2162998320999492</v>
      </c>
      <c r="C3536" s="1">
        <v>43039</v>
      </c>
    </row>
    <row r="3537" spans="1:3">
      <c r="A3537" t="s">
        <v>154</v>
      </c>
      <c r="B3537">
        <v>27.296031114790001</v>
      </c>
      <c r="C3537" s="1">
        <v>43039</v>
      </c>
    </row>
    <row r="3538" spans="1:3">
      <c r="A3538" t="s">
        <v>156</v>
      </c>
      <c r="B3538">
        <v>29.252718112059998</v>
      </c>
      <c r="C3538" s="1">
        <v>43039</v>
      </c>
    </row>
    <row r="3539" spans="1:3">
      <c r="A3539" t="s">
        <v>158</v>
      </c>
      <c r="B3539">
        <v>27.826394413652501</v>
      </c>
      <c r="C3539" s="1">
        <v>43039</v>
      </c>
    </row>
    <row r="3540" spans="1:3">
      <c r="A3540" t="s">
        <v>160</v>
      </c>
      <c r="B3540">
        <v>14.664191638015501</v>
      </c>
      <c r="C3540" s="1">
        <v>43039</v>
      </c>
    </row>
    <row r="3541" spans="1:3">
      <c r="A3541" t="s">
        <v>162</v>
      </c>
      <c r="B3541">
        <v>2.7734464775182999</v>
      </c>
      <c r="C3541" s="1">
        <v>43039</v>
      </c>
    </row>
    <row r="3542" spans="1:3">
      <c r="A3542" t="s">
        <v>164</v>
      </c>
      <c r="B3542">
        <v>3.9911606117065999</v>
      </c>
      <c r="C3542" s="1">
        <v>43039</v>
      </c>
    </row>
    <row r="3543" spans="1:3">
      <c r="A3543" t="s">
        <v>166</v>
      </c>
      <c r="B3543">
        <v>9.4277380005797902</v>
      </c>
      <c r="C3543" s="1">
        <v>43039</v>
      </c>
    </row>
    <row r="3544" spans="1:3">
      <c r="A3544" t="s">
        <v>168</v>
      </c>
      <c r="B3544">
        <v>8.7729161142509007</v>
      </c>
      <c r="C3544" s="1">
        <v>43039</v>
      </c>
    </row>
    <row r="3545" spans="1:3">
      <c r="A3545" t="s">
        <v>8</v>
      </c>
      <c r="B3545">
        <v>23.847535275905098</v>
      </c>
      <c r="C3545" s="1">
        <v>43069</v>
      </c>
    </row>
    <row r="3546" spans="1:3">
      <c r="A3546" t="s">
        <v>11</v>
      </c>
      <c r="B3546">
        <v>64.214037016979006</v>
      </c>
      <c r="C3546" s="1">
        <v>43069</v>
      </c>
    </row>
    <row r="3547" spans="1:3">
      <c r="A3547" t="s">
        <v>14</v>
      </c>
      <c r="B3547">
        <v>6.9488730071795999</v>
      </c>
      <c r="C3547" s="1">
        <v>43069</v>
      </c>
    </row>
    <row r="3548" spans="1:3">
      <c r="A3548" t="s">
        <v>17</v>
      </c>
      <c r="B3548">
        <v>8.5776067436725398</v>
      </c>
      <c r="C3548" s="1">
        <v>43069</v>
      </c>
    </row>
    <row r="3549" spans="1:3">
      <c r="A3549" t="s">
        <v>20</v>
      </c>
      <c r="B3549">
        <v>1.3318673263760901</v>
      </c>
      <c r="C3549" s="1">
        <v>43069</v>
      </c>
    </row>
    <row r="3550" spans="1:3">
      <c r="A3550" t="s">
        <v>24</v>
      </c>
      <c r="B3550">
        <v>3.0207073483741702</v>
      </c>
      <c r="C3550" s="1">
        <v>43069</v>
      </c>
    </row>
    <row r="3551" spans="1:3">
      <c r="A3551" t="s">
        <v>27</v>
      </c>
      <c r="B3551">
        <v>18.5303280191456</v>
      </c>
      <c r="C3551" s="1">
        <v>43069</v>
      </c>
    </row>
    <row r="3552" spans="1:3">
      <c r="A3552" t="s">
        <v>29</v>
      </c>
      <c r="B3552">
        <v>1.9138720909014699</v>
      </c>
      <c r="C3552" s="1">
        <v>43069</v>
      </c>
    </row>
    <row r="3553" spans="1:3">
      <c r="A3553" t="s">
        <v>32</v>
      </c>
      <c r="B3553">
        <v>10.6329485065556</v>
      </c>
      <c r="C3553" s="1">
        <v>43069</v>
      </c>
    </row>
    <row r="3554" spans="1:3">
      <c r="A3554" t="s">
        <v>35</v>
      </c>
      <c r="B3554">
        <v>3.9875389408288</v>
      </c>
      <c r="C3554" s="1">
        <v>43069</v>
      </c>
    </row>
    <row r="3555" spans="1:3">
      <c r="A3555" t="s">
        <v>37</v>
      </c>
      <c r="B3555">
        <v>1.1654755360143001</v>
      </c>
      <c r="C3555" s="1">
        <v>43069</v>
      </c>
    </row>
    <row r="3556" spans="1:3">
      <c r="A3556" t="s">
        <v>39</v>
      </c>
      <c r="B3556">
        <v>1.3927066153630001</v>
      </c>
      <c r="C3556" s="1">
        <v>43069</v>
      </c>
    </row>
    <row r="3557" spans="1:3">
      <c r="A3557" t="s">
        <v>42</v>
      </c>
      <c r="B3557">
        <v>2.0201575957581199</v>
      </c>
      <c r="C3557" s="1">
        <v>43069</v>
      </c>
    </row>
    <row r="3558" spans="1:3">
      <c r="A3558" t="s">
        <v>44</v>
      </c>
      <c r="B3558">
        <v>10.807403335216801</v>
      </c>
      <c r="C3558" s="1">
        <v>43069</v>
      </c>
    </row>
    <row r="3559" spans="1:3">
      <c r="A3559" t="s">
        <v>47</v>
      </c>
      <c r="B3559">
        <v>9.8149166209003003</v>
      </c>
      <c r="C3559" s="1">
        <v>43069</v>
      </c>
    </row>
    <row r="3560" spans="1:3">
      <c r="A3560" t="s">
        <v>49</v>
      </c>
      <c r="B3560">
        <v>13.9124060839946</v>
      </c>
      <c r="C3560" s="1">
        <v>43069</v>
      </c>
    </row>
    <row r="3561" spans="1:3">
      <c r="A3561" t="s">
        <v>51</v>
      </c>
      <c r="B3561">
        <v>1.49166208540195</v>
      </c>
      <c r="C3561" s="1">
        <v>43069</v>
      </c>
    </row>
    <row r="3562" spans="1:3">
      <c r="A3562" t="s">
        <v>53</v>
      </c>
      <c r="B3562">
        <v>0.97049660986347996</v>
      </c>
      <c r="C3562" s="1">
        <v>43069</v>
      </c>
    </row>
    <row r="3563" spans="1:3">
      <c r="A3563" t="s">
        <v>55</v>
      </c>
      <c r="B3563">
        <v>5.2996151731970897</v>
      </c>
      <c r="C3563" s="1">
        <v>43069</v>
      </c>
    </row>
    <row r="3564" spans="1:3">
      <c r="A3564" t="s">
        <v>57</v>
      </c>
      <c r="B3564">
        <v>3.6327652556521199</v>
      </c>
      <c r="C3564" s="1">
        <v>43069</v>
      </c>
    </row>
    <row r="3565" spans="1:3">
      <c r="A3565" t="s">
        <v>59</v>
      </c>
      <c r="B3565">
        <v>10.7253069452586</v>
      </c>
      <c r="C3565" s="1">
        <v>43069</v>
      </c>
    </row>
    <row r="3566" spans="1:3">
      <c r="A3566" t="s">
        <v>61</v>
      </c>
      <c r="B3566">
        <v>72.185449881227797</v>
      </c>
      <c r="C3566" s="1">
        <v>43069</v>
      </c>
    </row>
    <row r="3567" spans="1:3">
      <c r="A3567" t="s">
        <v>63</v>
      </c>
      <c r="B3567">
        <v>16.126076598939999</v>
      </c>
      <c r="C3567" s="1">
        <v>43069</v>
      </c>
    </row>
    <row r="3568" spans="1:3">
      <c r="A3568" t="s">
        <v>65</v>
      </c>
      <c r="B3568">
        <v>0.74179952355123902</v>
      </c>
      <c r="C3568" s="1">
        <v>43069</v>
      </c>
    </row>
    <row r="3569" spans="1:3">
      <c r="A3569" t="s">
        <v>67</v>
      </c>
      <c r="B3569">
        <v>12.0733003482336</v>
      </c>
      <c r="C3569" s="1">
        <v>43069</v>
      </c>
    </row>
    <row r="3570" spans="1:3">
      <c r="A3570" t="s">
        <v>69</v>
      </c>
      <c r="B3570">
        <v>5.8654938611235297</v>
      </c>
      <c r="C3570" s="1">
        <v>43069</v>
      </c>
    </row>
    <row r="3571" spans="1:3">
      <c r="A3571" t="s">
        <v>71</v>
      </c>
      <c r="B3571">
        <v>1.1947956752850999</v>
      </c>
      <c r="C3571" s="1">
        <v>43069</v>
      </c>
    </row>
    <row r="3572" spans="1:3">
      <c r="A3572" t="s">
        <v>73</v>
      </c>
      <c r="B3572">
        <v>1.6492578339824999</v>
      </c>
      <c r="C3572" s="1">
        <v>43069</v>
      </c>
    </row>
    <row r="3573" spans="1:3">
      <c r="A3573" t="s">
        <v>75</v>
      </c>
      <c r="B3573">
        <v>0.34524463991366999</v>
      </c>
      <c r="C3573" s="1">
        <v>43069</v>
      </c>
    </row>
    <row r="3574" spans="1:3">
      <c r="A3574" t="s">
        <v>77</v>
      </c>
      <c r="B3574">
        <v>1.8325087044249999</v>
      </c>
      <c r="C3574" s="1">
        <v>43069</v>
      </c>
    </row>
    <row r="3575" spans="1:3">
      <c r="A3575" t="s">
        <v>79</v>
      </c>
      <c r="B3575">
        <v>7.2156862745438799</v>
      </c>
      <c r="C3575" s="1">
        <v>43069</v>
      </c>
    </row>
    <row r="3576" spans="1:3">
      <c r="A3576" t="s">
        <v>81</v>
      </c>
      <c r="B3576">
        <v>10.9840571743234</v>
      </c>
      <c r="C3576" s="1">
        <v>43069</v>
      </c>
    </row>
    <row r="3577" spans="1:3">
      <c r="A3577" t="s">
        <v>83</v>
      </c>
      <c r="B3577">
        <v>0.64284405351229001</v>
      </c>
      <c r="C3577" s="1">
        <v>43069</v>
      </c>
    </row>
    <row r="3578" spans="1:3">
      <c r="A3578" t="s">
        <v>85</v>
      </c>
      <c r="B3578">
        <v>7.8614623419832501</v>
      </c>
      <c r="C3578" s="1">
        <v>43069</v>
      </c>
    </row>
    <row r="3579" spans="1:3">
      <c r="A3579" t="s">
        <v>87</v>
      </c>
      <c r="B3579">
        <v>22.393256368073502</v>
      </c>
      <c r="C3579" s="1">
        <v>43069</v>
      </c>
    </row>
    <row r="3580" spans="1:3">
      <c r="A3580" t="s">
        <v>89</v>
      </c>
      <c r="B3580">
        <v>9.6023456111869994</v>
      </c>
      <c r="C3580" s="1">
        <v>43069</v>
      </c>
    </row>
    <row r="3581" spans="1:3">
      <c r="A3581" t="s">
        <v>91</v>
      </c>
      <c r="B3581">
        <v>18.970130108207599</v>
      </c>
      <c r="C3581" s="1">
        <v>43069</v>
      </c>
    </row>
    <row r="3582" spans="1:3">
      <c r="A3582" t="s">
        <v>93</v>
      </c>
      <c r="B3582">
        <v>28.147333699968001</v>
      </c>
      <c r="C3582" s="1">
        <v>43069</v>
      </c>
    </row>
    <row r="3583" spans="1:3">
      <c r="A3583" t="s">
        <v>95</v>
      </c>
      <c r="B3583">
        <v>0.99175371083480901</v>
      </c>
      <c r="C3583" s="1">
        <v>43069</v>
      </c>
    </row>
    <row r="3584" spans="1:3">
      <c r="A3584" t="s">
        <v>97</v>
      </c>
      <c r="B3584">
        <v>10.863111599831299</v>
      </c>
      <c r="C3584" s="1">
        <v>43069</v>
      </c>
    </row>
    <row r="3585" spans="1:3">
      <c r="A3585" t="s">
        <v>99</v>
      </c>
      <c r="B3585">
        <v>6.0106285505140002</v>
      </c>
      <c r="C3585" s="1">
        <v>43069</v>
      </c>
    </row>
    <row r="3586" spans="1:3">
      <c r="A3586" t="s">
        <v>101</v>
      </c>
      <c r="B3586">
        <v>9.9688473520720002</v>
      </c>
      <c r="C3586" s="1">
        <v>43069</v>
      </c>
    </row>
    <row r="3587" spans="1:3">
      <c r="A3587" t="s">
        <v>103</v>
      </c>
      <c r="B3587">
        <v>1.0775151182019</v>
      </c>
      <c r="C3587" s="1">
        <v>43069</v>
      </c>
    </row>
    <row r="3588" spans="1:3">
      <c r="A3588" t="s">
        <v>105</v>
      </c>
      <c r="B3588">
        <v>0.51310243723899995</v>
      </c>
      <c r="C3588" s="1">
        <v>43069</v>
      </c>
    </row>
    <row r="3589" spans="1:3">
      <c r="A3589" t="s">
        <v>107</v>
      </c>
      <c r="B3589">
        <v>4.0065970313548096</v>
      </c>
      <c r="C3589" s="1">
        <v>43069</v>
      </c>
    </row>
    <row r="3590" spans="1:3">
      <c r="A3590" t="s">
        <v>109</v>
      </c>
      <c r="B3590">
        <v>1.8486347810239301</v>
      </c>
      <c r="C3590" s="1">
        <v>43069</v>
      </c>
    </row>
    <row r="3591" spans="1:3">
      <c r="A3591" t="s">
        <v>111</v>
      </c>
      <c r="B3591">
        <v>6.816932380461</v>
      </c>
      <c r="C3591" s="1">
        <v>43069</v>
      </c>
    </row>
    <row r="3592" spans="1:3">
      <c r="A3592" t="s">
        <v>113</v>
      </c>
      <c r="B3592">
        <v>11.581455011966</v>
      </c>
      <c r="C3592" s="1">
        <v>43069</v>
      </c>
    </row>
    <row r="3593" spans="1:3">
      <c r="A3593" t="s">
        <v>115</v>
      </c>
      <c r="B3593">
        <v>4.2514201942660002</v>
      </c>
      <c r="C3593" s="1">
        <v>43069</v>
      </c>
    </row>
    <row r="3594" spans="1:3">
      <c r="A3594" t="s">
        <v>117</v>
      </c>
      <c r="B3594">
        <v>4.6655671614660497</v>
      </c>
      <c r="C3594" s="1">
        <v>43069</v>
      </c>
    </row>
    <row r="3595" spans="1:3">
      <c r="A3595" t="s">
        <v>119</v>
      </c>
      <c r="B3595">
        <v>23.843137255014501</v>
      </c>
      <c r="C3595" s="1">
        <v>43069</v>
      </c>
    </row>
    <row r="3596" spans="1:3">
      <c r="A3596" t="s">
        <v>121</v>
      </c>
      <c r="B3596">
        <v>15.686274509878</v>
      </c>
      <c r="C3596" s="1">
        <v>43069</v>
      </c>
    </row>
    <row r="3597" spans="1:3">
      <c r="A3597" t="s">
        <v>123</v>
      </c>
      <c r="B3597">
        <v>5.7364852483320199</v>
      </c>
      <c r="C3597" s="1">
        <v>43069</v>
      </c>
    </row>
    <row r="3598" spans="1:3">
      <c r="A3598" t="s">
        <v>125</v>
      </c>
      <c r="B3598">
        <v>270.31042697580398</v>
      </c>
      <c r="C3598" s="1">
        <v>43069</v>
      </c>
    </row>
    <row r="3599" spans="1:3">
      <c r="A3599" t="s">
        <v>127</v>
      </c>
      <c r="B3599">
        <v>9.4755360088407894</v>
      </c>
      <c r="C3599" s="1">
        <v>43069</v>
      </c>
    </row>
    <row r="3600" spans="1:3">
      <c r="A3600" t="s">
        <v>129</v>
      </c>
      <c r="B3600">
        <v>4.1304746197739499</v>
      </c>
      <c r="C3600" s="1">
        <v>43069</v>
      </c>
    </row>
    <row r="3601" spans="1:3">
      <c r="A3601" t="s">
        <v>131</v>
      </c>
      <c r="B3601">
        <v>4.1407366685187297</v>
      </c>
      <c r="C3601" s="1">
        <v>43069</v>
      </c>
    </row>
    <row r="3602" spans="1:3">
      <c r="A3602" t="s">
        <v>134</v>
      </c>
      <c r="B3602">
        <v>2.9246838922623</v>
      </c>
      <c r="C3602" s="1">
        <v>43069</v>
      </c>
    </row>
    <row r="3603" spans="1:3">
      <c r="A3603" t="s">
        <v>136</v>
      </c>
      <c r="B3603">
        <v>16.7014843321294</v>
      </c>
      <c r="C3603" s="1">
        <v>43069</v>
      </c>
    </row>
    <row r="3604" spans="1:3">
      <c r="A3604" t="s">
        <v>138</v>
      </c>
      <c r="B3604">
        <v>14.0267546271507</v>
      </c>
      <c r="C3604" s="1">
        <v>43069</v>
      </c>
    </row>
    <row r="3605" spans="1:3">
      <c r="A3605" t="s">
        <v>140</v>
      </c>
      <c r="B3605">
        <v>12.70954737041</v>
      </c>
      <c r="C3605" s="1">
        <v>43069</v>
      </c>
    </row>
    <row r="3606" spans="1:3">
      <c r="A3606" t="s">
        <v>142</v>
      </c>
      <c r="B3606">
        <v>6.96646509074208</v>
      </c>
      <c r="C3606" s="1">
        <v>43069</v>
      </c>
    </row>
    <row r="3607" spans="1:3">
      <c r="A3607" t="s">
        <v>144</v>
      </c>
      <c r="B3607">
        <v>5.1456844420254004</v>
      </c>
      <c r="C3607" s="1">
        <v>43069</v>
      </c>
    </row>
    <row r="3608" spans="1:3">
      <c r="A3608" t="s">
        <v>146</v>
      </c>
      <c r="B3608">
        <v>7.1313908741403296</v>
      </c>
      <c r="C3608" s="1">
        <v>43069</v>
      </c>
    </row>
    <row r="3609" spans="1:3">
      <c r="A3609" t="s">
        <v>148</v>
      </c>
      <c r="B3609">
        <v>12.680960234621001</v>
      </c>
      <c r="C3609" s="1">
        <v>43069</v>
      </c>
    </row>
    <row r="3610" spans="1:3">
      <c r="A3610" t="s">
        <v>150</v>
      </c>
      <c r="B3610">
        <v>7.3696170057155799</v>
      </c>
      <c r="C3610" s="1">
        <v>43069</v>
      </c>
    </row>
    <row r="3611" spans="1:3">
      <c r="A3611" t="s">
        <v>152</v>
      </c>
      <c r="B3611">
        <v>10.4672897196756</v>
      </c>
      <c r="C3611" s="1">
        <v>43069</v>
      </c>
    </row>
    <row r="3612" spans="1:3">
      <c r="A3612" t="s">
        <v>154</v>
      </c>
      <c r="B3612">
        <v>30.600696353452101</v>
      </c>
      <c r="C3612" s="1">
        <v>43069</v>
      </c>
    </row>
    <row r="3613" spans="1:3">
      <c r="A3613" t="s">
        <v>156</v>
      </c>
      <c r="B3613">
        <v>31.51914971611</v>
      </c>
      <c r="C3613" s="1">
        <v>43069</v>
      </c>
    </row>
    <row r="3614" spans="1:3">
      <c r="A3614" t="s">
        <v>158</v>
      </c>
      <c r="B3614">
        <v>26.691588785172701</v>
      </c>
      <c r="C3614" s="1">
        <v>43069</v>
      </c>
    </row>
    <row r="3615" spans="1:3">
      <c r="A3615" t="s">
        <v>160</v>
      </c>
      <c r="B3615">
        <v>16.9543705333401</v>
      </c>
      <c r="C3615" s="1">
        <v>43069</v>
      </c>
    </row>
    <row r="3616" spans="1:3">
      <c r="A3616" t="s">
        <v>162</v>
      </c>
      <c r="B3616">
        <v>2.858713578903</v>
      </c>
      <c r="C3616" s="1">
        <v>43069</v>
      </c>
    </row>
    <row r="3617" spans="1:3">
      <c r="A3617" t="s">
        <v>164</v>
      </c>
      <c r="B3617">
        <v>4.2653472604196301</v>
      </c>
      <c r="C3617" s="1">
        <v>43069</v>
      </c>
    </row>
    <row r="3618" spans="1:3">
      <c r="A3618" t="s">
        <v>166</v>
      </c>
      <c r="B3618">
        <v>11.302913688893399</v>
      </c>
      <c r="C3618" s="1">
        <v>43069</v>
      </c>
    </row>
    <row r="3619" spans="1:3">
      <c r="A3619" t="s">
        <v>168</v>
      </c>
      <c r="B3619">
        <v>8.8524830493362892</v>
      </c>
      <c r="C3619" s="1">
        <v>43069</v>
      </c>
    </row>
    <row r="3620" spans="1:3">
      <c r="A3620" t="s">
        <v>8</v>
      </c>
      <c r="B3620">
        <v>25.793214862699799</v>
      </c>
      <c r="C3620" s="1">
        <v>43100</v>
      </c>
    </row>
    <row r="3621" spans="1:3">
      <c r="A3621" t="s">
        <v>11</v>
      </c>
      <c r="B3621">
        <v>67.003231017817498</v>
      </c>
      <c r="C3621" s="1">
        <v>43100</v>
      </c>
    </row>
    <row r="3622" spans="1:3">
      <c r="A3622" t="s">
        <v>14</v>
      </c>
      <c r="B3622">
        <v>7.2504038772264003</v>
      </c>
      <c r="C3622" s="1">
        <v>43100</v>
      </c>
    </row>
    <row r="3623" spans="1:3">
      <c r="A3623" t="s">
        <v>17</v>
      </c>
      <c r="B3623">
        <v>9.0266558966137502</v>
      </c>
      <c r="C3623" s="1">
        <v>43100</v>
      </c>
    </row>
    <row r="3624" spans="1:3">
      <c r="A3624" t="s">
        <v>20</v>
      </c>
      <c r="B3624">
        <v>1.6074313408734899</v>
      </c>
      <c r="C3624" s="1">
        <v>43100</v>
      </c>
    </row>
    <row r="3625" spans="1:3">
      <c r="A3625" t="s">
        <v>24</v>
      </c>
      <c r="B3625">
        <v>3.4248788368359899</v>
      </c>
      <c r="C3625" s="1">
        <v>43100</v>
      </c>
    </row>
    <row r="3626" spans="1:3">
      <c r="A3626" t="s">
        <v>27</v>
      </c>
      <c r="B3626">
        <v>20.647819063019298</v>
      </c>
      <c r="C3626" s="1">
        <v>43100</v>
      </c>
    </row>
    <row r="3627" spans="1:3">
      <c r="A3627" t="s">
        <v>29</v>
      </c>
      <c r="B3627">
        <v>2.2415185783537499</v>
      </c>
      <c r="C3627" s="1">
        <v>43100</v>
      </c>
    </row>
    <row r="3628" spans="1:3">
      <c r="A3628" t="s">
        <v>32</v>
      </c>
      <c r="B3628">
        <v>11.767366720525199</v>
      </c>
      <c r="C3628" s="1">
        <v>43100</v>
      </c>
    </row>
    <row r="3629" spans="1:3">
      <c r="A3629" t="s">
        <v>35</v>
      </c>
      <c r="B3629">
        <v>4.7132471728627499</v>
      </c>
      <c r="C3629" s="1">
        <v>43100</v>
      </c>
    </row>
    <row r="3630" spans="1:3">
      <c r="A3630" t="s">
        <v>37</v>
      </c>
      <c r="B3630">
        <v>1.2051696284338</v>
      </c>
      <c r="C3630" s="1">
        <v>43100</v>
      </c>
    </row>
    <row r="3631" spans="1:3">
      <c r="A3631" t="s">
        <v>39</v>
      </c>
      <c r="B3631">
        <v>1.6106623586441</v>
      </c>
      <c r="C3631" s="1">
        <v>43100</v>
      </c>
    </row>
    <row r="3632" spans="1:3">
      <c r="A3632" t="s">
        <v>42</v>
      </c>
      <c r="B3632">
        <v>2.3990306946705</v>
      </c>
      <c r="C3632" s="1">
        <v>43100</v>
      </c>
    </row>
    <row r="3633" spans="1:3">
      <c r="A3633" t="s">
        <v>44</v>
      </c>
      <c r="B3633">
        <v>13.1260096930625</v>
      </c>
      <c r="C3633" s="1">
        <v>43100</v>
      </c>
    </row>
    <row r="3634" spans="1:3">
      <c r="A3634" t="s">
        <v>47</v>
      </c>
      <c r="B3634">
        <v>12.426494345727599</v>
      </c>
      <c r="C3634" s="1">
        <v>43100</v>
      </c>
    </row>
    <row r="3635" spans="1:3">
      <c r="A3635" t="s">
        <v>49</v>
      </c>
      <c r="B3635">
        <v>16.424071082402399</v>
      </c>
      <c r="C3635" s="1">
        <v>43100</v>
      </c>
    </row>
    <row r="3636" spans="1:3">
      <c r="A3636" t="s">
        <v>51</v>
      </c>
      <c r="B3636">
        <v>1.6760904684987401</v>
      </c>
      <c r="C3636" s="1">
        <v>43100</v>
      </c>
    </row>
    <row r="3637" spans="1:3">
      <c r="A3637" t="s">
        <v>53</v>
      </c>
      <c r="B3637">
        <v>1.0872374798069</v>
      </c>
      <c r="C3637" s="1">
        <v>43100</v>
      </c>
    </row>
    <row r="3638" spans="1:3">
      <c r="A3638" t="s">
        <v>55</v>
      </c>
      <c r="B3638">
        <v>5.9693053311834996</v>
      </c>
      <c r="C3638" s="1">
        <v>43100</v>
      </c>
    </row>
    <row r="3639" spans="1:3">
      <c r="A3639" t="s">
        <v>57</v>
      </c>
      <c r="B3639">
        <v>3.8869143780317899</v>
      </c>
      <c r="C3639" s="1">
        <v>43100</v>
      </c>
    </row>
    <row r="3640" spans="1:3">
      <c r="A3640" t="s">
        <v>59</v>
      </c>
      <c r="B3640">
        <v>12.210016155097399</v>
      </c>
      <c r="C3640" s="1">
        <v>43100</v>
      </c>
    </row>
    <row r="3641" spans="1:3">
      <c r="A3641" t="s">
        <v>61</v>
      </c>
      <c r="B3641">
        <v>88.688206785199398</v>
      </c>
      <c r="C3641" s="1">
        <v>43100</v>
      </c>
    </row>
    <row r="3642" spans="1:3">
      <c r="A3642" t="s">
        <v>63</v>
      </c>
      <c r="B3642">
        <v>21.6397415185934</v>
      </c>
      <c r="C3642" s="1">
        <v>43100</v>
      </c>
    </row>
    <row r="3643" spans="1:3">
      <c r="A3643" t="s">
        <v>65</v>
      </c>
      <c r="B3643">
        <v>0.86429725363549903</v>
      </c>
      <c r="C3643" s="1">
        <v>43100</v>
      </c>
    </row>
    <row r="3644" spans="1:3">
      <c r="A3644" t="s">
        <v>67</v>
      </c>
      <c r="B3644">
        <v>15.02423263329</v>
      </c>
      <c r="C3644" s="1">
        <v>43100</v>
      </c>
    </row>
    <row r="3645" spans="1:3">
      <c r="A3645" t="s">
        <v>69</v>
      </c>
      <c r="B3645">
        <v>7.6308562197145404</v>
      </c>
      <c r="C3645" s="1">
        <v>43100</v>
      </c>
    </row>
    <row r="3646" spans="1:3">
      <c r="A3646" t="s">
        <v>71</v>
      </c>
      <c r="B3646">
        <v>1.3610662358652501</v>
      </c>
      <c r="C3646" s="1">
        <v>43100</v>
      </c>
    </row>
    <row r="3647" spans="1:3">
      <c r="A3647" t="s">
        <v>73</v>
      </c>
      <c r="B3647">
        <v>2.0315024232647398</v>
      </c>
      <c r="C3647" s="1">
        <v>43100</v>
      </c>
    </row>
    <row r="3648" spans="1:3">
      <c r="A3648" t="s">
        <v>75</v>
      </c>
      <c r="B3648">
        <v>0.38852988691464901</v>
      </c>
      <c r="C3648" s="1">
        <v>43100</v>
      </c>
    </row>
    <row r="3649" spans="1:3">
      <c r="A3649" t="s">
        <v>77</v>
      </c>
      <c r="B3649">
        <v>2.2342487883699</v>
      </c>
      <c r="C3649" s="1">
        <v>43100</v>
      </c>
    </row>
    <row r="3650" spans="1:3">
      <c r="A3650" t="s">
        <v>79</v>
      </c>
      <c r="B3650">
        <v>8.3190630048523495</v>
      </c>
      <c r="C3650" s="1">
        <v>43100</v>
      </c>
    </row>
    <row r="3651" spans="1:3">
      <c r="A3651" t="s">
        <v>81</v>
      </c>
      <c r="B3651">
        <v>12.555735056551599</v>
      </c>
      <c r="C3651" s="1">
        <v>43100</v>
      </c>
    </row>
    <row r="3652" spans="1:3">
      <c r="A3652" t="s">
        <v>83</v>
      </c>
      <c r="B3652">
        <v>0.64216478190674997</v>
      </c>
      <c r="C3652" s="1">
        <v>43100</v>
      </c>
    </row>
    <row r="3653" spans="1:3">
      <c r="A3653" t="s">
        <v>85</v>
      </c>
      <c r="B3653">
        <v>9.4749596122844899</v>
      </c>
      <c r="C3653" s="1">
        <v>43100</v>
      </c>
    </row>
    <row r="3654" spans="1:3">
      <c r="A3654" t="s">
        <v>87</v>
      </c>
      <c r="B3654">
        <v>22.415185783537499</v>
      </c>
      <c r="C3654" s="1">
        <v>43100</v>
      </c>
    </row>
    <row r="3655" spans="1:3">
      <c r="A3655" t="s">
        <v>89</v>
      </c>
      <c r="B3655">
        <v>11.227786752835</v>
      </c>
      <c r="C3655" s="1">
        <v>43100</v>
      </c>
    </row>
    <row r="3656" spans="1:3">
      <c r="A3656" t="s">
        <v>91</v>
      </c>
      <c r="B3656">
        <v>21.5702746365256</v>
      </c>
      <c r="C3656" s="1">
        <v>43100</v>
      </c>
    </row>
    <row r="3657" spans="1:3">
      <c r="A3657" t="s">
        <v>93</v>
      </c>
      <c r="B3657">
        <v>35.945072697924999</v>
      </c>
      <c r="C3657" s="1">
        <v>43100</v>
      </c>
    </row>
    <row r="3658" spans="1:3">
      <c r="A3658" t="s">
        <v>95</v>
      </c>
      <c r="B3658">
        <v>1.1025848142172501</v>
      </c>
      <c r="C3658" s="1">
        <v>43100</v>
      </c>
    </row>
    <row r="3659" spans="1:3">
      <c r="A3659" t="s">
        <v>97</v>
      </c>
      <c r="B3659">
        <v>11.945880452350799</v>
      </c>
      <c r="C3659" s="1">
        <v>43100</v>
      </c>
    </row>
    <row r="3660" spans="1:3">
      <c r="A3660" t="s">
        <v>99</v>
      </c>
      <c r="B3660">
        <v>6.8659127625249896</v>
      </c>
      <c r="C3660" s="1">
        <v>43100</v>
      </c>
    </row>
    <row r="3661" spans="1:3">
      <c r="A3661" t="s">
        <v>101</v>
      </c>
      <c r="B3661">
        <v>11.631663974159901</v>
      </c>
      <c r="C3661" s="1">
        <v>43100</v>
      </c>
    </row>
    <row r="3662" spans="1:3">
      <c r="A3662" t="s">
        <v>103</v>
      </c>
      <c r="B3662">
        <v>1.227786752828</v>
      </c>
      <c r="C3662" s="1">
        <v>43100</v>
      </c>
    </row>
    <row r="3663" spans="1:3">
      <c r="A3663" t="s">
        <v>105</v>
      </c>
      <c r="B3663">
        <v>0.56300484652704996</v>
      </c>
      <c r="C3663" s="1">
        <v>43100</v>
      </c>
    </row>
    <row r="3664" spans="1:3">
      <c r="A3664" t="s">
        <v>107</v>
      </c>
      <c r="B3664">
        <v>4.8836833602618999</v>
      </c>
      <c r="C3664" s="1">
        <v>43100</v>
      </c>
    </row>
    <row r="3665" spans="1:3">
      <c r="A3665" t="s">
        <v>109</v>
      </c>
      <c r="B3665">
        <v>1.8327948303728501</v>
      </c>
      <c r="C3665" s="1">
        <v>43100</v>
      </c>
    </row>
    <row r="3666" spans="1:3">
      <c r="A3666" t="s">
        <v>111</v>
      </c>
      <c r="B3666">
        <v>8.0775444264999994</v>
      </c>
      <c r="C3666" s="1">
        <v>43100</v>
      </c>
    </row>
    <row r="3667" spans="1:3">
      <c r="A3667" t="s">
        <v>113</v>
      </c>
      <c r="B3667">
        <v>15.9394184168124</v>
      </c>
      <c r="C3667" s="1">
        <v>43100</v>
      </c>
    </row>
    <row r="3668" spans="1:3">
      <c r="A3668" t="s">
        <v>115</v>
      </c>
      <c r="B3668">
        <v>5.2754442649471498</v>
      </c>
      <c r="C3668" s="1">
        <v>43100</v>
      </c>
    </row>
    <row r="3669" spans="1:3">
      <c r="A3669" t="s">
        <v>117</v>
      </c>
      <c r="B3669">
        <v>5.6187399030733998</v>
      </c>
      <c r="C3669" s="1">
        <v>43100</v>
      </c>
    </row>
    <row r="3670" spans="1:3">
      <c r="A3670" t="s">
        <v>119</v>
      </c>
      <c r="B3670">
        <v>30.624394184189399</v>
      </c>
      <c r="C3670" s="1">
        <v>43100</v>
      </c>
    </row>
    <row r="3671" spans="1:3">
      <c r="A3671" t="s">
        <v>121</v>
      </c>
      <c r="B3671">
        <v>19.06300484654</v>
      </c>
      <c r="C3671" s="1">
        <v>43100</v>
      </c>
    </row>
    <row r="3672" spans="1:3">
      <c r="A3672" t="s">
        <v>123</v>
      </c>
      <c r="B3672">
        <v>7.0274636510549904</v>
      </c>
      <c r="C3672" s="1">
        <v>43100</v>
      </c>
    </row>
    <row r="3673" spans="1:3">
      <c r="A3673" t="s">
        <v>125</v>
      </c>
      <c r="B3673">
        <v>278.75605815851497</v>
      </c>
      <c r="C3673" s="1">
        <v>43100</v>
      </c>
    </row>
    <row r="3674" spans="1:3">
      <c r="A3674" t="s">
        <v>127</v>
      </c>
      <c r="B3674">
        <v>11.033925686599</v>
      </c>
      <c r="C3674" s="1">
        <v>43100</v>
      </c>
    </row>
    <row r="3675" spans="1:3">
      <c r="A3675" t="s">
        <v>129</v>
      </c>
      <c r="B3675">
        <v>5.4321486268212498</v>
      </c>
      <c r="C3675" s="1">
        <v>43100</v>
      </c>
    </row>
    <row r="3676" spans="1:3">
      <c r="A3676" t="s">
        <v>131</v>
      </c>
      <c r="B3676">
        <v>4.6147011308594497</v>
      </c>
      <c r="C3676" s="1">
        <v>43100</v>
      </c>
    </row>
    <row r="3677" spans="1:3">
      <c r="A3677" t="s">
        <v>134</v>
      </c>
      <c r="B3677">
        <v>3.34006462035775</v>
      </c>
      <c r="C3677" s="1">
        <v>43100</v>
      </c>
    </row>
    <row r="3678" spans="1:3">
      <c r="A3678" t="s">
        <v>136</v>
      </c>
      <c r="B3678">
        <v>17.866720516975299</v>
      </c>
      <c r="C3678" s="1">
        <v>43100</v>
      </c>
    </row>
    <row r="3679" spans="1:3">
      <c r="A3679" t="s">
        <v>138</v>
      </c>
      <c r="B3679">
        <v>17.616316639753801</v>
      </c>
      <c r="C3679" s="1">
        <v>43100</v>
      </c>
    </row>
    <row r="3680" spans="1:3">
      <c r="A3680" t="s">
        <v>140</v>
      </c>
      <c r="B3680">
        <v>14.6308562197194</v>
      </c>
      <c r="C3680" s="1">
        <v>43100</v>
      </c>
    </row>
    <row r="3681" spans="1:3">
      <c r="A3681" t="s">
        <v>142</v>
      </c>
      <c r="B3681">
        <v>7.2471728594557998</v>
      </c>
      <c r="C3681" s="1">
        <v>43100</v>
      </c>
    </row>
    <row r="3682" spans="1:3">
      <c r="A3682" t="s">
        <v>144</v>
      </c>
      <c r="B3682">
        <v>5.8239095315064899</v>
      </c>
      <c r="C3682" s="1">
        <v>43100</v>
      </c>
    </row>
    <row r="3683" spans="1:3">
      <c r="A3683" t="s">
        <v>146</v>
      </c>
      <c r="B3683">
        <v>7.2294022617174996</v>
      </c>
      <c r="C3683" s="1">
        <v>43100</v>
      </c>
    </row>
    <row r="3684" spans="1:3">
      <c r="A3684" t="s">
        <v>148</v>
      </c>
      <c r="B3684">
        <v>15.804523424889799</v>
      </c>
      <c r="C3684" s="1">
        <v>43100</v>
      </c>
    </row>
    <row r="3685" spans="1:3">
      <c r="A3685" t="s">
        <v>150</v>
      </c>
      <c r="B3685">
        <v>8.9305331179383902</v>
      </c>
      <c r="C3685" s="1">
        <v>43100</v>
      </c>
    </row>
    <row r="3686" spans="1:3">
      <c r="A3686" t="s">
        <v>152</v>
      </c>
      <c r="B3686">
        <v>10.3893376413643</v>
      </c>
      <c r="C3686" s="1">
        <v>43100</v>
      </c>
    </row>
    <row r="3687" spans="1:3">
      <c r="A3687" t="s">
        <v>154</v>
      </c>
      <c r="B3687">
        <v>37.156704361899997</v>
      </c>
      <c r="C3687" s="1">
        <v>43100</v>
      </c>
    </row>
    <row r="3688" spans="1:3">
      <c r="A3688" t="s">
        <v>156</v>
      </c>
      <c r="B3688">
        <v>34.586429725387603</v>
      </c>
      <c r="C3688" s="1">
        <v>43100</v>
      </c>
    </row>
    <row r="3689" spans="1:3">
      <c r="A3689" t="s">
        <v>158</v>
      </c>
      <c r="B3689">
        <v>28.5508885299068</v>
      </c>
      <c r="C3689" s="1">
        <v>43100</v>
      </c>
    </row>
    <row r="3690" spans="1:3">
      <c r="A3690" t="s">
        <v>160</v>
      </c>
      <c r="B3690">
        <v>20.686591276266501</v>
      </c>
      <c r="C3690" s="1">
        <v>43100</v>
      </c>
    </row>
    <row r="3691" spans="1:3">
      <c r="A3691" t="s">
        <v>162</v>
      </c>
      <c r="B3691">
        <v>2.6203554119565902</v>
      </c>
      <c r="C3691" s="1">
        <v>43100</v>
      </c>
    </row>
    <row r="3692" spans="1:3">
      <c r="A3692" t="s">
        <v>164</v>
      </c>
      <c r="B3692">
        <v>4.3699515347364999</v>
      </c>
      <c r="C3692" s="1">
        <v>43100</v>
      </c>
    </row>
    <row r="3693" spans="1:3">
      <c r="A3693" t="s">
        <v>166</v>
      </c>
      <c r="B3693">
        <v>12.888529886923299</v>
      </c>
      <c r="C3693" s="1">
        <v>43100</v>
      </c>
    </row>
    <row r="3694" spans="1:3">
      <c r="A3694" t="s">
        <v>168</v>
      </c>
      <c r="B3694">
        <v>10.843295638133601</v>
      </c>
      <c r="C3694" s="1">
        <v>43100</v>
      </c>
    </row>
    <row r="3695" spans="1:3">
      <c r="A3695" t="s">
        <v>8</v>
      </c>
      <c r="B3695">
        <v>26.6562796084126</v>
      </c>
      <c r="C3695" s="1">
        <v>43131</v>
      </c>
    </row>
    <row r="3696" spans="1:3">
      <c r="A3696" t="s">
        <v>11</v>
      </c>
      <c r="B3696">
        <v>68.554584693210003</v>
      </c>
      <c r="C3696" s="1">
        <v>43131</v>
      </c>
    </row>
    <row r="3697" spans="1:3">
      <c r="A3697" t="s">
        <v>14</v>
      </c>
      <c r="B3697">
        <v>7.8543004526889</v>
      </c>
      <c r="C3697" s="1">
        <v>43131</v>
      </c>
    </row>
    <row r="3698" spans="1:3">
      <c r="A3698" t="s">
        <v>17</v>
      </c>
      <c r="B3698">
        <v>9.6624907885159494</v>
      </c>
      <c r="C3698" s="1">
        <v>43131</v>
      </c>
    </row>
    <row r="3699" spans="1:3">
      <c r="A3699" t="s">
        <v>20</v>
      </c>
      <c r="B3699">
        <v>1.633856195391</v>
      </c>
      <c r="C3699" s="1">
        <v>43131</v>
      </c>
    </row>
    <row r="3700" spans="1:3">
      <c r="A3700" t="s">
        <v>24</v>
      </c>
      <c r="B3700">
        <v>3.2314980524305499</v>
      </c>
      <c r="C3700" s="1">
        <v>43131</v>
      </c>
    </row>
    <row r="3701" spans="1:3">
      <c r="A3701" t="s">
        <v>27</v>
      </c>
      <c r="B3701">
        <v>24.3949889462349</v>
      </c>
      <c r="C3701" s="1">
        <v>43131</v>
      </c>
    </row>
    <row r="3702" spans="1:3">
      <c r="A3702" t="s">
        <v>29</v>
      </c>
      <c r="B3702">
        <v>2.2975050005291999</v>
      </c>
      <c r="C3702" s="1">
        <v>43131</v>
      </c>
    </row>
    <row r="3703" spans="1:3">
      <c r="A3703" t="s">
        <v>32</v>
      </c>
      <c r="B3703">
        <v>13.7698705127025</v>
      </c>
      <c r="C3703" s="1">
        <v>43131</v>
      </c>
    </row>
    <row r="3704" spans="1:3">
      <c r="A3704" t="s">
        <v>35</v>
      </c>
      <c r="B3704">
        <v>5.5222655016385396</v>
      </c>
      <c r="C3704" s="1">
        <v>43131</v>
      </c>
    </row>
    <row r="3705" spans="1:3">
      <c r="A3705" t="s">
        <v>37</v>
      </c>
      <c r="B3705">
        <v>1.145383724604</v>
      </c>
      <c r="C3705" s="1">
        <v>43131</v>
      </c>
    </row>
    <row r="3706" spans="1:3">
      <c r="A3706" t="s">
        <v>39</v>
      </c>
      <c r="B3706">
        <v>1.7921886514392</v>
      </c>
      <c r="C3706" s="1">
        <v>43131</v>
      </c>
    </row>
    <row r="3707" spans="1:3">
      <c r="A3707" t="s">
        <v>42</v>
      </c>
      <c r="B3707">
        <v>2.5004737340803498</v>
      </c>
      <c r="C3707" s="1">
        <v>43131</v>
      </c>
    </row>
    <row r="3708" spans="1:3">
      <c r="A3708" t="s">
        <v>44</v>
      </c>
      <c r="B3708">
        <v>12.0526371197116</v>
      </c>
      <c r="C3708" s="1">
        <v>43131</v>
      </c>
    </row>
    <row r="3709" spans="1:3">
      <c r="A3709" t="s">
        <v>47</v>
      </c>
      <c r="B3709">
        <v>15.816401726517</v>
      </c>
      <c r="C3709" s="1">
        <v>43131</v>
      </c>
    </row>
    <row r="3710" spans="1:3">
      <c r="A3710" t="s">
        <v>49</v>
      </c>
      <c r="B3710">
        <v>17.264975260575</v>
      </c>
      <c r="C3710" s="1">
        <v>43131</v>
      </c>
    </row>
    <row r="3711" spans="1:3">
      <c r="A3711" t="s">
        <v>51</v>
      </c>
      <c r="B3711">
        <v>1.7399726286999</v>
      </c>
      <c r="C3711" s="1">
        <v>43131</v>
      </c>
    </row>
    <row r="3712" spans="1:3">
      <c r="A3712" t="s">
        <v>53</v>
      </c>
      <c r="B3712">
        <v>1.2456048005068501</v>
      </c>
      <c r="C3712" s="1">
        <v>43131</v>
      </c>
    </row>
    <row r="3713" spans="1:3">
      <c r="A3713" t="s">
        <v>55</v>
      </c>
      <c r="B3713">
        <v>6.6331192757214001</v>
      </c>
      <c r="C3713" s="1">
        <v>43131</v>
      </c>
    </row>
    <row r="3714" spans="1:3">
      <c r="A3714" t="s">
        <v>57</v>
      </c>
      <c r="B3714">
        <v>4.3415096325982496</v>
      </c>
      <c r="C3714" s="1">
        <v>43131</v>
      </c>
    </row>
    <row r="3715" spans="1:3">
      <c r="A3715" t="s">
        <v>59</v>
      </c>
      <c r="B3715">
        <v>9.8031371723460001</v>
      </c>
      <c r="C3715" s="1">
        <v>43131</v>
      </c>
    </row>
    <row r="3716" spans="1:3">
      <c r="A3716" t="s">
        <v>61</v>
      </c>
      <c r="B3716">
        <v>67.426044846908994</v>
      </c>
      <c r="C3716" s="1">
        <v>43131</v>
      </c>
    </row>
    <row r="3717" spans="1:3">
      <c r="A3717" t="s">
        <v>63</v>
      </c>
      <c r="B3717">
        <v>19.959995789055</v>
      </c>
      <c r="C3717" s="1">
        <v>43131</v>
      </c>
    </row>
    <row r="3718" spans="1:3">
      <c r="A3718" t="s">
        <v>65</v>
      </c>
      <c r="B3718">
        <v>0.91125381619229995</v>
      </c>
      <c r="C3718" s="1">
        <v>43131</v>
      </c>
    </row>
    <row r="3719" spans="1:3">
      <c r="A3719" t="s">
        <v>67</v>
      </c>
      <c r="B3719">
        <v>14.220444257307699</v>
      </c>
      <c r="C3719" s="1">
        <v>43131</v>
      </c>
    </row>
    <row r="3720" spans="1:3">
      <c r="A3720" t="s">
        <v>69</v>
      </c>
      <c r="B3720">
        <v>8.2535003684700001</v>
      </c>
      <c r="C3720" s="1">
        <v>43131</v>
      </c>
    </row>
    <row r="3721" spans="1:3">
      <c r="A3721" t="s">
        <v>71</v>
      </c>
      <c r="B3721">
        <v>1.4485735340579999</v>
      </c>
      <c r="C3721" s="1">
        <v>43131</v>
      </c>
    </row>
    <row r="3722" spans="1:3">
      <c r="A3722" t="s">
        <v>73</v>
      </c>
      <c r="B3722">
        <v>2.19391514896575</v>
      </c>
      <c r="C3722" s="1">
        <v>43131</v>
      </c>
    </row>
    <row r="3723" spans="1:3">
      <c r="A3723" t="s">
        <v>75</v>
      </c>
      <c r="B3723">
        <v>0.42278134540529999</v>
      </c>
      <c r="C3723" s="1">
        <v>43131</v>
      </c>
    </row>
    <row r="3724" spans="1:3">
      <c r="A3724" t="s">
        <v>77</v>
      </c>
      <c r="B3724">
        <v>2.3379303084564</v>
      </c>
      <c r="C3724" s="1">
        <v>43131</v>
      </c>
    </row>
    <row r="3725" spans="1:3">
      <c r="A3725" t="s">
        <v>79</v>
      </c>
      <c r="B3725">
        <v>9.3635119486377008</v>
      </c>
      <c r="C3725" s="1">
        <v>43131</v>
      </c>
    </row>
    <row r="3726" spans="1:3">
      <c r="A3726" t="s">
        <v>81</v>
      </c>
      <c r="B3726">
        <v>13.4119380987637</v>
      </c>
      <c r="C3726" s="1">
        <v>43131</v>
      </c>
    </row>
    <row r="3727" spans="1:3">
      <c r="A3727" t="s">
        <v>83</v>
      </c>
      <c r="B3727">
        <v>0.71923360353809995</v>
      </c>
      <c r="C3727" s="1">
        <v>43131</v>
      </c>
    </row>
    <row r="3728" spans="1:3">
      <c r="A3728" t="s">
        <v>85</v>
      </c>
      <c r="B3728">
        <v>9.7694494157400005</v>
      </c>
      <c r="C3728" s="1">
        <v>43131</v>
      </c>
    </row>
    <row r="3729" spans="1:3">
      <c r="A3729" t="s">
        <v>87</v>
      </c>
      <c r="B3729">
        <v>22.798189283110499</v>
      </c>
      <c r="C3729" s="1">
        <v>43131</v>
      </c>
    </row>
    <row r="3730" spans="1:3">
      <c r="A3730" t="s">
        <v>89</v>
      </c>
      <c r="B3730">
        <v>12.6632277081954</v>
      </c>
      <c r="C3730" s="1">
        <v>43131</v>
      </c>
    </row>
    <row r="3731" spans="1:3">
      <c r="A3731" t="s">
        <v>91</v>
      </c>
      <c r="B3731">
        <v>25.208548268269801</v>
      </c>
      <c r="C3731" s="1">
        <v>43131</v>
      </c>
    </row>
    <row r="3732" spans="1:3">
      <c r="A3732" t="s">
        <v>93</v>
      </c>
      <c r="B3732">
        <v>37.89872618175</v>
      </c>
      <c r="C3732" s="1">
        <v>43131</v>
      </c>
    </row>
    <row r="3733" spans="1:3">
      <c r="A3733" t="s">
        <v>95</v>
      </c>
      <c r="B3733">
        <v>1.1074849984222499</v>
      </c>
      <c r="C3733" s="1">
        <v>43131</v>
      </c>
    </row>
    <row r="3734" spans="1:3">
      <c r="A3734" t="s">
        <v>97</v>
      </c>
      <c r="B3734">
        <v>12.281713864632399</v>
      </c>
      <c r="C3734" s="1">
        <v>43131</v>
      </c>
    </row>
    <row r="3735" spans="1:3">
      <c r="A3735" t="s">
        <v>99</v>
      </c>
      <c r="B3735">
        <v>7.0457942941449003</v>
      </c>
      <c r="C3735" s="1">
        <v>43131</v>
      </c>
    </row>
    <row r="3736" spans="1:3">
      <c r="A3736" t="s">
        <v>101</v>
      </c>
      <c r="B3736">
        <v>12.380250552705</v>
      </c>
      <c r="C3736" s="1">
        <v>43131</v>
      </c>
    </row>
    <row r="3737" spans="1:3">
      <c r="A3737" t="s">
        <v>103</v>
      </c>
      <c r="B3737">
        <v>1.4603642488701001</v>
      </c>
      <c r="C3737" s="1">
        <v>43131</v>
      </c>
    </row>
    <row r="3738" spans="1:3">
      <c r="A3738" t="s">
        <v>105</v>
      </c>
      <c r="B3738">
        <v>0.68217707127149996</v>
      </c>
      <c r="C3738" s="1">
        <v>43131</v>
      </c>
    </row>
    <row r="3739" spans="1:3">
      <c r="A3739" t="s">
        <v>107</v>
      </c>
      <c r="B3739">
        <v>5.5938519844263004</v>
      </c>
      <c r="C3739" s="1">
        <v>43131</v>
      </c>
    </row>
    <row r="3740" spans="1:3">
      <c r="A3740" t="s">
        <v>109</v>
      </c>
      <c r="B3740">
        <v>1.6776502789787999</v>
      </c>
      <c r="C3740" s="1">
        <v>43131</v>
      </c>
    </row>
    <row r="3741" spans="1:3">
      <c r="A3741" t="s">
        <v>111</v>
      </c>
      <c r="B3741">
        <v>8.6745973260449993</v>
      </c>
      <c r="C3741" s="1">
        <v>43131</v>
      </c>
    </row>
    <row r="3742" spans="1:3">
      <c r="A3742" t="s">
        <v>113</v>
      </c>
      <c r="B3742">
        <v>16.300663227728201</v>
      </c>
      <c r="C3742" s="1">
        <v>43131</v>
      </c>
    </row>
    <row r="3743" spans="1:3">
      <c r="A3743" t="s">
        <v>115</v>
      </c>
      <c r="B3743">
        <v>5.4043583535175497</v>
      </c>
      <c r="C3743" s="1">
        <v>43131</v>
      </c>
    </row>
    <row r="3744" spans="1:3">
      <c r="A3744" t="s">
        <v>117</v>
      </c>
      <c r="B3744">
        <v>5.7488156648139004</v>
      </c>
      <c r="C3744" s="1">
        <v>43131</v>
      </c>
    </row>
    <row r="3745" spans="1:3">
      <c r="A3745" t="s">
        <v>119</v>
      </c>
      <c r="B3745">
        <v>30.244867880866799</v>
      </c>
      <c r="C3745" s="1">
        <v>43131</v>
      </c>
    </row>
    <row r="3746" spans="1:3">
      <c r="A3746" t="s">
        <v>121</v>
      </c>
      <c r="B3746">
        <v>19.896831245418699</v>
      </c>
      <c r="C3746" s="1">
        <v>43131</v>
      </c>
    </row>
    <row r="3747" spans="1:3">
      <c r="A3747" t="s">
        <v>123</v>
      </c>
      <c r="B3747">
        <v>7.4281503316229998</v>
      </c>
      <c r="C3747" s="1">
        <v>43131</v>
      </c>
    </row>
    <row r="3748" spans="1:3">
      <c r="A3748" t="s">
        <v>125</v>
      </c>
      <c r="B3748">
        <v>284.87040741165703</v>
      </c>
      <c r="C3748" s="1">
        <v>43131</v>
      </c>
    </row>
    <row r="3749" spans="1:3">
      <c r="A3749" t="s">
        <v>127</v>
      </c>
      <c r="B3749">
        <v>11.066428045071</v>
      </c>
      <c r="C3749" s="1">
        <v>43131</v>
      </c>
    </row>
    <row r="3750" spans="1:3">
      <c r="A3750" t="s">
        <v>129</v>
      </c>
      <c r="B3750">
        <v>5.6005895357475</v>
      </c>
      <c r="C3750" s="1">
        <v>43131</v>
      </c>
    </row>
    <row r="3751" spans="1:3">
      <c r="A3751" t="s">
        <v>131</v>
      </c>
      <c r="B3751">
        <v>2.6082745552195501</v>
      </c>
      <c r="C3751" s="1">
        <v>43131</v>
      </c>
    </row>
    <row r="3752" spans="1:3">
      <c r="A3752" t="s">
        <v>134</v>
      </c>
      <c r="B3752">
        <v>3.7772397094477501</v>
      </c>
      <c r="C3752" s="1">
        <v>43131</v>
      </c>
    </row>
    <row r="3753" spans="1:3">
      <c r="A3753" t="s">
        <v>136</v>
      </c>
      <c r="B3753">
        <v>20.781134856326201</v>
      </c>
      <c r="C3753" s="1">
        <v>43131</v>
      </c>
    </row>
    <row r="3754" spans="1:3">
      <c r="A3754" t="s">
        <v>138</v>
      </c>
      <c r="B3754">
        <v>21.054005684834799</v>
      </c>
      <c r="C3754" s="1">
        <v>43131</v>
      </c>
    </row>
    <row r="3755" spans="1:3">
      <c r="A3755" t="s">
        <v>140</v>
      </c>
      <c r="B3755">
        <v>14.388883040337699</v>
      </c>
      <c r="C3755" s="1">
        <v>43131</v>
      </c>
    </row>
    <row r="3756" spans="1:3">
      <c r="A3756" t="s">
        <v>142</v>
      </c>
      <c r="B3756">
        <v>7.8248236656586503</v>
      </c>
      <c r="C3756" s="1">
        <v>43131</v>
      </c>
    </row>
    <row r="3757" spans="1:3">
      <c r="A3757" t="s">
        <v>144</v>
      </c>
      <c r="B3757">
        <v>6.28697757659475</v>
      </c>
      <c r="C3757" s="1">
        <v>43131</v>
      </c>
    </row>
    <row r="3758" spans="1:3">
      <c r="A3758" t="s">
        <v>146</v>
      </c>
      <c r="B3758">
        <v>7.1881250658052496</v>
      </c>
      <c r="C3758" s="1">
        <v>43131</v>
      </c>
    </row>
    <row r="3759" spans="1:3">
      <c r="A3759" t="s">
        <v>148</v>
      </c>
      <c r="B3759">
        <v>16.899463101399899</v>
      </c>
      <c r="C3759" s="1">
        <v>43131</v>
      </c>
    </row>
    <row r="3760" spans="1:3">
      <c r="A3760" t="s">
        <v>150</v>
      </c>
      <c r="B3760">
        <v>9.0510580061170494</v>
      </c>
      <c r="C3760" s="1">
        <v>43131</v>
      </c>
    </row>
    <row r="3761" spans="1:3">
      <c r="A3761" t="s">
        <v>152</v>
      </c>
      <c r="B3761">
        <v>11.091693862525499</v>
      </c>
      <c r="C3761" s="1">
        <v>43131</v>
      </c>
    </row>
    <row r="3762" spans="1:3">
      <c r="A3762" t="s">
        <v>154</v>
      </c>
      <c r="B3762">
        <v>38.825139488414997</v>
      </c>
      <c r="C3762" s="1">
        <v>43131</v>
      </c>
    </row>
    <row r="3763" spans="1:3">
      <c r="A3763" t="s">
        <v>156</v>
      </c>
      <c r="B3763">
        <v>35.970102116056502</v>
      </c>
      <c r="C3763" s="1">
        <v>43131</v>
      </c>
    </row>
    <row r="3764" spans="1:3">
      <c r="A3764" t="s">
        <v>158</v>
      </c>
      <c r="B3764">
        <v>29.897883987825001</v>
      </c>
      <c r="C3764" s="1">
        <v>43131</v>
      </c>
    </row>
    <row r="3765" spans="1:3">
      <c r="A3765" t="s">
        <v>160</v>
      </c>
      <c r="B3765">
        <v>22.234761553875099</v>
      </c>
      <c r="C3765" s="1">
        <v>43131</v>
      </c>
    </row>
    <row r="3766" spans="1:3">
      <c r="A3766" t="s">
        <v>162</v>
      </c>
      <c r="B3766">
        <v>3.06137488157025</v>
      </c>
      <c r="C3766" s="1">
        <v>43131</v>
      </c>
    </row>
    <row r="3767" spans="1:3">
      <c r="A3767" t="s">
        <v>164</v>
      </c>
      <c r="B3767">
        <v>4.28592483419835</v>
      </c>
      <c r="C3767" s="1">
        <v>43131</v>
      </c>
    </row>
    <row r="3768" spans="1:3">
      <c r="A3768" t="s">
        <v>166</v>
      </c>
      <c r="B3768">
        <v>14.2145488999017</v>
      </c>
      <c r="C3768" s="1">
        <v>43131</v>
      </c>
    </row>
    <row r="3769" spans="1:3">
      <c r="A3769" t="s">
        <v>168</v>
      </c>
      <c r="B3769">
        <v>10.780082113920001</v>
      </c>
      <c r="C3769" s="1">
        <v>43131</v>
      </c>
    </row>
    <row r="3770" spans="1:3">
      <c r="A3770" t="s">
        <v>8</v>
      </c>
      <c r="B3770">
        <v>26.289950227712598</v>
      </c>
      <c r="C3770" s="1">
        <v>43159</v>
      </c>
    </row>
    <row r="3771" spans="1:3">
      <c r="A3771" t="s">
        <v>11</v>
      </c>
      <c r="B3771">
        <v>59.875039712026002</v>
      </c>
      <c r="C3771" s="1">
        <v>43159</v>
      </c>
    </row>
    <row r="3772" spans="1:3">
      <c r="A3772" t="s">
        <v>14</v>
      </c>
      <c r="B3772">
        <v>8.7421370327328791</v>
      </c>
      <c r="C3772" s="1">
        <v>43159</v>
      </c>
    </row>
    <row r="3773" spans="1:3">
      <c r="A3773" t="s">
        <v>17</v>
      </c>
      <c r="B3773">
        <v>8.8759927989090404</v>
      </c>
      <c r="C3773" s="1">
        <v>43159</v>
      </c>
    </row>
    <row r="3774" spans="1:3">
      <c r="A3774" t="s">
        <v>20</v>
      </c>
      <c r="B3774">
        <v>1.60033887535928</v>
      </c>
      <c r="C3774" s="1">
        <v>43159</v>
      </c>
    </row>
    <row r="3775" spans="1:3">
      <c r="A3775" t="s">
        <v>24</v>
      </c>
      <c r="B3775">
        <v>2.96515937732</v>
      </c>
      <c r="C3775" s="1">
        <v>43159</v>
      </c>
    </row>
    <row r="3776" spans="1:3">
      <c r="A3776" t="s">
        <v>27</v>
      </c>
      <c r="B3776">
        <v>24.78026051046</v>
      </c>
      <c r="C3776" s="1">
        <v>43159</v>
      </c>
    </row>
    <row r="3777" spans="1:3">
      <c r="A3777" t="s">
        <v>29</v>
      </c>
      <c r="B3777">
        <v>2.3009636768003201</v>
      </c>
      <c r="C3777" s="1">
        <v>43159</v>
      </c>
    </row>
    <row r="3778" spans="1:3">
      <c r="A3778" t="s">
        <v>32</v>
      </c>
      <c r="B3778">
        <v>13.787991104537999</v>
      </c>
      <c r="C3778" s="1">
        <v>43159</v>
      </c>
    </row>
    <row r="3779" spans="1:3">
      <c r="A3779" t="s">
        <v>35</v>
      </c>
      <c r="B3779">
        <v>5.7608810759360001</v>
      </c>
      <c r="C3779" s="1">
        <v>43159</v>
      </c>
    </row>
    <row r="3780" spans="1:3">
      <c r="A3780" t="s">
        <v>37</v>
      </c>
      <c r="B3780">
        <v>1.1013449115759999</v>
      </c>
      <c r="C3780" s="1">
        <v>43159</v>
      </c>
    </row>
    <row r="3781" spans="1:3">
      <c r="A3781" t="s">
        <v>39</v>
      </c>
      <c r="B3781">
        <v>1.9248120300774401</v>
      </c>
      <c r="C3781" s="1">
        <v>43159</v>
      </c>
    </row>
    <row r="3782" spans="1:3">
      <c r="A3782" t="s">
        <v>42</v>
      </c>
      <c r="B3782">
        <v>2.4593879063885602</v>
      </c>
      <c r="C3782" s="1">
        <v>43159</v>
      </c>
    </row>
    <row r="3783" spans="1:3">
      <c r="A3783" t="s">
        <v>44</v>
      </c>
      <c r="B3783">
        <v>11.2184687069918</v>
      </c>
      <c r="C3783" s="1">
        <v>43159</v>
      </c>
    </row>
    <row r="3784" spans="1:3">
      <c r="A3784" t="s">
        <v>47</v>
      </c>
      <c r="B3784">
        <v>17.282643227807998</v>
      </c>
      <c r="C3784" s="1">
        <v>43159</v>
      </c>
    </row>
    <row r="3785" spans="1:3">
      <c r="A3785" t="s">
        <v>49</v>
      </c>
      <c r="B3785">
        <v>18.519538282347199</v>
      </c>
      <c r="C3785" s="1">
        <v>43159</v>
      </c>
    </row>
    <row r="3786" spans="1:3">
      <c r="A3786" t="s">
        <v>51</v>
      </c>
      <c r="B3786">
        <v>1.7909562639012799</v>
      </c>
      <c r="C3786" s="1">
        <v>43159</v>
      </c>
    </row>
    <row r="3787" spans="1:3">
      <c r="A3787" t="s">
        <v>53</v>
      </c>
      <c r="B3787">
        <v>1.3266970242523199</v>
      </c>
      <c r="C3787" s="1">
        <v>43159</v>
      </c>
    </row>
    <row r="3788" spans="1:3">
      <c r="A3788" t="s">
        <v>55</v>
      </c>
      <c r="B3788">
        <v>6.7732712061924003</v>
      </c>
      <c r="C3788" s="1">
        <v>43159</v>
      </c>
    </row>
    <row r="3789" spans="1:3">
      <c r="A3789" t="s">
        <v>57</v>
      </c>
      <c r="B3789">
        <v>4.3841999364659996</v>
      </c>
      <c r="C3789" s="1">
        <v>43159</v>
      </c>
    </row>
    <row r="3790" spans="1:3">
      <c r="A3790" t="s">
        <v>59</v>
      </c>
      <c r="B3790">
        <v>5.6219421793987197</v>
      </c>
      <c r="C3790" s="1">
        <v>43159</v>
      </c>
    </row>
    <row r="3791" spans="1:3">
      <c r="A3791" t="s">
        <v>61</v>
      </c>
      <c r="B3791">
        <v>70.525045006965897</v>
      </c>
      <c r="C3791" s="1">
        <v>43159</v>
      </c>
    </row>
    <row r="3792" spans="1:3">
      <c r="A3792" t="s">
        <v>63</v>
      </c>
      <c r="B3792">
        <v>24.14486921532</v>
      </c>
      <c r="C3792" s="1">
        <v>43159</v>
      </c>
    </row>
    <row r="3793" spans="1:3">
      <c r="A3793" t="s">
        <v>65</v>
      </c>
      <c r="B3793">
        <v>0.96071163825168004</v>
      </c>
      <c r="C3793" s="1">
        <v>43159</v>
      </c>
    </row>
    <row r="3794" spans="1:3">
      <c r="A3794" t="s">
        <v>67</v>
      </c>
      <c r="B3794">
        <v>15.1460340993505</v>
      </c>
      <c r="C3794" s="1">
        <v>43159</v>
      </c>
    </row>
    <row r="3795" spans="1:3">
      <c r="A3795" t="s">
        <v>69</v>
      </c>
      <c r="B3795">
        <v>8.5803240495705602</v>
      </c>
      <c r="C3795" s="1">
        <v>43159</v>
      </c>
    </row>
    <row r="3796" spans="1:3">
      <c r="A3796" t="s">
        <v>71</v>
      </c>
      <c r="B3796">
        <v>1.4359843270163899</v>
      </c>
      <c r="C3796" s="1">
        <v>43159</v>
      </c>
    </row>
    <row r="3797" spans="1:3">
      <c r="A3797" t="s">
        <v>73</v>
      </c>
      <c r="B3797">
        <v>2.1603304034759998</v>
      </c>
      <c r="C3797" s="1">
        <v>43159</v>
      </c>
    </row>
    <row r="3798" spans="1:3">
      <c r="A3798" t="s">
        <v>75</v>
      </c>
      <c r="B3798">
        <v>0.39648416816735998</v>
      </c>
      <c r="C3798" s="1">
        <v>43159</v>
      </c>
    </row>
    <row r="3799" spans="1:3">
      <c r="A3799" t="s">
        <v>77</v>
      </c>
      <c r="B3799">
        <v>2.4992057608840001</v>
      </c>
      <c r="C3799" s="1">
        <v>43159</v>
      </c>
    </row>
    <row r="3800" spans="1:3">
      <c r="A3800" t="s">
        <v>79</v>
      </c>
      <c r="B3800">
        <v>10.420417240296</v>
      </c>
      <c r="C3800" s="1">
        <v>43159</v>
      </c>
    </row>
    <row r="3801" spans="1:3">
      <c r="A3801" t="s">
        <v>81</v>
      </c>
      <c r="B3801">
        <v>14.691941120423801</v>
      </c>
      <c r="C3801" s="1">
        <v>43159</v>
      </c>
    </row>
    <row r="3802" spans="1:3">
      <c r="A3802" t="s">
        <v>83</v>
      </c>
      <c r="B3802">
        <v>0.74552578629760002</v>
      </c>
      <c r="C3802" s="1">
        <v>43159</v>
      </c>
    </row>
    <row r="3803" spans="1:3">
      <c r="A3803" t="s">
        <v>85</v>
      </c>
      <c r="B3803">
        <v>9.2470613152708001</v>
      </c>
      <c r="C3803" s="1">
        <v>43159</v>
      </c>
    </row>
    <row r="3804" spans="1:3">
      <c r="A3804" t="s">
        <v>87</v>
      </c>
      <c r="B3804">
        <v>22.882558508975201</v>
      </c>
      <c r="C3804" s="1">
        <v>43159</v>
      </c>
    </row>
    <row r="3805" spans="1:3">
      <c r="A3805" t="s">
        <v>89</v>
      </c>
      <c r="B3805">
        <v>13.067880970046</v>
      </c>
      <c r="C3805" s="1">
        <v>43159</v>
      </c>
    </row>
    <row r="3806" spans="1:3">
      <c r="A3806" t="s">
        <v>91</v>
      </c>
      <c r="B3806">
        <v>26.008683681063999</v>
      </c>
      <c r="C3806" s="1">
        <v>43159</v>
      </c>
    </row>
    <row r="3807" spans="1:3">
      <c r="A3807" t="s">
        <v>93</v>
      </c>
      <c r="B3807">
        <v>39.938155247319798</v>
      </c>
      <c r="C3807" s="1">
        <v>43159</v>
      </c>
    </row>
    <row r="3808" spans="1:3">
      <c r="A3808" t="s">
        <v>95</v>
      </c>
      <c r="B3808">
        <v>1.1708143598446401</v>
      </c>
      <c r="C3808" s="1">
        <v>43159</v>
      </c>
    </row>
    <row r="3809" spans="1:3">
      <c r="A3809" t="s">
        <v>97</v>
      </c>
      <c r="B3809">
        <v>13.1610716933332</v>
      </c>
      <c r="C3809" s="1">
        <v>43159</v>
      </c>
    </row>
    <row r="3810" spans="1:3">
      <c r="A3810" t="s">
        <v>99</v>
      </c>
      <c r="B3810">
        <v>6.8622259875119997</v>
      </c>
      <c r="C3810" s="1">
        <v>43159</v>
      </c>
    </row>
    <row r="3811" spans="1:3">
      <c r="A3811" t="s">
        <v>101</v>
      </c>
      <c r="B3811">
        <v>13.385576617616</v>
      </c>
      <c r="C3811" s="1">
        <v>43159</v>
      </c>
    </row>
    <row r="3812" spans="1:3">
      <c r="A3812" t="s">
        <v>103</v>
      </c>
      <c r="B3812">
        <v>1.4995234565304001</v>
      </c>
      <c r="C3812" s="1">
        <v>43159</v>
      </c>
    </row>
    <row r="3813" spans="1:3">
      <c r="A3813" t="s">
        <v>105</v>
      </c>
      <c r="B3813">
        <v>0.70740230858919995</v>
      </c>
      <c r="C3813" s="1">
        <v>43159</v>
      </c>
    </row>
    <row r="3814" spans="1:3">
      <c r="A3814" t="s">
        <v>107</v>
      </c>
      <c r="B3814">
        <v>5.5914433972320001</v>
      </c>
      <c r="C3814" s="1">
        <v>43159</v>
      </c>
    </row>
    <row r="3815" spans="1:3">
      <c r="A3815" t="s">
        <v>109</v>
      </c>
      <c r="B3815">
        <v>2.00105898549424</v>
      </c>
      <c r="C3815" s="1">
        <v>43159</v>
      </c>
    </row>
    <row r="3816" spans="1:3">
      <c r="A3816" t="s">
        <v>111</v>
      </c>
      <c r="B3816">
        <v>9.5867838610723197</v>
      </c>
      <c r="C3816" s="1">
        <v>43159</v>
      </c>
    </row>
    <row r="3817" spans="1:3">
      <c r="A3817" t="s">
        <v>113</v>
      </c>
      <c r="B3817">
        <v>18.172191041004002</v>
      </c>
      <c r="C3817" s="1">
        <v>43159</v>
      </c>
    </row>
    <row r="3818" spans="1:3">
      <c r="A3818" t="s">
        <v>115</v>
      </c>
      <c r="B3818">
        <v>5.5363761516532</v>
      </c>
      <c r="C3818" s="1">
        <v>43159</v>
      </c>
    </row>
    <row r="3819" spans="1:3">
      <c r="A3819" t="s">
        <v>117</v>
      </c>
      <c r="B3819">
        <v>6.1556708673163198</v>
      </c>
      <c r="C3819" s="1">
        <v>43159</v>
      </c>
    </row>
    <row r="3820" spans="1:3">
      <c r="A3820" t="s">
        <v>119</v>
      </c>
      <c r="B3820">
        <v>29.685481308940702</v>
      </c>
      <c r="C3820" s="1">
        <v>43159</v>
      </c>
    </row>
    <row r="3821" spans="1:3">
      <c r="A3821" t="s">
        <v>121</v>
      </c>
      <c r="B3821">
        <v>20.459599703508001</v>
      </c>
      <c r="C3821" s="1">
        <v>43159</v>
      </c>
    </row>
    <row r="3822" spans="1:3">
      <c r="A3822" t="s">
        <v>123</v>
      </c>
      <c r="B3822">
        <v>7.7305940908700004</v>
      </c>
      <c r="C3822" s="1">
        <v>43159</v>
      </c>
    </row>
    <row r="3823" spans="1:3">
      <c r="A3823" t="s">
        <v>125</v>
      </c>
      <c r="B3823">
        <v>277.115323520392</v>
      </c>
      <c r="C3823" s="1">
        <v>43159</v>
      </c>
    </row>
    <row r="3824" spans="1:3">
      <c r="A3824" t="s">
        <v>127</v>
      </c>
      <c r="B3824">
        <v>10.886370856732</v>
      </c>
      <c r="C3824" s="1">
        <v>43159</v>
      </c>
    </row>
    <row r="3825" spans="1:3">
      <c r="A3825" t="s">
        <v>129</v>
      </c>
      <c r="B3825">
        <v>6.2607222281128001</v>
      </c>
      <c r="C3825" s="1">
        <v>43159</v>
      </c>
    </row>
    <row r="3826" spans="1:3">
      <c r="A3826" t="s">
        <v>131</v>
      </c>
      <c r="B3826">
        <v>2.1179709837999998</v>
      </c>
      <c r="C3826" s="1">
        <v>43159</v>
      </c>
    </row>
    <row r="3827" spans="1:3">
      <c r="A3827" t="s">
        <v>134</v>
      </c>
      <c r="B3827">
        <v>3.3269088213530398</v>
      </c>
      <c r="C3827" s="1">
        <v>43159</v>
      </c>
    </row>
    <row r="3828" spans="1:3">
      <c r="A3828" t="s">
        <v>136</v>
      </c>
      <c r="B3828">
        <v>22.0235094779459</v>
      </c>
      <c r="C3828" s="1">
        <v>43159</v>
      </c>
    </row>
    <row r="3829" spans="1:3">
      <c r="A3829" t="s">
        <v>138</v>
      </c>
      <c r="B3829">
        <v>19.071057926528699</v>
      </c>
      <c r="C3829" s="1">
        <v>43159</v>
      </c>
    </row>
    <row r="3830" spans="1:3">
      <c r="A3830" t="s">
        <v>140</v>
      </c>
      <c r="B3830">
        <v>14.3217197924556</v>
      </c>
      <c r="C3830" s="1">
        <v>43159</v>
      </c>
    </row>
    <row r="3831" spans="1:3">
      <c r="A3831" t="s">
        <v>142</v>
      </c>
      <c r="B3831">
        <v>8.6836810335799992</v>
      </c>
      <c r="C3831" s="1">
        <v>43159</v>
      </c>
    </row>
    <row r="3832" spans="1:3">
      <c r="A3832" t="s">
        <v>144</v>
      </c>
      <c r="B3832">
        <v>6.4809912104279999</v>
      </c>
      <c r="C3832" s="1">
        <v>43159</v>
      </c>
    </row>
    <row r="3833" spans="1:3">
      <c r="A3833" t="s">
        <v>146</v>
      </c>
      <c r="B3833">
        <v>6.4894630943631997</v>
      </c>
      <c r="C3833" s="1">
        <v>43159</v>
      </c>
    </row>
    <row r="3834" spans="1:3">
      <c r="A3834" t="s">
        <v>148</v>
      </c>
      <c r="B3834">
        <v>18.4526103992591</v>
      </c>
      <c r="C3834" s="1">
        <v>43159</v>
      </c>
    </row>
    <row r="3835" spans="1:3">
      <c r="A3835" t="s">
        <v>150</v>
      </c>
      <c r="B3835">
        <v>10.293338981268001</v>
      </c>
      <c r="C3835" s="1">
        <v>43159</v>
      </c>
    </row>
    <row r="3836" spans="1:3">
      <c r="A3836" t="s">
        <v>152</v>
      </c>
      <c r="B3836">
        <v>9.1648840410993593</v>
      </c>
      <c r="C3836" s="1">
        <v>43159</v>
      </c>
    </row>
    <row r="3837" spans="1:3">
      <c r="A3837" t="s">
        <v>154</v>
      </c>
      <c r="B3837">
        <v>36.139362490776101</v>
      </c>
      <c r="C3837" s="1">
        <v>43159</v>
      </c>
    </row>
    <row r="3838" spans="1:3">
      <c r="A3838" t="s">
        <v>156</v>
      </c>
      <c r="B3838">
        <v>35.306576299946002</v>
      </c>
      <c r="C3838" s="1">
        <v>43159</v>
      </c>
    </row>
    <row r="3839" spans="1:3">
      <c r="A3839" t="s">
        <v>158</v>
      </c>
      <c r="B3839">
        <v>30.989304246568</v>
      </c>
      <c r="C3839" s="1">
        <v>43159</v>
      </c>
    </row>
    <row r="3840" spans="1:3">
      <c r="A3840" t="s">
        <v>160</v>
      </c>
      <c r="B3840">
        <v>24.3617494440611</v>
      </c>
      <c r="C3840" s="1">
        <v>43159</v>
      </c>
    </row>
    <row r="3841" spans="1:3">
      <c r="A3841" t="s">
        <v>162</v>
      </c>
      <c r="B3841">
        <v>2.5500370644952</v>
      </c>
      <c r="C3841" s="1">
        <v>43159</v>
      </c>
    </row>
    <row r="3842" spans="1:3">
      <c r="A3842" t="s">
        <v>164</v>
      </c>
      <c r="B3842">
        <v>3.8809700307151198</v>
      </c>
      <c r="C3842" s="1">
        <v>43159</v>
      </c>
    </row>
    <row r="3843" spans="1:3">
      <c r="A3843" t="s">
        <v>166</v>
      </c>
      <c r="B3843">
        <v>15.0824949698365</v>
      </c>
      <c r="C3843" s="1">
        <v>43159</v>
      </c>
    </row>
    <row r="3844" spans="1:3">
      <c r="A3844" t="s">
        <v>168</v>
      </c>
      <c r="B3844">
        <v>10.337392777731001</v>
      </c>
      <c r="C3844" s="1">
        <v>43159</v>
      </c>
    </row>
    <row r="3845" spans="1:3">
      <c r="A3845" t="s">
        <v>8</v>
      </c>
      <c r="B3845">
        <v>27.2602595209</v>
      </c>
      <c r="C3845" s="1">
        <v>43190</v>
      </c>
    </row>
    <row r="3846" spans="1:3">
      <c r="A3846" t="s">
        <v>11</v>
      </c>
      <c r="B3846">
        <v>58.786791855365003</v>
      </c>
      <c r="C3846" s="1">
        <v>43190</v>
      </c>
    </row>
    <row r="3847" spans="1:3">
      <c r="A3847" t="s">
        <v>14</v>
      </c>
      <c r="B3847">
        <v>7.79829095892</v>
      </c>
      <c r="C3847" s="1">
        <v>43190</v>
      </c>
    </row>
    <row r="3848" spans="1:3">
      <c r="A3848" t="s">
        <v>17</v>
      </c>
      <c r="B3848">
        <v>9.0068572633760002</v>
      </c>
      <c r="C3848" s="1">
        <v>43190</v>
      </c>
    </row>
    <row r="3849" spans="1:3">
      <c r="A3849" t="s">
        <v>20</v>
      </c>
      <c r="B3849">
        <v>1.665998523042</v>
      </c>
      <c r="C3849" s="1">
        <v>43190</v>
      </c>
    </row>
    <row r="3850" spans="1:3">
      <c r="A3850" t="s">
        <v>24</v>
      </c>
      <c r="B3850">
        <v>2.6914231458870002</v>
      </c>
      <c r="C3850" s="1">
        <v>43190</v>
      </c>
    </row>
    <row r="3851" spans="1:3">
      <c r="A3851" t="s">
        <v>27</v>
      </c>
      <c r="B3851">
        <v>23.317227555523999</v>
      </c>
      <c r="C3851" s="1">
        <v>43190</v>
      </c>
    </row>
    <row r="3852" spans="1:3">
      <c r="A3852" t="s">
        <v>29</v>
      </c>
      <c r="B3852">
        <v>2.330203607963</v>
      </c>
      <c r="C3852" s="1">
        <v>43190</v>
      </c>
    </row>
    <row r="3853" spans="1:3">
      <c r="A3853" t="s">
        <v>32</v>
      </c>
      <c r="B3853">
        <v>12.918662306081</v>
      </c>
      <c r="C3853" s="1">
        <v>43190</v>
      </c>
    </row>
    <row r="3854" spans="1:3">
      <c r="A3854" t="s">
        <v>35</v>
      </c>
      <c r="B3854">
        <v>5.9820656187040004</v>
      </c>
      <c r="C3854" s="1">
        <v>43190</v>
      </c>
    </row>
    <row r="3855" spans="1:3">
      <c r="A3855" t="s">
        <v>37</v>
      </c>
      <c r="B3855">
        <v>1.0887224390700001</v>
      </c>
      <c r="C3855" s="1">
        <v>43190</v>
      </c>
    </row>
    <row r="3856" spans="1:3">
      <c r="A3856" t="s">
        <v>39</v>
      </c>
      <c r="B3856">
        <v>1.7132608924899999</v>
      </c>
      <c r="C3856" s="1">
        <v>43190</v>
      </c>
    </row>
    <row r="3857" spans="1:3">
      <c r="A3857" t="s">
        <v>42</v>
      </c>
      <c r="B3857">
        <v>2.620529591715</v>
      </c>
      <c r="C3857" s="1">
        <v>43190</v>
      </c>
    </row>
    <row r="3858" spans="1:3">
      <c r="A3858" t="s">
        <v>44</v>
      </c>
      <c r="B3858">
        <v>9.198438653817</v>
      </c>
      <c r="C3858" s="1">
        <v>43190</v>
      </c>
    </row>
    <row r="3859" spans="1:3">
      <c r="A3859" t="s">
        <v>47</v>
      </c>
      <c r="B3859">
        <v>15.641312374639</v>
      </c>
      <c r="C3859" s="1">
        <v>43190</v>
      </c>
    </row>
    <row r="3860" spans="1:3">
      <c r="A3860" t="s">
        <v>49</v>
      </c>
      <c r="B3860">
        <v>17.095474206047999</v>
      </c>
      <c r="C3860" s="1">
        <v>43190</v>
      </c>
    </row>
    <row r="3861" spans="1:3">
      <c r="A3861" t="s">
        <v>51</v>
      </c>
      <c r="B3861">
        <v>1.8466082920039999</v>
      </c>
      <c r="C3861" s="1">
        <v>43190</v>
      </c>
    </row>
    <row r="3862" spans="1:3">
      <c r="A3862" t="s">
        <v>53</v>
      </c>
      <c r="B3862">
        <v>1.312374723065</v>
      </c>
      <c r="C3862" s="1">
        <v>43190</v>
      </c>
    </row>
    <row r="3863" spans="1:3">
      <c r="A3863" t="s">
        <v>55</v>
      </c>
      <c r="B3863">
        <v>6.8142209093419996</v>
      </c>
      <c r="C3863" s="1">
        <v>43190</v>
      </c>
    </row>
    <row r="3864" spans="1:3">
      <c r="A3864" t="s">
        <v>57</v>
      </c>
      <c r="B3864">
        <v>4.4679818546019998</v>
      </c>
      <c r="C3864" s="1">
        <v>43190</v>
      </c>
    </row>
    <row r="3865" spans="1:3">
      <c r="A3865" t="s">
        <v>59</v>
      </c>
      <c r="B3865">
        <v>4.2198544150000004</v>
      </c>
      <c r="C3865" s="1">
        <v>43190</v>
      </c>
    </row>
    <row r="3866" spans="1:3">
      <c r="A3866" t="s">
        <v>61</v>
      </c>
      <c r="B3866">
        <v>73.445722122191995</v>
      </c>
      <c r="C3866" s="1">
        <v>43190</v>
      </c>
    </row>
    <row r="3867" spans="1:3">
      <c r="A3867" t="s">
        <v>63</v>
      </c>
      <c r="B3867">
        <v>26.401097162006</v>
      </c>
      <c r="C3867" s="1">
        <v>43190</v>
      </c>
    </row>
    <row r="3868" spans="1:3">
      <c r="A3868" t="s">
        <v>65</v>
      </c>
      <c r="B3868">
        <v>0.97816225339700003</v>
      </c>
      <c r="C3868" s="1">
        <v>43190</v>
      </c>
    </row>
    <row r="3869" spans="1:3">
      <c r="A3869" t="s">
        <v>67</v>
      </c>
      <c r="B3869">
        <v>14.38970355515</v>
      </c>
      <c r="C3869" s="1">
        <v>43190</v>
      </c>
    </row>
    <row r="3870" spans="1:3">
      <c r="A3870" t="s">
        <v>69</v>
      </c>
      <c r="B3870">
        <v>9.0752189048989997</v>
      </c>
      <c r="C3870" s="1">
        <v>43190</v>
      </c>
    </row>
    <row r="3871" spans="1:3">
      <c r="A3871" t="s">
        <v>71</v>
      </c>
      <c r="B3871">
        <v>1.334317966023</v>
      </c>
      <c r="C3871" s="1">
        <v>43190</v>
      </c>
    </row>
    <row r="3872" spans="1:3">
      <c r="A3872" t="s">
        <v>73</v>
      </c>
      <c r="B3872">
        <v>2.3631184724000001</v>
      </c>
      <c r="C3872" s="1">
        <v>43190</v>
      </c>
    </row>
    <row r="3873" spans="1:3">
      <c r="A3873" t="s">
        <v>75</v>
      </c>
      <c r="B3873">
        <v>0.41185779090399999</v>
      </c>
      <c r="C3873" s="1">
        <v>43190</v>
      </c>
    </row>
    <row r="3874" spans="1:3">
      <c r="A3874" t="s">
        <v>77</v>
      </c>
      <c r="B3874">
        <v>2.397721278603</v>
      </c>
      <c r="C3874" s="1">
        <v>43190</v>
      </c>
    </row>
    <row r="3875" spans="1:3">
      <c r="A3875" t="s">
        <v>79</v>
      </c>
      <c r="B3875">
        <v>9.460069627547</v>
      </c>
      <c r="C3875" s="1">
        <v>43190</v>
      </c>
    </row>
    <row r="3876" spans="1:3">
      <c r="A3876" t="s">
        <v>81</v>
      </c>
      <c r="B3876">
        <v>13.082392657383</v>
      </c>
      <c r="C3876" s="1">
        <v>43190</v>
      </c>
    </row>
    <row r="3877" spans="1:3">
      <c r="A3877" t="s">
        <v>83</v>
      </c>
      <c r="B3877">
        <v>0.72581495937999996</v>
      </c>
      <c r="C3877" s="1">
        <v>43190</v>
      </c>
    </row>
    <row r="3878" spans="1:3">
      <c r="A3878" t="s">
        <v>85</v>
      </c>
      <c r="B3878">
        <v>9.1334528958260002</v>
      </c>
      <c r="C3878" s="1">
        <v>43190</v>
      </c>
    </row>
    <row r="3879" spans="1:3">
      <c r="A3879" t="s">
        <v>87</v>
      </c>
      <c r="B3879">
        <v>21.897668530318001</v>
      </c>
      <c r="C3879" s="1">
        <v>43190</v>
      </c>
    </row>
    <row r="3880" spans="1:3">
      <c r="A3880" t="s">
        <v>89</v>
      </c>
      <c r="B3880">
        <v>12.1531807152</v>
      </c>
      <c r="C3880" s="1">
        <v>43190</v>
      </c>
    </row>
    <row r="3881" spans="1:3">
      <c r="A3881" t="s">
        <v>91</v>
      </c>
      <c r="B3881">
        <v>27.514294756683</v>
      </c>
      <c r="C3881" s="1">
        <v>43190</v>
      </c>
    </row>
    <row r="3882" spans="1:3">
      <c r="A3882" t="s">
        <v>93</v>
      </c>
      <c r="B3882">
        <v>40.781517037443002</v>
      </c>
      <c r="C3882" s="1">
        <v>43190</v>
      </c>
    </row>
    <row r="3883" spans="1:3">
      <c r="A3883" t="s">
        <v>95</v>
      </c>
      <c r="B3883">
        <v>1.1613039350080001</v>
      </c>
      <c r="C3883" s="1">
        <v>43190</v>
      </c>
    </row>
    <row r="3884" spans="1:3">
      <c r="A3884" t="s">
        <v>97</v>
      </c>
      <c r="B3884">
        <v>12.5751661567</v>
      </c>
      <c r="C3884" s="1">
        <v>43190</v>
      </c>
    </row>
    <row r="3885" spans="1:3">
      <c r="A3885" t="s">
        <v>99</v>
      </c>
      <c r="B3885">
        <v>6.9627597847500002</v>
      </c>
      <c r="C3885" s="1">
        <v>43190</v>
      </c>
    </row>
    <row r="3886" spans="1:3">
      <c r="A3886" t="s">
        <v>101</v>
      </c>
      <c r="B3886">
        <v>13.820023209125001</v>
      </c>
      <c r="C3886" s="1">
        <v>43190</v>
      </c>
    </row>
    <row r="3887" spans="1:3">
      <c r="A3887" t="s">
        <v>103</v>
      </c>
      <c r="B3887">
        <v>1.5191475893999999</v>
      </c>
      <c r="C3887" s="1">
        <v>43190</v>
      </c>
    </row>
    <row r="3888" spans="1:3">
      <c r="A3888" t="s">
        <v>105</v>
      </c>
      <c r="B3888">
        <v>0.66251714315499999</v>
      </c>
      <c r="C3888" s="1">
        <v>43190</v>
      </c>
    </row>
    <row r="3889" spans="1:3">
      <c r="A3889" t="s">
        <v>107</v>
      </c>
      <c r="B3889">
        <v>4.8317333051749998</v>
      </c>
      <c r="C3889" s="1">
        <v>43190</v>
      </c>
    </row>
    <row r="3890" spans="1:3">
      <c r="A3890" t="s">
        <v>109</v>
      </c>
      <c r="B3890">
        <v>2.3740900938789999</v>
      </c>
      <c r="C3890" s="1">
        <v>43190</v>
      </c>
    </row>
    <row r="3891" spans="1:3">
      <c r="A3891" t="s">
        <v>111</v>
      </c>
      <c r="B3891">
        <v>9.7478636986500007</v>
      </c>
      <c r="C3891" s="1">
        <v>43190</v>
      </c>
    </row>
    <row r="3892" spans="1:3">
      <c r="A3892" t="s">
        <v>113</v>
      </c>
      <c r="B3892">
        <v>18.883848507124998</v>
      </c>
      <c r="C3892" s="1">
        <v>43190</v>
      </c>
    </row>
    <row r="3893" spans="1:3">
      <c r="A3893" t="s">
        <v>115</v>
      </c>
      <c r="B3893">
        <v>5.0638252980000003</v>
      </c>
      <c r="C3893" s="1">
        <v>43190</v>
      </c>
    </row>
    <row r="3894" spans="1:3">
      <c r="A3894" t="s">
        <v>117</v>
      </c>
      <c r="B3894">
        <v>5.7845764320819999</v>
      </c>
      <c r="C3894" s="1">
        <v>43190</v>
      </c>
    </row>
    <row r="3895" spans="1:3">
      <c r="A3895" t="s">
        <v>119</v>
      </c>
      <c r="B3895">
        <v>23.888595843314999</v>
      </c>
      <c r="C3895" s="1">
        <v>43190</v>
      </c>
    </row>
    <row r="3896" spans="1:3">
      <c r="A3896" t="s">
        <v>121</v>
      </c>
      <c r="B3896">
        <v>18.736153602600002</v>
      </c>
      <c r="C3896" s="1">
        <v>43190</v>
      </c>
    </row>
    <row r="3897" spans="1:3">
      <c r="A3897" t="s">
        <v>123</v>
      </c>
      <c r="B3897">
        <v>7.1990716319899999</v>
      </c>
      <c r="C3897" s="1">
        <v>43190</v>
      </c>
    </row>
    <row r="3898" spans="1:3">
      <c r="A3898" t="s">
        <v>125</v>
      </c>
      <c r="B3898">
        <v>244.06287582947201</v>
      </c>
      <c r="C3898" s="1">
        <v>43190</v>
      </c>
    </row>
    <row r="3899" spans="1:3">
      <c r="A3899" t="s">
        <v>127</v>
      </c>
      <c r="B3899">
        <v>10.044941449466</v>
      </c>
      <c r="C3899" s="1">
        <v>43190</v>
      </c>
    </row>
    <row r="3900" spans="1:3">
      <c r="A3900" t="s">
        <v>129</v>
      </c>
      <c r="B3900">
        <v>5.6461652072700002</v>
      </c>
      <c r="C3900" s="1">
        <v>43190</v>
      </c>
    </row>
    <row r="3901" spans="1:3">
      <c r="A3901" t="s">
        <v>131</v>
      </c>
      <c r="B3901">
        <v>1.75545943664</v>
      </c>
      <c r="C3901" s="1">
        <v>43190</v>
      </c>
    </row>
    <row r="3902" spans="1:3">
      <c r="A3902" t="s">
        <v>134</v>
      </c>
      <c r="B3902">
        <v>3.0484228293959998</v>
      </c>
      <c r="C3902" s="1">
        <v>43190</v>
      </c>
    </row>
    <row r="3903" spans="1:3">
      <c r="A3903" t="s">
        <v>136</v>
      </c>
      <c r="B3903">
        <v>21.317016562814</v>
      </c>
      <c r="C3903" s="1">
        <v>43190</v>
      </c>
    </row>
    <row r="3904" spans="1:3">
      <c r="A3904" t="s">
        <v>138</v>
      </c>
      <c r="B3904">
        <v>18.913387488030001</v>
      </c>
      <c r="C3904" s="1">
        <v>43190</v>
      </c>
    </row>
    <row r="3905" spans="1:3">
      <c r="A3905" t="s">
        <v>140</v>
      </c>
      <c r="B3905">
        <v>15.369553750313001</v>
      </c>
      <c r="C3905" s="1">
        <v>43190</v>
      </c>
    </row>
    <row r="3906" spans="1:3">
      <c r="A3906" t="s">
        <v>142</v>
      </c>
      <c r="B3906">
        <v>7.7881633083240001</v>
      </c>
      <c r="C3906" s="1">
        <v>43190</v>
      </c>
    </row>
    <row r="3907" spans="1:3">
      <c r="A3907" t="s">
        <v>144</v>
      </c>
      <c r="B3907">
        <v>6.2858951365840001</v>
      </c>
      <c r="C3907" s="1">
        <v>43190</v>
      </c>
    </row>
    <row r="3908" spans="1:3">
      <c r="A3908" t="s">
        <v>146</v>
      </c>
      <c r="B3908">
        <v>6.4310581284600001</v>
      </c>
      <c r="C3908" s="1">
        <v>43190</v>
      </c>
    </row>
    <row r="3909" spans="1:3">
      <c r="A3909" t="s">
        <v>148</v>
      </c>
      <c r="B3909">
        <v>18.455955269444001</v>
      </c>
      <c r="C3909" s="1">
        <v>43190</v>
      </c>
    </row>
    <row r="3910" spans="1:3">
      <c r="A3910" t="s">
        <v>150</v>
      </c>
      <c r="B3910">
        <v>9.3528853254059996</v>
      </c>
      <c r="C3910" s="1">
        <v>43190</v>
      </c>
    </row>
    <row r="3911" spans="1:3">
      <c r="A3911" t="s">
        <v>152</v>
      </c>
      <c r="B3911">
        <v>9.4963603755159998</v>
      </c>
      <c r="C3911" s="1">
        <v>43190</v>
      </c>
    </row>
    <row r="3912" spans="1:3">
      <c r="A3912" t="s">
        <v>154</v>
      </c>
      <c r="B3912">
        <v>31.395716847599999</v>
      </c>
      <c r="C3912" s="1">
        <v>43190</v>
      </c>
    </row>
    <row r="3913" spans="1:3">
      <c r="A3913" t="s">
        <v>156</v>
      </c>
      <c r="B3913">
        <v>34.031437915208997</v>
      </c>
      <c r="C3913" s="1">
        <v>43190</v>
      </c>
    </row>
    <row r="3914" spans="1:3">
      <c r="A3914" t="s">
        <v>158</v>
      </c>
      <c r="B3914">
        <v>27.344656609200001</v>
      </c>
      <c r="C3914" s="1">
        <v>43190</v>
      </c>
    </row>
    <row r="3915" spans="1:3">
      <c r="A3915" t="s">
        <v>160</v>
      </c>
      <c r="B3915">
        <v>24.098744593182001</v>
      </c>
      <c r="C3915" s="1">
        <v>43190</v>
      </c>
    </row>
    <row r="3916" spans="1:3">
      <c r="A3916" t="s">
        <v>162</v>
      </c>
      <c r="B3916">
        <v>1.9867074585819999</v>
      </c>
      <c r="C3916" s="1">
        <v>43190</v>
      </c>
    </row>
    <row r="3917" spans="1:3">
      <c r="A3917" t="s">
        <v>164</v>
      </c>
      <c r="B3917">
        <v>4.049372296634</v>
      </c>
      <c r="C3917" s="1">
        <v>43190</v>
      </c>
    </row>
    <row r="3918" spans="1:3">
      <c r="A3918" t="s">
        <v>166</v>
      </c>
      <c r="B3918">
        <v>14.014980483098</v>
      </c>
      <c r="C3918" s="1">
        <v>43190</v>
      </c>
    </row>
    <row r="3919" spans="1:3">
      <c r="A3919" t="s">
        <v>168</v>
      </c>
      <c r="B3919">
        <v>8.5578647536200005</v>
      </c>
      <c r="C3919" s="1">
        <v>43190</v>
      </c>
    </row>
    <row r="3920" spans="1:3">
      <c r="A3920" t="s">
        <v>8</v>
      </c>
      <c r="B3920">
        <v>27.864223490541601</v>
      </c>
      <c r="C3920" s="1">
        <v>43220</v>
      </c>
    </row>
    <row r="3921" spans="1:3">
      <c r="A3921" t="s">
        <v>11</v>
      </c>
      <c r="B3921">
        <v>55.048362871740899</v>
      </c>
      <c r="C3921" s="1">
        <v>43220</v>
      </c>
    </row>
    <row r="3922" spans="1:3">
      <c r="A3922" t="s">
        <v>14</v>
      </c>
      <c r="B3922">
        <v>7.9799739661571198</v>
      </c>
      <c r="C3922" s="1">
        <v>43220</v>
      </c>
    </row>
    <row r="3923" spans="1:3">
      <c r="A3923" t="s">
        <v>17</v>
      </c>
      <c r="B3923">
        <v>9.52277961349888</v>
      </c>
      <c r="C3923" s="1">
        <v>43220</v>
      </c>
    </row>
    <row r="3924" spans="1:3">
      <c r="A3924" t="s">
        <v>20</v>
      </c>
      <c r="B3924">
        <v>1.5420046059879999</v>
      </c>
      <c r="C3924" s="1">
        <v>43220</v>
      </c>
    </row>
    <row r="3925" spans="1:3">
      <c r="A3925" t="s">
        <v>24</v>
      </c>
      <c r="B3925">
        <v>2.6995093621712001</v>
      </c>
      <c r="C3925" s="1">
        <v>43220</v>
      </c>
    </row>
    <row r="3926" spans="1:3">
      <c r="A3926" t="s">
        <v>27</v>
      </c>
      <c r="B3926">
        <v>23.726043857017402</v>
      </c>
      <c r="C3926" s="1">
        <v>43220</v>
      </c>
    </row>
    <row r="3927" spans="1:3">
      <c r="A3927" t="s">
        <v>29</v>
      </c>
      <c r="B3927">
        <v>2.3630719935919999</v>
      </c>
      <c r="C3927" s="1">
        <v>43220</v>
      </c>
    </row>
    <row r="3928" spans="1:3">
      <c r="A3928" t="s">
        <v>32</v>
      </c>
      <c r="B3928">
        <v>12.4938419945947</v>
      </c>
      <c r="C3928" s="1">
        <v>43220</v>
      </c>
    </row>
    <row r="3929" spans="1:3">
      <c r="A3929" t="s">
        <v>35</v>
      </c>
      <c r="B3929">
        <v>5.4470812055679998</v>
      </c>
      <c r="C3929" s="1">
        <v>43220</v>
      </c>
    </row>
    <row r="3930" spans="1:3">
      <c r="A3930" t="s">
        <v>37</v>
      </c>
      <c r="B3930">
        <v>0.99569440272368004</v>
      </c>
      <c r="C3930" s="1">
        <v>43220</v>
      </c>
    </row>
    <row r="3931" spans="1:3">
      <c r="A3931" t="s">
        <v>39</v>
      </c>
      <c r="B3931">
        <v>1.6581556022832</v>
      </c>
      <c r="C3931" s="1">
        <v>43220</v>
      </c>
    </row>
    <row r="3932" spans="1:3">
      <c r="A3932" t="s">
        <v>42</v>
      </c>
      <c r="B3932">
        <v>2.4632021628120002</v>
      </c>
      <c r="C3932" s="1">
        <v>43220</v>
      </c>
    </row>
    <row r="3933" spans="1:3">
      <c r="A3933" t="s">
        <v>44</v>
      </c>
      <c r="B3933">
        <v>8.9155902673488008</v>
      </c>
      <c r="C3933" s="1">
        <v>43220</v>
      </c>
    </row>
    <row r="3934" spans="1:3">
      <c r="A3934" t="s">
        <v>47</v>
      </c>
      <c r="B3934">
        <v>15.6619605487155</v>
      </c>
      <c r="C3934" s="1">
        <v>43220</v>
      </c>
    </row>
    <row r="3935" spans="1:3">
      <c r="A3935" t="s">
        <v>49</v>
      </c>
      <c r="B3935">
        <v>16.938019425255199</v>
      </c>
      <c r="C3935" s="1">
        <v>43220</v>
      </c>
    </row>
    <row r="3936" spans="1:3">
      <c r="A3936" t="s">
        <v>51</v>
      </c>
      <c r="B3936">
        <v>1.8023430459600001</v>
      </c>
      <c r="C3936" s="1">
        <v>43220</v>
      </c>
    </row>
    <row r="3937" spans="1:3">
      <c r="A3937" t="s">
        <v>53</v>
      </c>
      <c r="B3937">
        <v>1.2832682487235201</v>
      </c>
      <c r="C3937" s="1">
        <v>43220</v>
      </c>
    </row>
    <row r="3938" spans="1:3">
      <c r="A3938" t="s">
        <v>55</v>
      </c>
      <c r="B3938">
        <v>5.9421247621916802</v>
      </c>
      <c r="C3938" s="1">
        <v>43220</v>
      </c>
    </row>
    <row r="3939" spans="1:3">
      <c r="A3939" t="s">
        <v>57</v>
      </c>
      <c r="B3939">
        <v>4.55151697206432</v>
      </c>
      <c r="C3939" s="1">
        <v>43220</v>
      </c>
    </row>
    <row r="3940" spans="1:3">
      <c r="A3940" t="s">
        <v>59</v>
      </c>
      <c r="B3940">
        <v>5.4270551717239996</v>
      </c>
      <c r="C3940" s="1">
        <v>43220</v>
      </c>
    </row>
    <row r="3941" spans="1:3">
      <c r="A3941" t="s">
        <v>61</v>
      </c>
      <c r="B3941">
        <v>71.222188845509095</v>
      </c>
      <c r="C3941" s="1">
        <v>43220</v>
      </c>
    </row>
    <row r="3942" spans="1:3">
      <c r="A3942" t="s">
        <v>63</v>
      </c>
      <c r="B3942">
        <v>24.616801842398502</v>
      </c>
      <c r="C3942" s="1">
        <v>43220</v>
      </c>
    </row>
    <row r="3943" spans="1:3">
      <c r="A3943" t="s">
        <v>65</v>
      </c>
      <c r="B3943">
        <v>0.95964754180447998</v>
      </c>
      <c r="C3943" s="1">
        <v>43220</v>
      </c>
    </row>
    <row r="3944" spans="1:3">
      <c r="A3944" t="s">
        <v>67</v>
      </c>
      <c r="B3944">
        <v>13.878041453891999</v>
      </c>
      <c r="C3944" s="1">
        <v>43220</v>
      </c>
    </row>
    <row r="3945" spans="1:3">
      <c r="A3945" t="s">
        <v>69</v>
      </c>
      <c r="B3945">
        <v>8.2106738760399995</v>
      </c>
      <c r="C3945" s="1">
        <v>43220</v>
      </c>
    </row>
    <row r="3946" spans="1:3">
      <c r="A3946" t="s">
        <v>71</v>
      </c>
      <c r="B3946">
        <v>1.3064984479825501</v>
      </c>
      <c r="C3946" s="1">
        <v>43220</v>
      </c>
    </row>
    <row r="3947" spans="1:3">
      <c r="A3947" t="s">
        <v>73</v>
      </c>
      <c r="B3947">
        <v>2.4824271553022399</v>
      </c>
      <c r="C3947" s="1">
        <v>43220</v>
      </c>
    </row>
    <row r="3948" spans="1:3">
      <c r="A3948" t="s">
        <v>75</v>
      </c>
      <c r="B3948">
        <v>0.38289776709728002</v>
      </c>
      <c r="C3948" s="1">
        <v>43220</v>
      </c>
    </row>
    <row r="3949" spans="1:3">
      <c r="A3949" t="s">
        <v>77</v>
      </c>
      <c r="B3949">
        <v>2.3310303394415999</v>
      </c>
      <c r="C3949" s="1">
        <v>43220</v>
      </c>
    </row>
    <row r="3950" spans="1:3">
      <c r="A3950" t="s">
        <v>79</v>
      </c>
      <c r="B3950">
        <v>8.9316110944239995</v>
      </c>
      <c r="C3950" s="1">
        <v>43220</v>
      </c>
    </row>
    <row r="3951" spans="1:3">
      <c r="A3951" t="s">
        <v>81</v>
      </c>
      <c r="B3951">
        <v>12.758185641335499</v>
      </c>
      <c r="C3951" s="1">
        <v>43220</v>
      </c>
    </row>
    <row r="3952" spans="1:3">
      <c r="A3952" t="s">
        <v>83</v>
      </c>
      <c r="B3952">
        <v>0.70571743266256004</v>
      </c>
      <c r="C3952" s="1">
        <v>43220</v>
      </c>
    </row>
    <row r="3953" spans="1:3">
      <c r="A3953" t="s">
        <v>85</v>
      </c>
      <c r="B3953">
        <v>9.1318714328639992</v>
      </c>
      <c r="C3953" s="1">
        <v>43220</v>
      </c>
    </row>
    <row r="3954" spans="1:3">
      <c r="A3954" t="s">
        <v>87</v>
      </c>
      <c r="B3954">
        <v>21.561630119157901</v>
      </c>
      <c r="C3954" s="1">
        <v>43220</v>
      </c>
    </row>
    <row r="3955" spans="1:3">
      <c r="A3955" t="s">
        <v>89</v>
      </c>
      <c r="B3955">
        <v>11.7680985280881</v>
      </c>
      <c r="C3955" s="1">
        <v>43220</v>
      </c>
    </row>
    <row r="3956" spans="1:3">
      <c r="A3956" t="s">
        <v>91</v>
      </c>
      <c r="B3956">
        <v>25.633323320319999</v>
      </c>
      <c r="C3956" s="1">
        <v>43220</v>
      </c>
    </row>
    <row r="3957" spans="1:3">
      <c r="A3957" t="s">
        <v>93</v>
      </c>
      <c r="B3957">
        <v>34.845298888560002</v>
      </c>
      <c r="C3957" s="1">
        <v>43220</v>
      </c>
    </row>
    <row r="3958" spans="1:3">
      <c r="A3958" t="s">
        <v>95</v>
      </c>
      <c r="B3958">
        <v>1.15189746670688</v>
      </c>
      <c r="C3958" s="1">
        <v>43220</v>
      </c>
    </row>
    <row r="3959" spans="1:3">
      <c r="A3959" t="s">
        <v>97</v>
      </c>
      <c r="B3959">
        <v>11.494142385102201</v>
      </c>
      <c r="C3959" s="1">
        <v>43220</v>
      </c>
    </row>
    <row r="3960" spans="1:3">
      <c r="A3960" t="s">
        <v>99</v>
      </c>
      <c r="B3960">
        <v>6.6085911685200003</v>
      </c>
      <c r="C3960" s="1">
        <v>43220</v>
      </c>
    </row>
    <row r="3961" spans="1:3">
      <c r="A3961" t="s">
        <v>101</v>
      </c>
      <c r="B3961">
        <v>12.895163712828399</v>
      </c>
      <c r="C3961" s="1">
        <v>43220</v>
      </c>
    </row>
    <row r="3962" spans="1:3">
      <c r="A3962" t="s">
        <v>103</v>
      </c>
      <c r="B3962">
        <v>1.4578952638431999</v>
      </c>
      <c r="C3962" s="1">
        <v>43220</v>
      </c>
    </row>
    <row r="3963" spans="1:3">
      <c r="A3963" t="s">
        <v>105</v>
      </c>
      <c r="B3963">
        <v>0.70091118454000001</v>
      </c>
      <c r="C3963" s="1">
        <v>43220</v>
      </c>
    </row>
    <row r="3964" spans="1:3">
      <c r="A3964" t="s">
        <v>107</v>
      </c>
      <c r="B3964">
        <v>4.53469510363536</v>
      </c>
      <c r="C3964" s="1">
        <v>43220</v>
      </c>
    </row>
    <row r="3965" spans="1:3">
      <c r="A3965" t="s">
        <v>109</v>
      </c>
      <c r="B3965">
        <v>2.0666866927008001</v>
      </c>
      <c r="C3965" s="1">
        <v>43220</v>
      </c>
    </row>
    <row r="3966" spans="1:3">
      <c r="A3966" t="s">
        <v>111</v>
      </c>
      <c r="B3966">
        <v>9.4386702713540807</v>
      </c>
      <c r="C3966" s="1">
        <v>43220</v>
      </c>
    </row>
    <row r="3967" spans="1:3">
      <c r="A3967" t="s">
        <v>113</v>
      </c>
      <c r="B3967">
        <v>17.222389105840001</v>
      </c>
      <c r="C3967" s="1">
        <v>43220</v>
      </c>
    </row>
    <row r="3968" spans="1:3">
      <c r="A3968" t="s">
        <v>115</v>
      </c>
      <c r="B3968">
        <v>5.1466906979080003</v>
      </c>
      <c r="C3968" s="1">
        <v>43220</v>
      </c>
    </row>
    <row r="3969" spans="1:3">
      <c r="A3969" t="s">
        <v>117</v>
      </c>
      <c r="B3969">
        <v>6.4427756082916803</v>
      </c>
      <c r="C3969" s="1">
        <v>43220</v>
      </c>
    </row>
    <row r="3970" spans="1:3">
      <c r="A3970" t="s">
        <v>119</v>
      </c>
      <c r="B3970">
        <v>21.511164513871002</v>
      </c>
      <c r="C3970" s="1">
        <v>43220</v>
      </c>
    </row>
    <row r="3971" spans="1:3">
      <c r="A3971" t="s">
        <v>121</v>
      </c>
      <c r="B3971">
        <v>18.0002002603409</v>
      </c>
      <c r="C3971" s="1">
        <v>43220</v>
      </c>
    </row>
    <row r="3972" spans="1:3">
      <c r="A3972" t="s">
        <v>123</v>
      </c>
      <c r="B3972">
        <v>6.3450485631329601</v>
      </c>
      <c r="C3972" s="1">
        <v>43220</v>
      </c>
    </row>
    <row r="3973" spans="1:3">
      <c r="A3973" t="s">
        <v>125</v>
      </c>
      <c r="B3973">
        <v>245.073795934749</v>
      </c>
      <c r="C3973" s="1">
        <v>43220</v>
      </c>
    </row>
    <row r="3974" spans="1:3">
      <c r="A3974" t="s">
        <v>127</v>
      </c>
      <c r="B3974">
        <v>10.0322419144902</v>
      </c>
      <c r="C3974" s="1">
        <v>43220</v>
      </c>
    </row>
    <row r="3975" spans="1:3">
      <c r="A3975" t="s">
        <v>129</v>
      </c>
      <c r="B3975">
        <v>5.36377290477696</v>
      </c>
      <c r="C3975" s="1">
        <v>43220</v>
      </c>
    </row>
    <row r="3976" spans="1:3">
      <c r="A3976" t="s">
        <v>131</v>
      </c>
      <c r="B3976">
        <v>1.6917993391411199</v>
      </c>
      <c r="C3976" s="1">
        <v>43220</v>
      </c>
    </row>
    <row r="3977" spans="1:3">
      <c r="A3977" t="s">
        <v>134</v>
      </c>
      <c r="B3977">
        <v>2.9662561329732799</v>
      </c>
      <c r="C3977" s="1">
        <v>43220</v>
      </c>
    </row>
    <row r="3978" spans="1:3">
      <c r="A3978" t="s">
        <v>136</v>
      </c>
      <c r="B3978">
        <v>19.945929708624</v>
      </c>
      <c r="C3978" s="1">
        <v>43220</v>
      </c>
    </row>
    <row r="3979" spans="1:3">
      <c r="A3979" t="s">
        <v>138</v>
      </c>
      <c r="B3979">
        <v>19.635926704718798</v>
      </c>
      <c r="C3979" s="1">
        <v>43220</v>
      </c>
    </row>
    <row r="3980" spans="1:3">
      <c r="A3980" t="s">
        <v>140</v>
      </c>
      <c r="B3980">
        <v>17.116651647143598</v>
      </c>
      <c r="C3980" s="1">
        <v>43220</v>
      </c>
    </row>
    <row r="3981" spans="1:3">
      <c r="A3981" t="s">
        <v>142</v>
      </c>
      <c r="B3981">
        <v>7.8878542104747202</v>
      </c>
      <c r="C3981" s="1">
        <v>43220</v>
      </c>
    </row>
    <row r="3982" spans="1:3">
      <c r="A3982" t="s">
        <v>144</v>
      </c>
      <c r="B3982">
        <v>6.2481225593280003</v>
      </c>
      <c r="C3982" s="1">
        <v>43220</v>
      </c>
    </row>
    <row r="3983" spans="1:3">
      <c r="A3983" t="s">
        <v>146</v>
      </c>
      <c r="B3983">
        <v>6.4003204165424004</v>
      </c>
      <c r="C3983" s="1">
        <v>43220</v>
      </c>
    </row>
    <row r="3984" spans="1:3">
      <c r="A3984" t="s">
        <v>148</v>
      </c>
      <c r="B3984">
        <v>17.1679182937843</v>
      </c>
      <c r="C3984" s="1">
        <v>43220</v>
      </c>
    </row>
    <row r="3985" spans="1:3">
      <c r="A3985" t="s">
        <v>150</v>
      </c>
      <c r="B3985">
        <v>9.1326724742177596</v>
      </c>
      <c r="C3985" s="1">
        <v>43220</v>
      </c>
    </row>
    <row r="3986" spans="1:3">
      <c r="A3986" t="s">
        <v>152</v>
      </c>
      <c r="B3986">
        <v>8.9996996094936001</v>
      </c>
      <c r="C3986" s="1">
        <v>43220</v>
      </c>
    </row>
    <row r="3987" spans="1:3">
      <c r="A3987" t="s">
        <v>154</v>
      </c>
      <c r="B3987">
        <v>31.160508661264</v>
      </c>
      <c r="C3987" s="1">
        <v>43220</v>
      </c>
    </row>
    <row r="3988" spans="1:3">
      <c r="A3988" t="s">
        <v>156</v>
      </c>
      <c r="B3988">
        <v>35.884249524386703</v>
      </c>
      <c r="C3988" s="1">
        <v>43220</v>
      </c>
    </row>
    <row r="3989" spans="1:3">
      <c r="A3989" t="s">
        <v>158</v>
      </c>
      <c r="B3989">
        <v>26.941423851010001</v>
      </c>
      <c r="C3989" s="1">
        <v>43220</v>
      </c>
    </row>
    <row r="3990" spans="1:3">
      <c r="A3990" t="s">
        <v>160</v>
      </c>
      <c r="B3990">
        <v>23.828577150298699</v>
      </c>
      <c r="C3990" s="1">
        <v>43220</v>
      </c>
    </row>
    <row r="3991" spans="1:3">
      <c r="A3991" t="s">
        <v>162</v>
      </c>
      <c r="B3991">
        <v>1.7895263842998399</v>
      </c>
      <c r="C3991" s="1">
        <v>43220</v>
      </c>
    </row>
    <row r="3992" spans="1:3">
      <c r="A3992" t="s">
        <v>164</v>
      </c>
      <c r="B3992">
        <v>3.7544808250731201</v>
      </c>
      <c r="C3992" s="1">
        <v>43220</v>
      </c>
    </row>
    <row r="3993" spans="1:3">
      <c r="A3993" t="s">
        <v>166</v>
      </c>
      <c r="B3993">
        <v>13.5488134574966</v>
      </c>
      <c r="C3993" s="1">
        <v>43220</v>
      </c>
    </row>
    <row r="3994" spans="1:3">
      <c r="A3994" t="s">
        <v>168</v>
      </c>
      <c r="B3994">
        <v>8.2018624211486397</v>
      </c>
      <c r="C3994" s="1">
        <v>43220</v>
      </c>
    </row>
    <row r="3995" spans="1:3">
      <c r="A3995" t="s">
        <v>8</v>
      </c>
      <c r="B3995">
        <v>27.789182787319898</v>
      </c>
      <c r="C3995" s="1">
        <v>43251</v>
      </c>
    </row>
    <row r="3996" spans="1:3">
      <c r="A3996" t="s">
        <v>11</v>
      </c>
      <c r="B3996">
        <v>51.200947493295999</v>
      </c>
      <c r="C3996" s="1">
        <v>43251</v>
      </c>
    </row>
    <row r="3997" spans="1:3">
      <c r="A3997" t="s">
        <v>14</v>
      </c>
      <c r="B3997">
        <v>7.36675878408</v>
      </c>
      <c r="C3997" s="1">
        <v>43251</v>
      </c>
    </row>
    <row r="3998" spans="1:3">
      <c r="A3998" t="s">
        <v>17</v>
      </c>
      <c r="B3998">
        <v>9.2072641137360005</v>
      </c>
      <c r="C3998" s="1">
        <v>43251</v>
      </c>
    </row>
    <row r="3999" spans="1:3">
      <c r="A3999" t="s">
        <v>20</v>
      </c>
      <c r="B3999">
        <v>1.4488748519600001</v>
      </c>
      <c r="C3999" s="1">
        <v>43251</v>
      </c>
    </row>
    <row r="4000" spans="1:3">
      <c r="A4000" t="s">
        <v>24</v>
      </c>
      <c r="B4000">
        <v>2.3900513225519999</v>
      </c>
      <c r="C4000" s="1">
        <v>43251</v>
      </c>
    </row>
    <row r="4001" spans="1:3">
      <c r="A4001" t="s">
        <v>27</v>
      </c>
      <c r="B4001">
        <v>23.885511251575998</v>
      </c>
      <c r="C4001" s="1">
        <v>43251</v>
      </c>
    </row>
    <row r="4002" spans="1:3">
      <c r="A4002" t="s">
        <v>29</v>
      </c>
      <c r="B4002">
        <v>2.2502960916000001</v>
      </c>
      <c r="C4002" s="1">
        <v>43251</v>
      </c>
    </row>
    <row r="4003" spans="1:3">
      <c r="A4003" t="s">
        <v>32</v>
      </c>
      <c r="B4003">
        <v>11.330438215599999</v>
      </c>
      <c r="C4003" s="1">
        <v>43251</v>
      </c>
    </row>
    <row r="4004" spans="1:3">
      <c r="A4004" t="s">
        <v>35</v>
      </c>
      <c r="B4004">
        <v>5.1630477694639998</v>
      </c>
      <c r="C4004" s="1">
        <v>43251</v>
      </c>
    </row>
    <row r="4005" spans="1:3">
      <c r="A4005" t="s">
        <v>37</v>
      </c>
      <c r="B4005">
        <v>0.93170153968000002</v>
      </c>
      <c r="C4005" s="1">
        <v>43251</v>
      </c>
    </row>
    <row r="4006" spans="1:3">
      <c r="A4006" t="s">
        <v>39</v>
      </c>
      <c r="B4006">
        <v>1.783655744184</v>
      </c>
      <c r="C4006" s="1">
        <v>43251</v>
      </c>
    </row>
    <row r="4007" spans="1:3">
      <c r="A4007" t="s">
        <v>42</v>
      </c>
      <c r="B4007">
        <v>2.212396367952</v>
      </c>
      <c r="C4007" s="1">
        <v>43251</v>
      </c>
    </row>
    <row r="4008" spans="1:3">
      <c r="A4008" t="s">
        <v>44</v>
      </c>
      <c r="B4008">
        <v>9.8973549151599993</v>
      </c>
      <c r="C4008" s="1">
        <v>43251</v>
      </c>
    </row>
    <row r="4009" spans="1:3">
      <c r="A4009" t="s">
        <v>47</v>
      </c>
      <c r="B4009">
        <v>14.331622581975999</v>
      </c>
      <c r="C4009" s="1">
        <v>43251</v>
      </c>
    </row>
    <row r="4010" spans="1:3">
      <c r="A4010" t="s">
        <v>49</v>
      </c>
      <c r="B4010">
        <v>15.2191077774</v>
      </c>
      <c r="C4010" s="1">
        <v>43251</v>
      </c>
    </row>
    <row r="4011" spans="1:3">
      <c r="A4011" t="s">
        <v>51</v>
      </c>
      <c r="B4011">
        <v>1.726806158712</v>
      </c>
      <c r="C4011" s="1">
        <v>43251</v>
      </c>
    </row>
    <row r="4012" spans="1:3">
      <c r="A4012" t="s">
        <v>53</v>
      </c>
      <c r="B4012">
        <v>1.21594946704</v>
      </c>
      <c r="C4012" s="1">
        <v>43251</v>
      </c>
    </row>
    <row r="4013" spans="1:3">
      <c r="A4013" t="s">
        <v>55</v>
      </c>
      <c r="B4013">
        <v>4.9356494275760001</v>
      </c>
      <c r="C4013" s="1">
        <v>43251</v>
      </c>
    </row>
    <row r="4014" spans="1:3">
      <c r="A4014" t="s">
        <v>57</v>
      </c>
      <c r="B4014">
        <v>4.0931701539840004</v>
      </c>
      <c r="C4014" s="1">
        <v>43251</v>
      </c>
    </row>
    <row r="4015" spans="1:3">
      <c r="A4015" t="s">
        <v>59</v>
      </c>
      <c r="B4015">
        <v>4.5132254244159897</v>
      </c>
      <c r="C4015" s="1">
        <v>43251</v>
      </c>
    </row>
    <row r="4016" spans="1:3">
      <c r="A4016" t="s">
        <v>61</v>
      </c>
      <c r="B4016">
        <v>69.043821555744003</v>
      </c>
      <c r="C4016" s="1">
        <v>43251</v>
      </c>
    </row>
    <row r="4017" spans="1:3">
      <c r="A4017" t="s">
        <v>63</v>
      </c>
      <c r="B4017">
        <v>21.335965258672001</v>
      </c>
      <c r="C4017" s="1">
        <v>43251</v>
      </c>
    </row>
    <row r="4018" spans="1:3">
      <c r="A4018" t="s">
        <v>65</v>
      </c>
      <c r="B4018">
        <v>0.86616660087200004</v>
      </c>
      <c r="C4018" s="1">
        <v>43251</v>
      </c>
    </row>
    <row r="4019" spans="1:3">
      <c r="A4019" t="s">
        <v>67</v>
      </c>
      <c r="B4019">
        <v>12.17133833404</v>
      </c>
      <c r="C4019" s="1">
        <v>43251</v>
      </c>
    </row>
    <row r="4020" spans="1:3">
      <c r="A4020" t="s">
        <v>69</v>
      </c>
      <c r="B4020">
        <v>6.6387682590079997</v>
      </c>
      <c r="C4020" s="1">
        <v>43251</v>
      </c>
    </row>
    <row r="4021" spans="1:3">
      <c r="A4021" t="s">
        <v>71</v>
      </c>
      <c r="B4021">
        <v>1.24753257008</v>
      </c>
      <c r="C4021" s="1">
        <v>43251</v>
      </c>
    </row>
    <row r="4022" spans="1:3">
      <c r="A4022" t="s">
        <v>73</v>
      </c>
      <c r="B4022">
        <v>2.337939202536</v>
      </c>
      <c r="C4022" s="1">
        <v>43251</v>
      </c>
    </row>
    <row r="4023" spans="1:3">
      <c r="A4023" t="s">
        <v>75</v>
      </c>
      <c r="B4023">
        <v>0.36557441768799998</v>
      </c>
      <c r="C4023" s="1">
        <v>43251</v>
      </c>
    </row>
    <row r="4024" spans="1:3">
      <c r="A4024" t="s">
        <v>77</v>
      </c>
      <c r="B4024">
        <v>2.1476510067199999</v>
      </c>
      <c r="C4024" s="1">
        <v>43251</v>
      </c>
    </row>
    <row r="4025" spans="1:3">
      <c r="A4025" t="s">
        <v>79</v>
      </c>
      <c r="B4025">
        <v>8.6932491117600001</v>
      </c>
      <c r="C4025" s="1">
        <v>43251</v>
      </c>
    </row>
    <row r="4026" spans="1:3">
      <c r="A4026" t="s">
        <v>81</v>
      </c>
      <c r="B4026">
        <v>12.238452428</v>
      </c>
      <c r="C4026" s="1">
        <v>43251</v>
      </c>
    </row>
    <row r="4027" spans="1:3">
      <c r="A4027" t="s">
        <v>83</v>
      </c>
      <c r="B4027">
        <v>0.65140150019999998</v>
      </c>
      <c r="C4027" s="1">
        <v>43251</v>
      </c>
    </row>
    <row r="4028" spans="1:3">
      <c r="A4028" t="s">
        <v>85</v>
      </c>
      <c r="B4028">
        <v>8.1721279116000005</v>
      </c>
      <c r="C4028" s="1">
        <v>43251</v>
      </c>
    </row>
    <row r="4029" spans="1:3">
      <c r="A4029" t="s">
        <v>87</v>
      </c>
      <c r="B4029">
        <v>19.739439399999998</v>
      </c>
      <c r="C4029" s="1">
        <v>43251</v>
      </c>
    </row>
    <row r="4030" spans="1:3">
      <c r="A4030" t="s">
        <v>89</v>
      </c>
      <c r="B4030">
        <v>11.205684958591901</v>
      </c>
      <c r="C4030" s="1">
        <v>43251</v>
      </c>
    </row>
    <row r="4031" spans="1:3">
      <c r="A4031" t="s">
        <v>91</v>
      </c>
      <c r="B4031">
        <v>24.476904856000001</v>
      </c>
      <c r="C4031" s="1">
        <v>43251</v>
      </c>
    </row>
    <row r="4032" spans="1:3">
      <c r="A4032" t="s">
        <v>93</v>
      </c>
      <c r="B4032">
        <v>30.793525463999998</v>
      </c>
      <c r="C4032" s="1">
        <v>43251</v>
      </c>
    </row>
    <row r="4033" spans="1:3">
      <c r="A4033" t="s">
        <v>95</v>
      </c>
      <c r="B4033">
        <v>1.0738255033599999</v>
      </c>
      <c r="C4033" s="1">
        <v>43251</v>
      </c>
    </row>
    <row r="4034" spans="1:3">
      <c r="A4034" t="s">
        <v>97</v>
      </c>
      <c r="B4034">
        <v>10.659297276</v>
      </c>
      <c r="C4034" s="1">
        <v>43251</v>
      </c>
    </row>
    <row r="4035" spans="1:3">
      <c r="A4035" t="s">
        <v>99</v>
      </c>
      <c r="B4035">
        <v>6.6324516384000001</v>
      </c>
      <c r="C4035" s="1">
        <v>43251</v>
      </c>
    </row>
    <row r="4036" spans="1:3">
      <c r="A4036" t="s">
        <v>101</v>
      </c>
      <c r="B4036">
        <v>12.486379786863999</v>
      </c>
      <c r="C4036" s="1">
        <v>43251</v>
      </c>
    </row>
    <row r="4037" spans="1:3">
      <c r="A4037" t="s">
        <v>103</v>
      </c>
      <c r="B4037">
        <v>1.4212396368</v>
      </c>
      <c r="C4037" s="1">
        <v>43251</v>
      </c>
    </row>
    <row r="4038" spans="1:3">
      <c r="A4038" t="s">
        <v>105</v>
      </c>
      <c r="B4038">
        <v>0.64034741413599905</v>
      </c>
      <c r="C4038" s="1">
        <v>43251</v>
      </c>
    </row>
    <row r="4039" spans="1:3">
      <c r="A4039" t="s">
        <v>107</v>
      </c>
      <c r="B4039">
        <v>5.3691275167999999</v>
      </c>
      <c r="C4039" s="1">
        <v>43251</v>
      </c>
    </row>
    <row r="4040" spans="1:3">
      <c r="A4040" t="s">
        <v>109</v>
      </c>
      <c r="B4040">
        <v>1.6699565732399999</v>
      </c>
      <c r="C4040" s="1">
        <v>43251</v>
      </c>
    </row>
    <row r="4041" spans="1:3">
      <c r="A4041" t="s">
        <v>111</v>
      </c>
      <c r="B4041">
        <v>8.5266482432239901</v>
      </c>
      <c r="C4041" s="1">
        <v>43251</v>
      </c>
    </row>
    <row r="4042" spans="1:3">
      <c r="A4042" t="s">
        <v>113</v>
      </c>
      <c r="B4042">
        <v>14.547177260224</v>
      </c>
      <c r="C4042" s="1">
        <v>43251</v>
      </c>
    </row>
    <row r="4043" spans="1:3">
      <c r="A4043" t="s">
        <v>115</v>
      </c>
      <c r="B4043">
        <v>4.6063955783840003</v>
      </c>
      <c r="C4043" s="1">
        <v>43251</v>
      </c>
    </row>
    <row r="4044" spans="1:3">
      <c r="A4044" t="s">
        <v>117</v>
      </c>
      <c r="B4044">
        <v>5.93762337152</v>
      </c>
      <c r="C4044" s="1">
        <v>43251</v>
      </c>
    </row>
    <row r="4045" spans="1:3">
      <c r="A4045" t="s">
        <v>119</v>
      </c>
      <c r="B4045">
        <v>22.911172522792</v>
      </c>
      <c r="C4045" s="1">
        <v>43251</v>
      </c>
    </row>
    <row r="4046" spans="1:3">
      <c r="A4046" t="s">
        <v>121</v>
      </c>
      <c r="B4046">
        <v>16.107382550400001</v>
      </c>
      <c r="C4046" s="1">
        <v>43251</v>
      </c>
    </row>
    <row r="4047" spans="1:3">
      <c r="A4047" t="s">
        <v>123</v>
      </c>
      <c r="B4047">
        <v>6.0047374654799999</v>
      </c>
      <c r="C4047" s="1">
        <v>43251</v>
      </c>
    </row>
    <row r="4048" spans="1:3">
      <c r="A4048" t="s">
        <v>125</v>
      </c>
      <c r="B4048">
        <v>238.92617449759999</v>
      </c>
      <c r="C4048" s="1">
        <v>43251</v>
      </c>
    </row>
    <row r="4049" spans="1:3">
      <c r="A4049" t="s">
        <v>127</v>
      </c>
      <c r="B4049">
        <v>9.0406632451999993</v>
      </c>
      <c r="C4049" s="1">
        <v>43251</v>
      </c>
    </row>
    <row r="4050" spans="1:3">
      <c r="A4050" t="s">
        <v>129</v>
      </c>
      <c r="B4050">
        <v>4.7374654559999998</v>
      </c>
      <c r="C4050" s="1">
        <v>43251</v>
      </c>
    </row>
    <row r="4051" spans="1:3">
      <c r="A4051" t="s">
        <v>131</v>
      </c>
      <c r="B4051">
        <v>1.72127911568</v>
      </c>
      <c r="C4051" s="1">
        <v>43251</v>
      </c>
    </row>
    <row r="4052" spans="1:3">
      <c r="A4052" t="s">
        <v>134</v>
      </c>
      <c r="B4052">
        <v>2.8756415317920001</v>
      </c>
      <c r="C4052" s="1">
        <v>43251</v>
      </c>
    </row>
    <row r="4053" spans="1:3">
      <c r="A4053" t="s">
        <v>136</v>
      </c>
      <c r="B4053">
        <v>18.481642321431998</v>
      </c>
      <c r="C4053" s="1">
        <v>43251</v>
      </c>
    </row>
    <row r="4054" spans="1:3">
      <c r="A4054" t="s">
        <v>138</v>
      </c>
      <c r="B4054">
        <v>15.9494670352</v>
      </c>
      <c r="C4054" s="1">
        <v>43251</v>
      </c>
    </row>
    <row r="4055" spans="1:3">
      <c r="A4055" t="s">
        <v>140</v>
      </c>
      <c r="B4055">
        <v>15.948677457623999</v>
      </c>
      <c r="C4055" s="1">
        <v>43251</v>
      </c>
    </row>
    <row r="4056" spans="1:3">
      <c r="A4056" t="s">
        <v>142</v>
      </c>
      <c r="B4056">
        <v>7.2743782076879997</v>
      </c>
      <c r="C4056" s="1">
        <v>43251</v>
      </c>
    </row>
    <row r="4057" spans="1:3">
      <c r="A4057" t="s">
        <v>144</v>
      </c>
      <c r="B4057">
        <v>6.2929332807199998</v>
      </c>
      <c r="C4057" s="1">
        <v>43251</v>
      </c>
    </row>
    <row r="4058" spans="1:3">
      <c r="A4058" t="s">
        <v>146</v>
      </c>
      <c r="B4058">
        <v>6.5716541650479998</v>
      </c>
      <c r="C4058" s="1">
        <v>43251</v>
      </c>
    </row>
    <row r="4059" spans="1:3">
      <c r="A4059" t="s">
        <v>148</v>
      </c>
      <c r="B4059">
        <v>16.37583892624</v>
      </c>
      <c r="C4059" s="1">
        <v>43251</v>
      </c>
    </row>
    <row r="4060" spans="1:3">
      <c r="A4060" t="s">
        <v>150</v>
      </c>
      <c r="B4060">
        <v>8.0773786024799996</v>
      </c>
      <c r="C4060" s="1">
        <v>43251</v>
      </c>
    </row>
    <row r="4061" spans="1:3">
      <c r="A4061" t="s">
        <v>152</v>
      </c>
      <c r="B4061">
        <v>8.5258586656480002</v>
      </c>
      <c r="C4061" s="1">
        <v>43251</v>
      </c>
    </row>
    <row r="4062" spans="1:3">
      <c r="A4062" t="s">
        <v>154</v>
      </c>
      <c r="B4062">
        <v>26.521910777839999</v>
      </c>
      <c r="C4062" s="1">
        <v>43251</v>
      </c>
    </row>
    <row r="4063" spans="1:3">
      <c r="A4063" t="s">
        <v>156</v>
      </c>
      <c r="B4063">
        <v>36.123174102</v>
      </c>
      <c r="C4063" s="1">
        <v>43251</v>
      </c>
    </row>
    <row r="4064" spans="1:3">
      <c r="A4064" t="s">
        <v>158</v>
      </c>
      <c r="B4064">
        <v>26.529016976024</v>
      </c>
      <c r="C4064" s="1">
        <v>43251</v>
      </c>
    </row>
    <row r="4065" spans="1:3">
      <c r="A4065" t="s">
        <v>160</v>
      </c>
      <c r="B4065">
        <v>21.60284247936</v>
      </c>
      <c r="C4065" s="1">
        <v>43251</v>
      </c>
    </row>
    <row r="4066" spans="1:3">
      <c r="A4066" t="s">
        <v>162</v>
      </c>
      <c r="B4066">
        <v>1.599684168976</v>
      </c>
      <c r="C4066" s="1">
        <v>43251</v>
      </c>
    </row>
    <row r="4067" spans="1:3">
      <c r="A4067" t="s">
        <v>164</v>
      </c>
      <c r="B4067">
        <v>3.5673114883679999</v>
      </c>
      <c r="C4067" s="1">
        <v>43251</v>
      </c>
    </row>
    <row r="4068" spans="1:3">
      <c r="A4068" t="s">
        <v>166</v>
      </c>
      <c r="B4068">
        <v>10.501381760799999</v>
      </c>
      <c r="C4068" s="1">
        <v>43251</v>
      </c>
    </row>
    <row r="4069" spans="1:3">
      <c r="A4069" t="s">
        <v>168</v>
      </c>
      <c r="B4069">
        <v>8.6742992499360003</v>
      </c>
      <c r="C4069" s="1">
        <v>43251</v>
      </c>
    </row>
    <row r="4070" spans="1:3">
      <c r="A4070" t="s">
        <v>8</v>
      </c>
      <c r="B4070">
        <v>27.2000000001232</v>
      </c>
      <c r="C4070" s="1">
        <v>43281</v>
      </c>
    </row>
    <row r="4071" spans="1:3">
      <c r="A4071" t="s">
        <v>11</v>
      </c>
      <c r="B4071">
        <v>50.481349749430699</v>
      </c>
      <c r="C4071" s="1">
        <v>43281</v>
      </c>
    </row>
    <row r="4072" spans="1:3">
      <c r="A4072" t="s">
        <v>14</v>
      </c>
      <c r="B4072">
        <v>7.1222982216465001</v>
      </c>
      <c r="C4072" s="1">
        <v>43281</v>
      </c>
    </row>
    <row r="4073" spans="1:3">
      <c r="A4073" t="s">
        <v>17</v>
      </c>
      <c r="B4073">
        <v>8.4851801185974995</v>
      </c>
      <c r="C4073" s="1">
        <v>43281</v>
      </c>
    </row>
    <row r="4074" spans="1:3">
      <c r="A4074" t="s">
        <v>20</v>
      </c>
      <c r="B4074">
        <v>1.24395804834125</v>
      </c>
      <c r="C4074" s="1">
        <v>43281</v>
      </c>
    </row>
    <row r="4075" spans="1:3">
      <c r="A4075" t="s">
        <v>24</v>
      </c>
      <c r="B4075">
        <v>2.1304149566899899</v>
      </c>
      <c r="C4075" s="1">
        <v>43281</v>
      </c>
    </row>
    <row r="4076" spans="1:3">
      <c r="A4076" t="s">
        <v>27</v>
      </c>
      <c r="B4076">
        <v>22.4299133607947</v>
      </c>
      <c r="C4076" s="1">
        <v>43281</v>
      </c>
    </row>
    <row r="4077" spans="1:3">
      <c r="A4077" t="s">
        <v>29</v>
      </c>
      <c r="B4077">
        <v>1.8152302781659999</v>
      </c>
      <c r="C4077" s="1">
        <v>43281</v>
      </c>
    </row>
    <row r="4078" spans="1:3">
      <c r="A4078" t="s">
        <v>32</v>
      </c>
      <c r="B4078">
        <v>8.9586867305467504</v>
      </c>
      <c r="C4078" s="1">
        <v>43281</v>
      </c>
    </row>
    <row r="4079" spans="1:3">
      <c r="A4079" t="s">
        <v>35</v>
      </c>
      <c r="B4079">
        <v>4.3885088919487396</v>
      </c>
      <c r="C4079" s="1">
        <v>43281</v>
      </c>
    </row>
    <row r="4080" spans="1:3">
      <c r="A4080" t="s">
        <v>37</v>
      </c>
      <c r="B4080">
        <v>0.75804833561675</v>
      </c>
      <c r="C4080" s="1">
        <v>43281</v>
      </c>
    </row>
    <row r="4081" spans="1:3">
      <c r="A4081" t="s">
        <v>39</v>
      </c>
      <c r="B4081">
        <v>1.4139534883784901</v>
      </c>
      <c r="C4081" s="1">
        <v>43281</v>
      </c>
    </row>
    <row r="4082" spans="1:3">
      <c r="A4082" t="s">
        <v>42</v>
      </c>
      <c r="B4082">
        <v>2.0136798905700002</v>
      </c>
      <c r="C4082" s="1">
        <v>43281</v>
      </c>
    </row>
    <row r="4083" spans="1:3">
      <c r="A4083" t="s">
        <v>44</v>
      </c>
      <c r="B4083">
        <v>9.1709986320525001</v>
      </c>
      <c r="C4083" s="1">
        <v>43281</v>
      </c>
    </row>
    <row r="4084" spans="1:3">
      <c r="A4084" t="s">
        <v>47</v>
      </c>
      <c r="B4084">
        <v>11.8274509804457</v>
      </c>
      <c r="C4084" s="1">
        <v>43281</v>
      </c>
    </row>
    <row r="4085" spans="1:3">
      <c r="A4085" t="s">
        <v>49</v>
      </c>
      <c r="B4085">
        <v>13.5281349749815</v>
      </c>
      <c r="C4085" s="1">
        <v>43281</v>
      </c>
    </row>
    <row r="4086" spans="1:3">
      <c r="A4086" t="s">
        <v>51</v>
      </c>
      <c r="B4086">
        <v>1.4197902416845001</v>
      </c>
      <c r="C4086" s="1">
        <v>43281</v>
      </c>
    </row>
    <row r="4087" spans="1:3">
      <c r="A4087" t="s">
        <v>53</v>
      </c>
      <c r="B4087">
        <v>1.0462380301004901</v>
      </c>
      <c r="C4087" s="1">
        <v>43281</v>
      </c>
    </row>
    <row r="4088" spans="1:3">
      <c r="A4088" t="s">
        <v>55</v>
      </c>
      <c r="B4088">
        <v>4.2542635659107502</v>
      </c>
      <c r="C4088" s="1">
        <v>43281</v>
      </c>
    </row>
    <row r="4089" spans="1:3">
      <c r="A4089" t="s">
        <v>57</v>
      </c>
      <c r="B4089">
        <v>3.5779297765779998</v>
      </c>
      <c r="C4089" s="1">
        <v>43281</v>
      </c>
    </row>
    <row r="4090" spans="1:3">
      <c r="A4090" t="s">
        <v>59</v>
      </c>
      <c r="B4090">
        <v>4.1039671682812502</v>
      </c>
      <c r="C4090" s="1">
        <v>43281</v>
      </c>
    </row>
    <row r="4091" spans="1:3">
      <c r="A4091" t="s">
        <v>61</v>
      </c>
      <c r="B4091">
        <v>63.328773370099903</v>
      </c>
      <c r="C4091" s="1">
        <v>43281</v>
      </c>
    </row>
    <row r="4092" spans="1:3">
      <c r="A4092" t="s">
        <v>63</v>
      </c>
      <c r="B4092">
        <v>20.824806201644702</v>
      </c>
      <c r="C4092" s="1">
        <v>43281</v>
      </c>
    </row>
    <row r="4093" spans="1:3">
      <c r="A4093" t="s">
        <v>65</v>
      </c>
      <c r="B4093">
        <v>0.76534427724925003</v>
      </c>
      <c r="C4093" s="1">
        <v>43281</v>
      </c>
    </row>
    <row r="4094" spans="1:3">
      <c r="A4094" t="s">
        <v>67</v>
      </c>
      <c r="B4094">
        <v>10.7615139079375</v>
      </c>
      <c r="C4094" s="1">
        <v>43281</v>
      </c>
    </row>
    <row r="4095" spans="1:3">
      <c r="A4095" t="s">
        <v>69</v>
      </c>
      <c r="B4095">
        <v>5.6361149111062501</v>
      </c>
      <c r="C4095" s="1">
        <v>43281</v>
      </c>
    </row>
    <row r="4096" spans="1:3">
      <c r="A4096" t="s">
        <v>71</v>
      </c>
      <c r="B4096">
        <v>1.1418148654862501</v>
      </c>
      <c r="C4096" s="1">
        <v>43281</v>
      </c>
    </row>
    <row r="4097" spans="1:3">
      <c r="A4097" t="s">
        <v>73</v>
      </c>
      <c r="B4097">
        <v>2.0151390788965</v>
      </c>
      <c r="C4097" s="1">
        <v>43281</v>
      </c>
    </row>
    <row r="4098" spans="1:3">
      <c r="A4098" t="s">
        <v>75</v>
      </c>
      <c r="B4098">
        <v>0.31883264934025002</v>
      </c>
      <c r="C4098" s="1">
        <v>43281</v>
      </c>
    </row>
    <row r="4099" spans="1:3">
      <c r="A4099" t="s">
        <v>77</v>
      </c>
      <c r="B4099">
        <v>1.94728682171425</v>
      </c>
      <c r="C4099" s="1">
        <v>43281</v>
      </c>
    </row>
    <row r="4100" spans="1:3">
      <c r="A4100" t="s">
        <v>79</v>
      </c>
      <c r="B4100">
        <v>8.2655722754592507</v>
      </c>
      <c r="C4100" s="1">
        <v>43281</v>
      </c>
    </row>
    <row r="4101" spans="1:3">
      <c r="A4101" t="s">
        <v>81</v>
      </c>
      <c r="B4101">
        <v>10.907432740587399</v>
      </c>
      <c r="C4101" s="1">
        <v>43281</v>
      </c>
    </row>
    <row r="4102" spans="1:3">
      <c r="A4102" t="s">
        <v>83</v>
      </c>
      <c r="B4102">
        <v>0.54646602827424995</v>
      </c>
      <c r="C4102" s="1">
        <v>43281</v>
      </c>
    </row>
    <row r="4103" spans="1:3">
      <c r="A4103" t="s">
        <v>85</v>
      </c>
      <c r="B4103">
        <v>7.4666666667005002</v>
      </c>
      <c r="C4103" s="1">
        <v>43281</v>
      </c>
    </row>
    <row r="4104" spans="1:3">
      <c r="A4104" t="s">
        <v>87</v>
      </c>
      <c r="B4104">
        <v>18.839580483441502</v>
      </c>
      <c r="C4104" s="1">
        <v>43281</v>
      </c>
    </row>
    <row r="4105" spans="1:3">
      <c r="A4105" t="s">
        <v>89</v>
      </c>
      <c r="B4105">
        <v>10.203374373051201</v>
      </c>
      <c r="C4105" s="1">
        <v>43281</v>
      </c>
    </row>
    <row r="4106" spans="1:3">
      <c r="A4106" t="s">
        <v>91</v>
      </c>
      <c r="B4106">
        <v>20.824076607481501</v>
      </c>
      <c r="C4106" s="1">
        <v>43281</v>
      </c>
    </row>
    <row r="4107" spans="1:3">
      <c r="A4107" t="s">
        <v>93</v>
      </c>
      <c r="B4107">
        <v>24.07660738725</v>
      </c>
      <c r="C4107" s="1">
        <v>43281</v>
      </c>
    </row>
    <row r="4108" spans="1:3">
      <c r="A4108" t="s">
        <v>95</v>
      </c>
      <c r="B4108">
        <v>0.68435932512849995</v>
      </c>
      <c r="C4108" s="1">
        <v>43281</v>
      </c>
    </row>
    <row r="4109" spans="1:3">
      <c r="A4109" t="s">
        <v>97</v>
      </c>
      <c r="B4109">
        <v>9.6306429548999901</v>
      </c>
      <c r="C4109" s="1">
        <v>43281</v>
      </c>
    </row>
    <row r="4110" spans="1:3">
      <c r="A4110" t="s">
        <v>99</v>
      </c>
      <c r="B4110">
        <v>5.7637938896750001</v>
      </c>
      <c r="C4110" s="1">
        <v>43281</v>
      </c>
    </row>
    <row r="4111" spans="1:3">
      <c r="A4111" t="s">
        <v>101</v>
      </c>
      <c r="B4111">
        <v>11.0497036024212</v>
      </c>
      <c r="C4111" s="1">
        <v>43281</v>
      </c>
    </row>
    <row r="4112" spans="1:3">
      <c r="A4112" t="s">
        <v>103</v>
      </c>
      <c r="B4112">
        <v>1.260738714096</v>
      </c>
      <c r="C4112" s="1">
        <v>43281</v>
      </c>
    </row>
    <row r="4113" spans="1:3">
      <c r="A4113" t="s">
        <v>105</v>
      </c>
      <c r="B4113">
        <v>0.52749658002974997</v>
      </c>
      <c r="C4113" s="1">
        <v>43281</v>
      </c>
    </row>
    <row r="4114" spans="1:3">
      <c r="A4114" t="s">
        <v>107</v>
      </c>
      <c r="B4114">
        <v>4.4570907432942501</v>
      </c>
      <c r="C4114" s="1">
        <v>43281</v>
      </c>
    </row>
    <row r="4115" spans="1:3">
      <c r="A4115" t="s">
        <v>109</v>
      </c>
      <c r="B4115">
        <v>1.5481988144165</v>
      </c>
      <c r="C4115" s="1">
        <v>43281</v>
      </c>
    </row>
    <row r="4116" spans="1:3">
      <c r="A4116" t="s">
        <v>111</v>
      </c>
      <c r="B4116">
        <v>7.71545827636875</v>
      </c>
      <c r="C4116" s="1">
        <v>43281</v>
      </c>
    </row>
    <row r="4117" spans="1:3">
      <c r="A4117" t="s">
        <v>113</v>
      </c>
      <c r="B4117">
        <v>12.694938440550001</v>
      </c>
      <c r="C4117" s="1">
        <v>43281</v>
      </c>
    </row>
    <row r="4118" spans="1:3">
      <c r="A4118" t="s">
        <v>115</v>
      </c>
      <c r="B4118">
        <v>4.04559963522125</v>
      </c>
      <c r="C4118" s="1">
        <v>43281</v>
      </c>
    </row>
    <row r="4119" spans="1:3">
      <c r="A4119" t="s">
        <v>117</v>
      </c>
      <c r="B4119">
        <v>5.4559051527835001</v>
      </c>
      <c r="C4119" s="1">
        <v>43281</v>
      </c>
    </row>
    <row r="4120" spans="1:3">
      <c r="A4120" t="s">
        <v>119</v>
      </c>
      <c r="B4120">
        <v>21.505517555956999</v>
      </c>
      <c r="C4120" s="1">
        <v>43281</v>
      </c>
    </row>
    <row r="4121" spans="1:3">
      <c r="A4121" t="s">
        <v>121</v>
      </c>
      <c r="B4121">
        <v>14.9048791610342</v>
      </c>
      <c r="C4121" s="1">
        <v>43281</v>
      </c>
    </row>
    <row r="4122" spans="1:3">
      <c r="A4122" t="s">
        <v>123</v>
      </c>
      <c r="B4122">
        <v>5.1122663018927401</v>
      </c>
      <c r="C4122" s="1">
        <v>43281</v>
      </c>
    </row>
    <row r="4123" spans="1:3">
      <c r="A4123" t="s">
        <v>125</v>
      </c>
      <c r="B4123">
        <v>254.263565892625</v>
      </c>
      <c r="C4123" s="1">
        <v>43281</v>
      </c>
    </row>
    <row r="4124" spans="1:3">
      <c r="A4124" t="s">
        <v>127</v>
      </c>
      <c r="B4124">
        <v>7.8723210214675001</v>
      </c>
      <c r="C4124" s="1">
        <v>43281</v>
      </c>
    </row>
    <row r="4125" spans="1:3">
      <c r="A4125" t="s">
        <v>129</v>
      </c>
      <c r="B4125">
        <v>4.66137710900425</v>
      </c>
      <c r="C4125" s="1">
        <v>43281</v>
      </c>
    </row>
    <row r="4126" spans="1:3">
      <c r="A4126" t="s">
        <v>131</v>
      </c>
      <c r="B4126">
        <v>1.5481988144165</v>
      </c>
      <c r="C4126" s="1">
        <v>43281</v>
      </c>
    </row>
    <row r="4127" spans="1:3">
      <c r="A4127" t="s">
        <v>134</v>
      </c>
      <c r="B4127">
        <v>2.5564979480279999</v>
      </c>
      <c r="C4127" s="1">
        <v>43281</v>
      </c>
    </row>
    <row r="4128" spans="1:3">
      <c r="A4128" t="s">
        <v>136</v>
      </c>
      <c r="B4128">
        <v>16.0955768354582</v>
      </c>
      <c r="C4128" s="1">
        <v>43281</v>
      </c>
    </row>
    <row r="4129" spans="1:3">
      <c r="A4129" t="s">
        <v>138</v>
      </c>
      <c r="B4129">
        <v>14.373734610188199</v>
      </c>
      <c r="C4129" s="1">
        <v>43281</v>
      </c>
    </row>
    <row r="4130" spans="1:3">
      <c r="A4130" t="s">
        <v>140</v>
      </c>
      <c r="B4130">
        <v>14.3387140903522</v>
      </c>
      <c r="C4130" s="1">
        <v>43281</v>
      </c>
    </row>
    <row r="4131" spans="1:3">
      <c r="A4131" t="s">
        <v>142</v>
      </c>
      <c r="B4131">
        <v>7.0084815321795002</v>
      </c>
      <c r="C4131" s="1">
        <v>43281</v>
      </c>
    </row>
    <row r="4132" spans="1:3">
      <c r="A4132" t="s">
        <v>144</v>
      </c>
      <c r="B4132">
        <v>5.8564523484077498</v>
      </c>
      <c r="C4132" s="1">
        <v>43281</v>
      </c>
    </row>
    <row r="4133" spans="1:3">
      <c r="A4133" t="s">
        <v>146</v>
      </c>
      <c r="B4133">
        <v>6.6757865937374996</v>
      </c>
      <c r="C4133" s="1">
        <v>43281</v>
      </c>
    </row>
    <row r="4134" spans="1:3">
      <c r="A4134" t="s">
        <v>148</v>
      </c>
      <c r="B4134">
        <v>13.998723210277699</v>
      </c>
      <c r="C4134" s="1">
        <v>43281</v>
      </c>
    </row>
    <row r="4135" spans="1:3">
      <c r="A4135" t="s">
        <v>150</v>
      </c>
      <c r="B4135">
        <v>7.8942088463650002</v>
      </c>
      <c r="C4135" s="1">
        <v>43281</v>
      </c>
    </row>
    <row r="4136" spans="1:3">
      <c r="A4136" t="s">
        <v>152</v>
      </c>
      <c r="B4136">
        <v>8.1802097583590001</v>
      </c>
      <c r="C4136" s="1">
        <v>43281</v>
      </c>
    </row>
    <row r="4137" spans="1:3">
      <c r="A4137" t="s">
        <v>154</v>
      </c>
      <c r="B4137">
        <v>24.178750570104999</v>
      </c>
      <c r="C4137" s="1">
        <v>43281</v>
      </c>
    </row>
    <row r="4138" spans="1:3">
      <c r="A4138" t="s">
        <v>156</v>
      </c>
      <c r="B4138">
        <v>36.6883720931895</v>
      </c>
      <c r="C4138" s="1">
        <v>43281</v>
      </c>
    </row>
    <row r="4139" spans="1:3">
      <c r="A4139" t="s">
        <v>158</v>
      </c>
      <c r="B4139">
        <v>26.192430460674998</v>
      </c>
      <c r="C4139" s="1">
        <v>43281</v>
      </c>
    </row>
    <row r="4140" spans="1:3">
      <c r="A4140" t="s">
        <v>160</v>
      </c>
      <c r="B4140">
        <v>18.209211126393502</v>
      </c>
      <c r="C4140" s="1">
        <v>43281</v>
      </c>
    </row>
    <row r="4141" spans="1:3">
      <c r="A4141" t="s">
        <v>162</v>
      </c>
      <c r="B4141">
        <v>1.4774281805812499</v>
      </c>
      <c r="C4141" s="1">
        <v>43281</v>
      </c>
    </row>
    <row r="4142" spans="1:3">
      <c r="A4142" t="s">
        <v>164</v>
      </c>
      <c r="B4142">
        <v>3.5896032831900002</v>
      </c>
      <c r="C4142" s="1">
        <v>43281</v>
      </c>
    </row>
    <row r="4143" spans="1:3">
      <c r="A4143" t="s">
        <v>166</v>
      </c>
      <c r="B4143">
        <v>9.4628362973524993</v>
      </c>
      <c r="C4143" s="1">
        <v>43281</v>
      </c>
    </row>
    <row r="4144" spans="1:3">
      <c r="A4144" t="s">
        <v>168</v>
      </c>
      <c r="B4144">
        <v>7.9598723210574898</v>
      </c>
      <c r="C4144" s="1">
        <v>43281</v>
      </c>
    </row>
    <row r="4145" spans="1:3">
      <c r="A4145" t="s">
        <v>8</v>
      </c>
      <c r="B4145">
        <v>27.550720488774001</v>
      </c>
      <c r="C4145" s="1">
        <v>43312</v>
      </c>
    </row>
    <row r="4146" spans="1:3">
      <c r="A4146" t="s">
        <v>11</v>
      </c>
      <c r="B4146">
        <v>55.4190285336147</v>
      </c>
      <c r="C4146" s="1">
        <v>43312</v>
      </c>
    </row>
    <row r="4147" spans="1:3">
      <c r="A4147" t="s">
        <v>14</v>
      </c>
      <c r="B4147">
        <v>7.2907720202780002</v>
      </c>
      <c r="C4147" s="1">
        <v>43312</v>
      </c>
    </row>
    <row r="4148" spans="1:3">
      <c r="A4148" t="s">
        <v>17</v>
      </c>
      <c r="B4148">
        <v>8.7909151637174006</v>
      </c>
      <c r="C4148" s="1">
        <v>43312</v>
      </c>
    </row>
    <row r="4149" spans="1:3">
      <c r="A4149" t="s">
        <v>20</v>
      </c>
      <c r="B4149">
        <v>1.2825651302687999</v>
      </c>
      <c r="C4149" s="1">
        <v>43312</v>
      </c>
    </row>
    <row r="4150" spans="1:3">
      <c r="A4150" t="s">
        <v>24</v>
      </c>
      <c r="B4150">
        <v>2.3551865636186</v>
      </c>
      <c r="C4150" s="1">
        <v>43312</v>
      </c>
    </row>
    <row r="4151" spans="1:3">
      <c r="A4151" t="s">
        <v>27</v>
      </c>
      <c r="B4151">
        <v>22.732703502389299</v>
      </c>
      <c r="C4151" s="1">
        <v>43312</v>
      </c>
    </row>
    <row r="4152" spans="1:3">
      <c r="A4152" t="s">
        <v>29</v>
      </c>
      <c r="B4152">
        <v>1.8322359003840001</v>
      </c>
      <c r="C4152" s="1">
        <v>43312</v>
      </c>
    </row>
    <row r="4153" spans="1:3">
      <c r="A4153" t="s">
        <v>32</v>
      </c>
      <c r="B4153">
        <v>10.707128542869</v>
      </c>
      <c r="C4153" s="1">
        <v>43312</v>
      </c>
    </row>
    <row r="4154" spans="1:3">
      <c r="A4154" t="s">
        <v>35</v>
      </c>
      <c r="B4154">
        <v>4.905048191653</v>
      </c>
      <c r="C4154" s="1">
        <v>43312</v>
      </c>
    </row>
    <row r="4155" spans="1:3">
      <c r="A4155" t="s">
        <v>37</v>
      </c>
      <c r="B4155">
        <v>0.70464739002267995</v>
      </c>
      <c r="C4155" s="1">
        <v>43312</v>
      </c>
    </row>
    <row r="4156" spans="1:3">
      <c r="A4156" t="s">
        <v>39</v>
      </c>
      <c r="B4156">
        <v>1.5154117759426</v>
      </c>
      <c r="C4156" s="1">
        <v>43312</v>
      </c>
    </row>
    <row r="4157" spans="1:3">
      <c r="A4157" t="s">
        <v>42</v>
      </c>
      <c r="B4157">
        <v>1.89025670389616</v>
      </c>
      <c r="C4157" s="1">
        <v>43312</v>
      </c>
    </row>
    <row r="4158" spans="1:3">
      <c r="A4158" t="s">
        <v>44</v>
      </c>
      <c r="B4158">
        <v>9.8864395458220002</v>
      </c>
      <c r="C4158" s="1">
        <v>43312</v>
      </c>
    </row>
    <row r="4159" spans="1:3">
      <c r="A4159" t="s">
        <v>47</v>
      </c>
      <c r="B4159">
        <v>12.6958679264108</v>
      </c>
      <c r="C4159" s="1">
        <v>43312</v>
      </c>
    </row>
    <row r="4160" spans="1:3">
      <c r="A4160" t="s">
        <v>49</v>
      </c>
      <c r="B4160">
        <v>14.6258230748152</v>
      </c>
      <c r="C4160" s="1">
        <v>43312</v>
      </c>
    </row>
    <row r="4161" spans="1:3">
      <c r="A4161" t="s">
        <v>51</v>
      </c>
      <c r="B4161">
        <v>1.4917453955626301</v>
      </c>
      <c r="C4161" s="1">
        <v>43312</v>
      </c>
    </row>
    <row r="4162" spans="1:3">
      <c r="A4162" t="s">
        <v>53</v>
      </c>
      <c r="B4162">
        <v>1.1940070617502401</v>
      </c>
      <c r="C4162" s="1">
        <v>43312</v>
      </c>
    </row>
    <row r="4163" spans="1:3">
      <c r="A4163" t="s">
        <v>55</v>
      </c>
      <c r="B4163">
        <v>4.5431816013271602</v>
      </c>
      <c r="C4163" s="1">
        <v>43312</v>
      </c>
    </row>
    <row r="4164" spans="1:3">
      <c r="A4164" t="s">
        <v>57</v>
      </c>
      <c r="B4164">
        <v>3.8469319591812399</v>
      </c>
      <c r="C4164" s="1">
        <v>43312</v>
      </c>
    </row>
    <row r="4165" spans="1:3">
      <c r="A4165" t="s">
        <v>59</v>
      </c>
      <c r="B4165">
        <v>3.9469415020772001</v>
      </c>
      <c r="C4165" s="1">
        <v>43312</v>
      </c>
    </row>
    <row r="4166" spans="1:3">
      <c r="A4166" t="s">
        <v>61</v>
      </c>
      <c r="B4166">
        <v>72.642809428849404</v>
      </c>
      <c r="C4166" s="1">
        <v>43312</v>
      </c>
    </row>
    <row r="4167" spans="1:3">
      <c r="A4167" t="s">
        <v>63</v>
      </c>
      <c r="B4167">
        <v>22.292203454671998</v>
      </c>
      <c r="C4167" s="1">
        <v>43312</v>
      </c>
    </row>
    <row r="4168" spans="1:3">
      <c r="A4168" t="s">
        <v>65</v>
      </c>
      <c r="B4168">
        <v>0.81152781754507997</v>
      </c>
      <c r="C4168" s="1">
        <v>43312</v>
      </c>
    </row>
    <row r="4169" spans="1:3">
      <c r="A4169" t="s">
        <v>67</v>
      </c>
      <c r="B4169">
        <v>12.97833762772</v>
      </c>
      <c r="C4169" s="1">
        <v>43312</v>
      </c>
    </row>
    <row r="4170" spans="1:3">
      <c r="A4170" t="s">
        <v>69</v>
      </c>
      <c r="B4170">
        <v>6.2494512835597602</v>
      </c>
      <c r="C4170" s="1">
        <v>43312</v>
      </c>
    </row>
    <row r="4171" spans="1:3">
      <c r="A4171" t="s">
        <v>71</v>
      </c>
      <c r="B4171">
        <v>1.1985876515011999</v>
      </c>
      <c r="C4171" s="1">
        <v>43312</v>
      </c>
    </row>
    <row r="4172" spans="1:3">
      <c r="A4172" t="s">
        <v>73</v>
      </c>
      <c r="B4172">
        <v>2.06431911443264</v>
      </c>
      <c r="C4172" s="1">
        <v>43312</v>
      </c>
    </row>
    <row r="4173" spans="1:3">
      <c r="A4173" t="s">
        <v>75</v>
      </c>
      <c r="B4173">
        <v>0.34201736807167998</v>
      </c>
      <c r="C4173" s="1">
        <v>43312</v>
      </c>
    </row>
    <row r="4174" spans="1:3">
      <c r="A4174" t="s">
        <v>77</v>
      </c>
      <c r="B4174">
        <v>1.9963736997933901</v>
      </c>
      <c r="C4174" s="1">
        <v>43312</v>
      </c>
    </row>
    <row r="4175" spans="1:3">
      <c r="A4175" t="s">
        <v>79</v>
      </c>
      <c r="B4175">
        <v>8.61685275318092</v>
      </c>
      <c r="C4175" s="1">
        <v>43312</v>
      </c>
    </row>
    <row r="4176" spans="1:3">
      <c r="A4176" t="s">
        <v>81</v>
      </c>
      <c r="B4176">
        <v>10.6086458632233</v>
      </c>
      <c r="C4176" s="1">
        <v>43312</v>
      </c>
    </row>
    <row r="4177" spans="1:3">
      <c r="A4177" t="s">
        <v>83</v>
      </c>
      <c r="B4177">
        <v>0.54585361198939997</v>
      </c>
      <c r="C4177" s="1">
        <v>43312</v>
      </c>
    </row>
    <row r="4178" spans="1:3">
      <c r="A4178" t="s">
        <v>85</v>
      </c>
      <c r="B4178">
        <v>7.8396793587680396</v>
      </c>
      <c r="C4178" s="1">
        <v>43312</v>
      </c>
    </row>
    <row r="4179" spans="1:3">
      <c r="A4179" t="s">
        <v>87</v>
      </c>
      <c r="B4179">
        <v>19.467506441579999</v>
      </c>
      <c r="C4179" s="1">
        <v>43312</v>
      </c>
    </row>
    <row r="4180" spans="1:3">
      <c r="A4180" t="s">
        <v>89</v>
      </c>
      <c r="B4180">
        <v>10.718580017246399</v>
      </c>
      <c r="C4180" s="1">
        <v>43312</v>
      </c>
    </row>
    <row r="4181" spans="1:3">
      <c r="A4181" t="s">
        <v>91</v>
      </c>
      <c r="B4181">
        <v>23.054871648206799</v>
      </c>
      <c r="C4181" s="1">
        <v>43312</v>
      </c>
    </row>
    <row r="4182" spans="1:3">
      <c r="A4182" t="s">
        <v>93</v>
      </c>
      <c r="B4182">
        <v>23.754175016853399</v>
      </c>
      <c r="C4182" s="1">
        <v>43312</v>
      </c>
    </row>
    <row r="4183" spans="1:3">
      <c r="A4183" t="s">
        <v>95</v>
      </c>
      <c r="B4183">
        <v>0.59929382575059997</v>
      </c>
      <c r="C4183" s="1">
        <v>43312</v>
      </c>
    </row>
    <row r="4184" spans="1:3">
      <c r="A4184" t="s">
        <v>97</v>
      </c>
      <c r="B4184">
        <v>9.8826223876961894</v>
      </c>
      <c r="C4184" s="1">
        <v>43312</v>
      </c>
    </row>
    <row r="4185" spans="1:3">
      <c r="A4185" t="s">
        <v>99</v>
      </c>
      <c r="B4185">
        <v>5.9707987403763596</v>
      </c>
      <c r="C4185" s="1">
        <v>43312</v>
      </c>
    </row>
    <row r="4186" spans="1:3">
      <c r="A4186" t="s">
        <v>101</v>
      </c>
      <c r="B4186">
        <v>11.218627731726199</v>
      </c>
      <c r="C4186" s="1">
        <v>43312</v>
      </c>
    </row>
    <row r="4187" spans="1:3">
      <c r="A4187" t="s">
        <v>103</v>
      </c>
      <c r="B4187">
        <v>1.3092852371493999</v>
      </c>
      <c r="C4187" s="1">
        <v>43312</v>
      </c>
    </row>
    <row r="4188" spans="1:3">
      <c r="A4188" t="s">
        <v>105</v>
      </c>
      <c r="B4188">
        <v>0.48706937685207902</v>
      </c>
      <c r="C4188" s="1">
        <v>43312</v>
      </c>
    </row>
    <row r="4189" spans="1:3">
      <c r="A4189" t="s">
        <v>107</v>
      </c>
      <c r="B4189">
        <v>4.5057734516943198</v>
      </c>
      <c r="C4189" s="1">
        <v>43312</v>
      </c>
    </row>
    <row r="4190" spans="1:3">
      <c r="A4190" t="s">
        <v>109</v>
      </c>
      <c r="B4190">
        <v>1.6627540795984801</v>
      </c>
      <c r="C4190" s="1">
        <v>43312</v>
      </c>
    </row>
    <row r="4191" spans="1:3">
      <c r="A4191" t="s">
        <v>111</v>
      </c>
      <c r="B4191">
        <v>8.0809237523185899</v>
      </c>
      <c r="C4191" s="1">
        <v>43312</v>
      </c>
    </row>
    <row r="4192" spans="1:3">
      <c r="A4192" t="s">
        <v>113</v>
      </c>
      <c r="B4192">
        <v>13.1462925852552</v>
      </c>
      <c r="C4192" s="1">
        <v>43312</v>
      </c>
    </row>
    <row r="4193" spans="1:3">
      <c r="A4193" t="s">
        <v>115</v>
      </c>
      <c r="B4193">
        <v>3.9057161943185599</v>
      </c>
      <c r="C4193" s="1">
        <v>43312</v>
      </c>
    </row>
    <row r="4194" spans="1:3">
      <c r="A4194" t="s">
        <v>117</v>
      </c>
      <c r="B4194">
        <v>5.6868021758168297</v>
      </c>
      <c r="C4194" s="1">
        <v>43312</v>
      </c>
    </row>
    <row r="4195" spans="1:3">
      <c r="A4195" t="s">
        <v>119</v>
      </c>
      <c r="B4195">
        <v>22.1937207750263</v>
      </c>
      <c r="C4195" s="1">
        <v>43312</v>
      </c>
    </row>
    <row r="4196" spans="1:3">
      <c r="A4196" t="s">
        <v>121</v>
      </c>
      <c r="B4196">
        <v>16.579444603599701</v>
      </c>
      <c r="C4196" s="1">
        <v>43312</v>
      </c>
    </row>
    <row r="4197" spans="1:3">
      <c r="A4197" t="s">
        <v>123</v>
      </c>
      <c r="B4197">
        <v>5.8280370264714403</v>
      </c>
      <c r="C4197" s="1">
        <v>43312</v>
      </c>
    </row>
    <row r="4198" spans="1:3">
      <c r="A4198" t="s">
        <v>125</v>
      </c>
      <c r="B4198">
        <v>247.50453287687199</v>
      </c>
      <c r="C4198" s="1">
        <v>43312</v>
      </c>
    </row>
    <row r="4199" spans="1:3">
      <c r="A4199" t="s">
        <v>127</v>
      </c>
      <c r="B4199">
        <v>8.7412921080819999</v>
      </c>
      <c r="C4199" s="1">
        <v>43312</v>
      </c>
    </row>
    <row r="4200" spans="1:3">
      <c r="A4200" t="s">
        <v>129</v>
      </c>
      <c r="B4200">
        <v>5.2882908674833198</v>
      </c>
      <c r="C4200" s="1">
        <v>43312</v>
      </c>
    </row>
    <row r="4201" spans="1:3">
      <c r="A4201" t="s">
        <v>131</v>
      </c>
      <c r="B4201">
        <v>1.8780417978935999</v>
      </c>
      <c r="C4201" s="1">
        <v>43312</v>
      </c>
    </row>
    <row r="4202" spans="1:3">
      <c r="A4202" t="s">
        <v>134</v>
      </c>
      <c r="B4202">
        <v>2.6567420555567902</v>
      </c>
      <c r="C4202" s="1">
        <v>43312</v>
      </c>
    </row>
    <row r="4203" spans="1:3">
      <c r="A4203" t="s">
        <v>136</v>
      </c>
      <c r="B4203">
        <v>16.618379616482802</v>
      </c>
      <c r="C4203" s="1">
        <v>43312</v>
      </c>
    </row>
    <row r="4204" spans="1:3">
      <c r="A4204" t="s">
        <v>138</v>
      </c>
      <c r="B4204">
        <v>14.2990743392468</v>
      </c>
      <c r="C4204" s="1">
        <v>43312</v>
      </c>
    </row>
    <row r="4205" spans="1:3">
      <c r="A4205" t="s">
        <v>140</v>
      </c>
      <c r="B4205">
        <v>14.754079587842099</v>
      </c>
      <c r="C4205" s="1">
        <v>43312</v>
      </c>
    </row>
    <row r="4206" spans="1:3">
      <c r="A4206" t="s">
        <v>142</v>
      </c>
      <c r="B4206">
        <v>7.2625250501470697</v>
      </c>
      <c r="C4206" s="1">
        <v>43312</v>
      </c>
    </row>
    <row r="4207" spans="1:3">
      <c r="A4207" t="s">
        <v>144</v>
      </c>
      <c r="B4207">
        <v>6.2296020613055996</v>
      </c>
      <c r="C4207" s="1">
        <v>43312</v>
      </c>
    </row>
    <row r="4208" spans="1:3">
      <c r="A4208" t="s">
        <v>146</v>
      </c>
      <c r="B4208">
        <v>7.1648058021265904</v>
      </c>
      <c r="C4208" s="1">
        <v>43312</v>
      </c>
    </row>
    <row r="4209" spans="1:3">
      <c r="A4209" t="s">
        <v>148</v>
      </c>
      <c r="B4209">
        <v>15.5625536788866</v>
      </c>
      <c r="C4209" s="1">
        <v>43312</v>
      </c>
    </row>
    <row r="4210" spans="1:3">
      <c r="A4210" t="s">
        <v>150</v>
      </c>
      <c r="B4210">
        <v>8.3595762955020003</v>
      </c>
      <c r="C4210" s="1">
        <v>43312</v>
      </c>
    </row>
    <row r="4211" spans="1:3">
      <c r="A4211" t="s">
        <v>152</v>
      </c>
      <c r="B4211">
        <v>8.7764099628393595</v>
      </c>
      <c r="C4211" s="1">
        <v>43312</v>
      </c>
    </row>
    <row r="4212" spans="1:3">
      <c r="A4212" t="s">
        <v>154</v>
      </c>
      <c r="B4212">
        <v>26.720106880599999</v>
      </c>
      <c r="C4212" s="1">
        <v>43312</v>
      </c>
    </row>
    <row r="4213" spans="1:3">
      <c r="A4213" t="s">
        <v>156</v>
      </c>
      <c r="B4213">
        <v>39.561026815791202</v>
      </c>
      <c r="C4213" s="1">
        <v>43312</v>
      </c>
    </row>
    <row r="4214" spans="1:3">
      <c r="A4214" t="s">
        <v>158</v>
      </c>
      <c r="B4214">
        <v>30.880809237721898</v>
      </c>
      <c r="C4214" s="1">
        <v>43312</v>
      </c>
    </row>
    <row r="4215" spans="1:3">
      <c r="A4215" t="s">
        <v>160</v>
      </c>
      <c r="B4215">
        <v>20.830995324115701</v>
      </c>
      <c r="C4215" s="1">
        <v>43312</v>
      </c>
    </row>
    <row r="4216" spans="1:3">
      <c r="A4216" t="s">
        <v>162</v>
      </c>
      <c r="B4216">
        <v>1.4879282374368299</v>
      </c>
      <c r="C4216" s="1">
        <v>43312</v>
      </c>
    </row>
    <row r="4217" spans="1:3">
      <c r="A4217" t="s">
        <v>164</v>
      </c>
      <c r="B4217">
        <v>3.6675255272686398</v>
      </c>
      <c r="C4217" s="1">
        <v>43312</v>
      </c>
    </row>
    <row r="4218" spans="1:3">
      <c r="A4218" t="s">
        <v>166</v>
      </c>
      <c r="B4218">
        <v>9.6803130070287899</v>
      </c>
      <c r="C4218" s="1">
        <v>43312</v>
      </c>
    </row>
    <row r="4219" spans="1:3">
      <c r="A4219" t="s">
        <v>168</v>
      </c>
      <c r="B4219">
        <v>8.6664758088163101</v>
      </c>
      <c r="C4219" s="1">
        <v>43312</v>
      </c>
    </row>
    <row r="4220" spans="1:3">
      <c r="A4220" t="s">
        <v>8</v>
      </c>
      <c r="B4220">
        <v>27.977817592451501</v>
      </c>
      <c r="C4220" s="1">
        <v>43343</v>
      </c>
    </row>
    <row r="4221" spans="1:3">
      <c r="A4221" t="s">
        <v>11</v>
      </c>
      <c r="B4221">
        <v>48.619059807350297</v>
      </c>
      <c r="C4221" s="1">
        <v>43343</v>
      </c>
    </row>
    <row r="4222" spans="1:3">
      <c r="A4222" t="s">
        <v>14</v>
      </c>
      <c r="B4222">
        <v>6.6048971930949101</v>
      </c>
      <c r="C4222" s="1">
        <v>43343</v>
      </c>
    </row>
    <row r="4223" spans="1:3">
      <c r="A4223" t="s">
        <v>17</v>
      </c>
      <c r="B4223">
        <v>8.9084549100211596</v>
      </c>
      <c r="C4223" s="1">
        <v>43343</v>
      </c>
    </row>
    <row r="4224" spans="1:3">
      <c r="A4224" t="s">
        <v>20</v>
      </c>
      <c r="B4224">
        <v>1.1016124904056199</v>
      </c>
      <c r="C4224" s="1">
        <v>43343</v>
      </c>
    </row>
    <row r="4225" spans="1:3">
      <c r="A4225" t="s">
        <v>24</v>
      </c>
      <c r="B4225">
        <v>2.1841139834560002</v>
      </c>
      <c r="C4225" s="1">
        <v>43343</v>
      </c>
    </row>
    <row r="4226" spans="1:3">
      <c r="A4226" t="s">
        <v>27</v>
      </c>
      <c r="B4226">
        <v>20.252879447215498</v>
      </c>
      <c r="C4226" s="1">
        <v>43343</v>
      </c>
    </row>
    <row r="4227" spans="1:3">
      <c r="A4227" t="s">
        <v>29</v>
      </c>
      <c r="B4227">
        <v>1.8196399624667801</v>
      </c>
      <c r="C4227" s="1">
        <v>43343</v>
      </c>
    </row>
    <row r="4228" spans="1:3">
      <c r="A4228" t="s">
        <v>32</v>
      </c>
      <c r="B4228">
        <v>8.6265676990313693</v>
      </c>
      <c r="C4228" s="1">
        <v>43343</v>
      </c>
    </row>
    <row r="4229" spans="1:3">
      <c r="A4229" t="s">
        <v>35</v>
      </c>
      <c r="B4229">
        <v>4.86374882690858</v>
      </c>
      <c r="C4229" s="1">
        <v>43343</v>
      </c>
    </row>
    <row r="4230" spans="1:3">
      <c r="A4230" t="s">
        <v>37</v>
      </c>
      <c r="B4230">
        <v>0.48869550379827997</v>
      </c>
      <c r="C4230" s="1">
        <v>43343</v>
      </c>
    </row>
    <row r="4231" spans="1:3">
      <c r="A4231" t="s">
        <v>39</v>
      </c>
      <c r="B4231">
        <v>1.4927054005682101</v>
      </c>
      <c r="C4231" s="1">
        <v>43343</v>
      </c>
    </row>
    <row r="4232" spans="1:3">
      <c r="A4232" t="s">
        <v>42</v>
      </c>
      <c r="B4232">
        <v>1.6653869123852001</v>
      </c>
      <c r="C4232" s="1">
        <v>43343</v>
      </c>
    </row>
    <row r="4233" spans="1:3">
      <c r="A4233" t="s">
        <v>44</v>
      </c>
      <c r="B4233">
        <v>10.159542701169499</v>
      </c>
      <c r="C4233" s="1">
        <v>43343</v>
      </c>
    </row>
    <row r="4234" spans="1:3">
      <c r="A4234" t="s">
        <v>47</v>
      </c>
      <c r="B4234">
        <v>11.0543468987666</v>
      </c>
      <c r="C4234" s="1">
        <v>43343</v>
      </c>
    </row>
    <row r="4235" spans="1:3">
      <c r="A4235" t="s">
        <v>49</v>
      </c>
      <c r="B4235">
        <v>13.991980206515001</v>
      </c>
      <c r="C4235" s="1">
        <v>43343</v>
      </c>
    </row>
    <row r="4236" spans="1:3">
      <c r="A4236" t="s">
        <v>51</v>
      </c>
      <c r="B4236">
        <v>1.3718965958583</v>
      </c>
      <c r="C4236" s="1">
        <v>43343</v>
      </c>
    </row>
    <row r="4237" spans="1:3">
      <c r="A4237" t="s">
        <v>53</v>
      </c>
      <c r="B4237">
        <v>1.09000938486851</v>
      </c>
      <c r="C4237" s="1">
        <v>43343</v>
      </c>
    </row>
    <row r="4238" spans="1:3">
      <c r="A4238" t="s">
        <v>55</v>
      </c>
      <c r="B4238">
        <v>3.9279924921216498</v>
      </c>
      <c r="C4238" s="1">
        <v>43343</v>
      </c>
    </row>
    <row r="4239" spans="1:3">
      <c r="A4239" t="s">
        <v>57</v>
      </c>
      <c r="B4239">
        <v>3.4324716321250701</v>
      </c>
      <c r="C4239" s="1">
        <v>43343</v>
      </c>
    </row>
    <row r="4240" spans="1:3">
      <c r="A4240" t="s">
        <v>59</v>
      </c>
      <c r="B4240">
        <v>3.88977049741117</v>
      </c>
      <c r="C4240" s="1">
        <v>43343</v>
      </c>
    </row>
    <row r="4241" spans="1:3">
      <c r="A4241" t="s">
        <v>61</v>
      </c>
      <c r="B4241">
        <v>68.441259278453202</v>
      </c>
      <c r="C4241" s="1">
        <v>43343</v>
      </c>
    </row>
    <row r="4242" spans="1:3">
      <c r="A4242" t="s">
        <v>63</v>
      </c>
      <c r="B4242">
        <v>17.668799590539201</v>
      </c>
      <c r="C4242" s="1">
        <v>43343</v>
      </c>
    </row>
    <row r="4243" spans="1:3">
      <c r="A4243" t="s">
        <v>65</v>
      </c>
      <c r="B4243">
        <v>0.70642436652405005</v>
      </c>
      <c r="C4243" s="1">
        <v>43343</v>
      </c>
    </row>
    <row r="4244" spans="1:3">
      <c r="A4244" t="s">
        <v>67</v>
      </c>
      <c r="B4244">
        <v>11.9587065950414</v>
      </c>
      <c r="C4244" s="1">
        <v>43343</v>
      </c>
    </row>
    <row r="4245" spans="1:3">
      <c r="A4245" t="s">
        <v>69</v>
      </c>
      <c r="B4245">
        <v>5.8725364730173197</v>
      </c>
      <c r="C4245" s="1">
        <v>43343</v>
      </c>
    </row>
    <row r="4246" spans="1:3">
      <c r="A4246" t="s">
        <v>71</v>
      </c>
      <c r="B4246">
        <v>1.0408668202407501</v>
      </c>
      <c r="C4246" s="1">
        <v>43343</v>
      </c>
    </row>
    <row r="4247" spans="1:3">
      <c r="A4247" t="s">
        <v>73</v>
      </c>
      <c r="B4247">
        <v>2.0032420442010501</v>
      </c>
      <c r="C4247" s="1">
        <v>43343</v>
      </c>
    </row>
    <row r="4248" spans="1:3">
      <c r="A4248" t="s">
        <v>75</v>
      </c>
      <c r="B4248">
        <v>0.29895060148553998</v>
      </c>
      <c r="C4248" s="1">
        <v>43343</v>
      </c>
    </row>
    <row r="4249" spans="1:3">
      <c r="A4249" t="s">
        <v>77</v>
      </c>
      <c r="B4249">
        <v>1.7363706168475199</v>
      </c>
      <c r="C4249" s="1">
        <v>43343</v>
      </c>
    </row>
    <row r="4250" spans="1:3">
      <c r="A4250" t="s">
        <v>79</v>
      </c>
      <c r="B4250">
        <v>6.9468475386297399</v>
      </c>
      <c r="C4250" s="1">
        <v>43343</v>
      </c>
    </row>
    <row r="4251" spans="1:3">
      <c r="A4251" t="s">
        <v>81</v>
      </c>
      <c r="B4251">
        <v>10.224383585053401</v>
      </c>
      <c r="C4251" s="1">
        <v>43343</v>
      </c>
    </row>
    <row r="4252" spans="1:3">
      <c r="A4252" t="s">
        <v>83</v>
      </c>
      <c r="B4252">
        <v>0.50848903677335</v>
      </c>
      <c r="C4252" s="1">
        <v>43343</v>
      </c>
    </row>
    <row r="4253" spans="1:3">
      <c r="A4253" t="s">
        <v>85</v>
      </c>
      <c r="B4253">
        <v>6.9618633222659998</v>
      </c>
      <c r="C4253" s="1">
        <v>43343</v>
      </c>
    </row>
    <row r="4254" spans="1:3">
      <c r="A4254" t="s">
        <v>87</v>
      </c>
      <c r="B4254">
        <v>19.890453033085802</v>
      </c>
      <c r="C4254" s="1">
        <v>43343</v>
      </c>
    </row>
    <row r="4255" spans="1:3">
      <c r="A4255" t="s">
        <v>89</v>
      </c>
      <c r="B4255">
        <v>8.5999488098580006</v>
      </c>
      <c r="C4255" s="1">
        <v>43343</v>
      </c>
    </row>
    <row r="4256" spans="1:3">
      <c r="A4256" t="s">
        <v>91</v>
      </c>
      <c r="B4256">
        <v>20.692432386386098</v>
      </c>
      <c r="C4256" s="1">
        <v>43343</v>
      </c>
    </row>
    <row r="4257" spans="1:3">
      <c r="A4257" t="s">
        <v>93</v>
      </c>
      <c r="B4257">
        <v>21.158604214730001</v>
      </c>
      <c r="C4257" s="1">
        <v>43343</v>
      </c>
    </row>
    <row r="4258" spans="1:3">
      <c r="A4258" t="s">
        <v>95</v>
      </c>
      <c r="B4258">
        <v>0.57810766999601004</v>
      </c>
      <c r="C4258" s="1">
        <v>43343</v>
      </c>
    </row>
    <row r="4259" spans="1:3">
      <c r="A4259" t="s">
        <v>97</v>
      </c>
      <c r="B4259">
        <v>8.8729630577900007</v>
      </c>
      <c r="C4259" s="1">
        <v>43343</v>
      </c>
    </row>
    <row r="4260" spans="1:3">
      <c r="A4260" t="s">
        <v>99</v>
      </c>
      <c r="B4260">
        <v>5.3852060404586997</v>
      </c>
      <c r="C4260" s="1">
        <v>43343</v>
      </c>
    </row>
    <row r="4261" spans="1:3">
      <c r="A4261" t="s">
        <v>101</v>
      </c>
      <c r="B4261">
        <v>9.9035918437333006</v>
      </c>
      <c r="C4261" s="1">
        <v>43343</v>
      </c>
    </row>
    <row r="4262" spans="1:3">
      <c r="A4262" t="s">
        <v>103</v>
      </c>
      <c r="B4262">
        <v>1.1589454824713401</v>
      </c>
      <c r="C4262" s="1">
        <v>43343</v>
      </c>
    </row>
    <row r="4263" spans="1:3">
      <c r="A4263" t="s">
        <v>105</v>
      </c>
      <c r="B4263">
        <v>0.41907687057561999</v>
      </c>
      <c r="C4263" s="1">
        <v>43343</v>
      </c>
    </row>
    <row r="4264" spans="1:3">
      <c r="A4264" t="s">
        <v>107</v>
      </c>
      <c r="B4264">
        <v>3.6515655660905</v>
      </c>
      <c r="C4264" s="1">
        <v>43343</v>
      </c>
    </row>
    <row r="4265" spans="1:3">
      <c r="A4265" t="s">
        <v>109</v>
      </c>
      <c r="B4265">
        <v>1.6326252026333601</v>
      </c>
      <c r="C4265" s="1">
        <v>43343</v>
      </c>
    </row>
    <row r="4266" spans="1:3">
      <c r="A4266" t="s">
        <v>111</v>
      </c>
      <c r="B4266">
        <v>7.1031481955708102</v>
      </c>
      <c r="C4266" s="1">
        <v>43343</v>
      </c>
    </row>
    <row r="4267" spans="1:3">
      <c r="A4267" t="s">
        <v>113</v>
      </c>
      <c r="B4267">
        <v>11.9163893866119</v>
      </c>
      <c r="C4267" s="1">
        <v>43343</v>
      </c>
    </row>
    <row r="4268" spans="1:3">
      <c r="A4268" t="s">
        <v>115</v>
      </c>
      <c r="B4268">
        <v>3.7007081307182599</v>
      </c>
      <c r="C4268" s="1">
        <v>43343</v>
      </c>
    </row>
    <row r="4269" spans="1:3">
      <c r="A4269" t="s">
        <v>117</v>
      </c>
      <c r="B4269">
        <v>4.9483832437675002</v>
      </c>
      <c r="C4269" s="1">
        <v>43343</v>
      </c>
    </row>
    <row r="4270" spans="1:3">
      <c r="A4270" t="s">
        <v>119</v>
      </c>
      <c r="B4270">
        <v>18.093336746073401</v>
      </c>
      <c r="C4270" s="1">
        <v>43343</v>
      </c>
    </row>
    <row r="4271" spans="1:3">
      <c r="A4271" t="s">
        <v>121</v>
      </c>
      <c r="B4271">
        <v>14.634246224775</v>
      </c>
      <c r="C4271" s="1">
        <v>43343</v>
      </c>
    </row>
    <row r="4272" spans="1:3">
      <c r="A4272" t="s">
        <v>123</v>
      </c>
      <c r="B4272">
        <v>5.4152376077312203</v>
      </c>
      <c r="C4272" s="1">
        <v>43343</v>
      </c>
    </row>
    <row r="4273" spans="1:3">
      <c r="A4273" t="s">
        <v>125</v>
      </c>
      <c r="B4273">
        <v>222.90043511722101</v>
      </c>
      <c r="C4273" s="1">
        <v>43343</v>
      </c>
    </row>
    <row r="4274" spans="1:3">
      <c r="A4274" t="s">
        <v>127</v>
      </c>
      <c r="B4274">
        <v>6.0738844808671697</v>
      </c>
      <c r="C4274" s="1">
        <v>43343</v>
      </c>
    </row>
    <row r="4275" spans="1:3">
      <c r="A4275" t="s">
        <v>129</v>
      </c>
      <c r="B4275">
        <v>4.8255268321980997</v>
      </c>
      <c r="C4275" s="1">
        <v>43343</v>
      </c>
    </row>
    <row r="4276" spans="1:3">
      <c r="A4276" t="s">
        <v>131</v>
      </c>
      <c r="B4276">
        <v>1.6094189915591399</v>
      </c>
      <c r="C4276" s="1">
        <v>43343</v>
      </c>
    </row>
    <row r="4277" spans="1:3">
      <c r="A4277" t="s">
        <v>134</v>
      </c>
      <c r="B4277">
        <v>2.6891903421302001</v>
      </c>
      <c r="C4277" s="1">
        <v>43343</v>
      </c>
    </row>
    <row r="4278" spans="1:3">
      <c r="A4278" t="s">
        <v>136</v>
      </c>
      <c r="B4278">
        <v>13.923726644532</v>
      </c>
      <c r="C4278" s="1">
        <v>43343</v>
      </c>
    </row>
    <row r="4279" spans="1:3">
      <c r="A4279" t="s">
        <v>138</v>
      </c>
      <c r="B4279">
        <v>14.742769388328</v>
      </c>
      <c r="C4279" s="1">
        <v>43343</v>
      </c>
    </row>
    <row r="4280" spans="1:3">
      <c r="A4280" t="s">
        <v>140</v>
      </c>
      <c r="B4280">
        <v>13.855473082549</v>
      </c>
      <c r="C4280" s="1">
        <v>43343</v>
      </c>
    </row>
    <row r="4281" spans="1:3">
      <c r="A4281" t="s">
        <v>142</v>
      </c>
      <c r="B4281">
        <v>6.5639450559051102</v>
      </c>
      <c r="C4281" s="1">
        <v>43343</v>
      </c>
    </row>
    <row r="4282" spans="1:3">
      <c r="A4282" t="s">
        <v>144</v>
      </c>
      <c r="B4282">
        <v>5.1900008531873203</v>
      </c>
      <c r="C4282" s="1">
        <v>43343</v>
      </c>
    </row>
    <row r="4283" spans="1:3">
      <c r="A4283" t="s">
        <v>146</v>
      </c>
      <c r="B4283">
        <v>6.8519750874733703</v>
      </c>
      <c r="C4283" s="1">
        <v>43343</v>
      </c>
    </row>
    <row r="4284" spans="1:3">
      <c r="A4284" t="s">
        <v>148</v>
      </c>
      <c r="B4284">
        <v>12.718368739912201</v>
      </c>
      <c r="C4284" s="1">
        <v>43343</v>
      </c>
    </row>
    <row r="4285" spans="1:3">
      <c r="A4285" t="s">
        <v>150</v>
      </c>
      <c r="B4285">
        <v>7.9180957256478299</v>
      </c>
      <c r="C4285" s="1">
        <v>43343</v>
      </c>
    </row>
    <row r="4286" spans="1:3">
      <c r="A4286" t="s">
        <v>152</v>
      </c>
      <c r="B4286">
        <v>8.0470949577957001</v>
      </c>
      <c r="C4286" s="1">
        <v>43343</v>
      </c>
    </row>
    <row r="4287" spans="1:3">
      <c r="A4287" t="s">
        <v>154</v>
      </c>
      <c r="B4287">
        <v>19.538947188873401</v>
      </c>
      <c r="C4287" s="1">
        <v>43343</v>
      </c>
    </row>
    <row r="4288" spans="1:3">
      <c r="A4288" t="s">
        <v>156</v>
      </c>
      <c r="B4288">
        <v>39.314051702207998</v>
      </c>
      <c r="C4288" s="1">
        <v>43343</v>
      </c>
    </row>
    <row r="4289" spans="1:3">
      <c r="A4289" t="s">
        <v>158</v>
      </c>
      <c r="B4289">
        <v>29.349031652690002</v>
      </c>
      <c r="C4289" s="1">
        <v>43343</v>
      </c>
    </row>
    <row r="4290" spans="1:3">
      <c r="A4290" t="s">
        <v>160</v>
      </c>
      <c r="B4290">
        <v>18.9731251600343</v>
      </c>
      <c r="C4290" s="1">
        <v>43343</v>
      </c>
    </row>
    <row r="4291" spans="1:3">
      <c r="A4291" t="s">
        <v>162</v>
      </c>
      <c r="B4291">
        <v>1.2217387594957001</v>
      </c>
      <c r="C4291" s="1">
        <v>43343</v>
      </c>
    </row>
    <row r="4292" spans="1:3">
      <c r="A4292" t="s">
        <v>164</v>
      </c>
      <c r="B4292">
        <v>2.4571282313879999</v>
      </c>
      <c r="C4292" s="1">
        <v>43343</v>
      </c>
    </row>
    <row r="4293" spans="1:3">
      <c r="A4293" t="s">
        <v>166</v>
      </c>
      <c r="B4293">
        <v>8.5316952478749997</v>
      </c>
      <c r="C4293" s="1">
        <v>43343</v>
      </c>
    </row>
    <row r="4294" spans="1:3">
      <c r="A4294" t="s">
        <v>168</v>
      </c>
      <c r="B4294">
        <v>8.5951710605191902</v>
      </c>
      <c r="C4294" s="1">
        <v>43343</v>
      </c>
    </row>
    <row r="4295" spans="1:3">
      <c r="A4295" t="s">
        <v>8</v>
      </c>
      <c r="B4295">
        <v>27.462591643953001</v>
      </c>
      <c r="C4295" s="1">
        <v>43373</v>
      </c>
    </row>
    <row r="4296" spans="1:3">
      <c r="A4296" t="s">
        <v>11</v>
      </c>
      <c r="B4296">
        <v>47.1866442895547</v>
      </c>
      <c r="C4296" s="1">
        <v>43373</v>
      </c>
    </row>
    <row r="4297" spans="1:3">
      <c r="A4297" t="s">
        <v>14</v>
      </c>
      <c r="B4297">
        <v>7.0488472750027498</v>
      </c>
      <c r="C4297" s="1">
        <v>43373</v>
      </c>
    </row>
    <row r="4298" spans="1:3">
      <c r="A4298" t="s">
        <v>17</v>
      </c>
      <c r="B4298">
        <v>8.2021022878152294</v>
      </c>
      <c r="C4298" s="1">
        <v>43373</v>
      </c>
    </row>
    <row r="4299" spans="1:3">
      <c r="A4299" t="s">
        <v>20</v>
      </c>
      <c r="B4299">
        <v>1.0953096016295001</v>
      </c>
      <c r="C4299" s="1">
        <v>43373</v>
      </c>
    </row>
    <row r="4300" spans="1:3">
      <c r="A4300" t="s">
        <v>24</v>
      </c>
      <c r="B4300">
        <v>2.0846214998754999</v>
      </c>
      <c r="C4300" s="1">
        <v>43373</v>
      </c>
    </row>
    <row r="4301" spans="1:3">
      <c r="A4301" t="s">
        <v>27</v>
      </c>
      <c r="B4301">
        <v>22.598003710006299</v>
      </c>
      <c r="C4301" s="1">
        <v>43373</v>
      </c>
    </row>
    <row r="4302" spans="1:3">
      <c r="A4302" t="s">
        <v>29</v>
      </c>
      <c r="B4302">
        <v>1.7355357300658401</v>
      </c>
      <c r="C4302" s="1">
        <v>43373</v>
      </c>
    </row>
    <row r="4303" spans="1:3">
      <c r="A4303" t="s">
        <v>32</v>
      </c>
      <c r="B4303">
        <v>8.8988605247227692</v>
      </c>
      <c r="C4303" s="1">
        <v>43373</v>
      </c>
    </row>
    <row r="4304" spans="1:3">
      <c r="A4304" t="s">
        <v>35</v>
      </c>
      <c r="B4304">
        <v>4.4420104231245396</v>
      </c>
      <c r="C4304" s="1">
        <v>43373</v>
      </c>
    </row>
    <row r="4305" spans="1:3">
      <c r="A4305" t="s">
        <v>37</v>
      </c>
      <c r="B4305">
        <v>0.37028531048635999</v>
      </c>
      <c r="C4305" s="1">
        <v>43373</v>
      </c>
    </row>
    <row r="4306" spans="1:3">
      <c r="A4306" t="s">
        <v>39</v>
      </c>
      <c r="B4306">
        <v>1.5652327532963499</v>
      </c>
      <c r="C4306" s="1">
        <v>43373</v>
      </c>
    </row>
    <row r="4307" spans="1:3">
      <c r="A4307" t="s">
        <v>42</v>
      </c>
      <c r="B4307">
        <v>1.9786237964919999</v>
      </c>
      <c r="C4307" s="1">
        <v>43373</v>
      </c>
    </row>
    <row r="4308" spans="1:3">
      <c r="A4308" t="s">
        <v>44</v>
      </c>
      <c r="B4308">
        <v>10.271884109217</v>
      </c>
      <c r="C4308" s="1">
        <v>43373</v>
      </c>
    </row>
    <row r="4309" spans="1:3">
      <c r="A4309" t="s">
        <v>47</v>
      </c>
      <c r="B4309">
        <v>11.2491829344129</v>
      </c>
      <c r="C4309" s="1">
        <v>43373</v>
      </c>
    </row>
    <row r="4310" spans="1:3">
      <c r="A4310" t="s">
        <v>49</v>
      </c>
      <c r="B4310">
        <v>13.0115714160025</v>
      </c>
      <c r="C4310" s="1">
        <v>43373</v>
      </c>
    </row>
    <row r="4311" spans="1:3">
      <c r="A4311" t="s">
        <v>51</v>
      </c>
      <c r="B4311">
        <v>1.4253157848301301</v>
      </c>
      <c r="C4311" s="1">
        <v>43373</v>
      </c>
    </row>
    <row r="4312" spans="1:3">
      <c r="A4312" t="s">
        <v>53</v>
      </c>
      <c r="B4312">
        <v>1.05432382298788</v>
      </c>
      <c r="C4312" s="1">
        <v>43373</v>
      </c>
    </row>
    <row r="4313" spans="1:3">
      <c r="A4313" t="s">
        <v>55</v>
      </c>
      <c r="B4313">
        <v>3.8081441568912102</v>
      </c>
      <c r="C4313" s="1">
        <v>43373</v>
      </c>
    </row>
    <row r="4314" spans="1:3">
      <c r="A4314" t="s">
        <v>57</v>
      </c>
      <c r="B4314">
        <v>3.6505609045277398</v>
      </c>
      <c r="C4314" s="1">
        <v>43373</v>
      </c>
    </row>
    <row r="4315" spans="1:3">
      <c r="A4315" t="s">
        <v>59</v>
      </c>
      <c r="B4315">
        <v>4.1077643317885704</v>
      </c>
      <c r="C4315" s="1">
        <v>43373</v>
      </c>
    </row>
    <row r="4316" spans="1:3">
      <c r="A4316" t="s">
        <v>61</v>
      </c>
      <c r="B4316">
        <v>72.378058475677307</v>
      </c>
      <c r="C4316" s="1">
        <v>43373</v>
      </c>
    </row>
    <row r="4317" spans="1:3">
      <c r="A4317" t="s">
        <v>63</v>
      </c>
      <c r="B4317">
        <v>17.424609133535601</v>
      </c>
      <c r="C4317" s="1">
        <v>43373</v>
      </c>
    </row>
    <row r="4318" spans="1:3">
      <c r="A4318" t="s">
        <v>65</v>
      </c>
      <c r="B4318">
        <v>0.70806465860178003</v>
      </c>
      <c r="C4318" s="1">
        <v>43373</v>
      </c>
    </row>
    <row r="4319" spans="1:3">
      <c r="A4319" t="s">
        <v>67</v>
      </c>
      <c r="B4319">
        <v>12.01307305013</v>
      </c>
      <c r="C4319" s="1">
        <v>43373</v>
      </c>
    </row>
    <row r="4320" spans="1:3">
      <c r="A4320" t="s">
        <v>69</v>
      </c>
      <c r="B4320">
        <v>5.9005388216814998</v>
      </c>
      <c r="C4320" s="1">
        <v>43373</v>
      </c>
    </row>
    <row r="4321" spans="1:3">
      <c r="A4321" t="s">
        <v>71</v>
      </c>
      <c r="B4321">
        <v>1.0493772634966501</v>
      </c>
      <c r="C4321" s="1">
        <v>43373</v>
      </c>
    </row>
    <row r="4322" spans="1:3">
      <c r="A4322" t="s">
        <v>73</v>
      </c>
      <c r="B4322">
        <v>1.7108029326096901</v>
      </c>
      <c r="C4322" s="1">
        <v>43373</v>
      </c>
    </row>
    <row r="4323" spans="1:3">
      <c r="A4323" t="s">
        <v>75</v>
      </c>
      <c r="B4323">
        <v>0.29184700998257002</v>
      </c>
      <c r="C4323" s="1">
        <v>43373</v>
      </c>
    </row>
    <row r="4324" spans="1:3">
      <c r="A4324" t="s">
        <v>77</v>
      </c>
      <c r="B4324">
        <v>1.64155109973247</v>
      </c>
      <c r="C4324" s="1">
        <v>43373</v>
      </c>
    </row>
    <row r="4325" spans="1:3">
      <c r="A4325" t="s">
        <v>79</v>
      </c>
      <c r="B4325">
        <v>6.9880752583962096</v>
      </c>
      <c r="C4325" s="1">
        <v>43373</v>
      </c>
    </row>
    <row r="4326" spans="1:3">
      <c r="A4326" t="s">
        <v>81</v>
      </c>
      <c r="B4326">
        <v>10.852751523758601</v>
      </c>
      <c r="C4326" s="1">
        <v>43373</v>
      </c>
    </row>
    <row r="4327" spans="1:3">
      <c r="A4327" t="s">
        <v>83</v>
      </c>
      <c r="B4327">
        <v>0.54553484674707997</v>
      </c>
      <c r="C4327" s="1">
        <v>43373</v>
      </c>
    </row>
    <row r="4328" spans="1:3">
      <c r="A4328" t="s">
        <v>85</v>
      </c>
      <c r="B4328">
        <v>6.5223920148646997</v>
      </c>
      <c r="C4328" s="1">
        <v>43373</v>
      </c>
    </row>
    <row r="4329" spans="1:3">
      <c r="A4329" t="s">
        <v>87</v>
      </c>
      <c r="B4329">
        <v>11.9692606660648</v>
      </c>
      <c r="C4329" s="1">
        <v>43373</v>
      </c>
    </row>
    <row r="4330" spans="1:3">
      <c r="A4330" t="s">
        <v>89</v>
      </c>
      <c r="B4330">
        <v>9.0451373553920007</v>
      </c>
      <c r="C4330" s="1">
        <v>43373</v>
      </c>
    </row>
    <row r="4331" spans="1:3">
      <c r="A4331" t="s">
        <v>91</v>
      </c>
      <c r="B4331">
        <v>23.248829608781001</v>
      </c>
      <c r="C4331" s="1">
        <v>43373</v>
      </c>
    </row>
    <row r="4332" spans="1:3">
      <c r="A4332" t="s">
        <v>93</v>
      </c>
      <c r="B4332">
        <v>20.775549863165999</v>
      </c>
      <c r="C4332" s="1">
        <v>43373</v>
      </c>
    </row>
    <row r="4333" spans="1:3">
      <c r="A4333" t="s">
        <v>95</v>
      </c>
      <c r="B4333">
        <v>0.55118805759419998</v>
      </c>
      <c r="C4333" s="1">
        <v>43373</v>
      </c>
    </row>
    <row r="4334" spans="1:3">
      <c r="A4334" t="s">
        <v>97</v>
      </c>
      <c r="B4334">
        <v>8.9377263492967192</v>
      </c>
      <c r="C4334" s="1">
        <v>43373</v>
      </c>
    </row>
    <row r="4335" spans="1:3">
      <c r="A4335" t="s">
        <v>99</v>
      </c>
      <c r="B4335">
        <v>5.8277537320248296</v>
      </c>
      <c r="C4335" s="1">
        <v>43373</v>
      </c>
    </row>
    <row r="4336" spans="1:3">
      <c r="A4336" t="s">
        <v>101</v>
      </c>
      <c r="B4336">
        <v>10.2210052115929</v>
      </c>
      <c r="C4336" s="1">
        <v>43373</v>
      </c>
    </row>
    <row r="4337" spans="1:3">
      <c r="A4337" t="s">
        <v>103</v>
      </c>
      <c r="B4337">
        <v>1.16950799399795</v>
      </c>
      <c r="C4337" s="1">
        <v>43373</v>
      </c>
    </row>
    <row r="4338" spans="1:3">
      <c r="A4338" t="s">
        <v>105</v>
      </c>
      <c r="B4338">
        <v>0.45579012454904999</v>
      </c>
      <c r="C4338" s="1">
        <v>43373</v>
      </c>
    </row>
    <row r="4339" spans="1:3">
      <c r="A4339" t="s">
        <v>107</v>
      </c>
      <c r="B4339">
        <v>4.2780673085580601</v>
      </c>
      <c r="C4339" s="1">
        <v>43373</v>
      </c>
    </row>
    <row r="4340" spans="1:3">
      <c r="A4340" t="s">
        <v>109</v>
      </c>
      <c r="B4340">
        <v>1.6500309160031501</v>
      </c>
      <c r="C4340" s="1">
        <v>43373</v>
      </c>
    </row>
    <row r="4341" spans="1:3">
      <c r="A4341" t="s">
        <v>111</v>
      </c>
      <c r="B4341">
        <v>7.4007596502359698</v>
      </c>
      <c r="C4341" s="1">
        <v>43373</v>
      </c>
    </row>
    <row r="4342" spans="1:3">
      <c r="A4342" t="s">
        <v>113</v>
      </c>
      <c r="B4342">
        <v>12.2512145570649</v>
      </c>
      <c r="C4342" s="1">
        <v>43373</v>
      </c>
    </row>
    <row r="4343" spans="1:3">
      <c r="A4343" t="s">
        <v>115</v>
      </c>
      <c r="B4343">
        <v>3.5049907252143999</v>
      </c>
      <c r="C4343" s="1">
        <v>43373</v>
      </c>
    </row>
    <row r="4344" spans="1:3">
      <c r="A4344" t="s">
        <v>117</v>
      </c>
      <c r="B4344">
        <v>4.8603480258114198</v>
      </c>
      <c r="C4344" s="1">
        <v>43373</v>
      </c>
    </row>
    <row r="4345" spans="1:3">
      <c r="A4345" t="s">
        <v>119</v>
      </c>
      <c r="B4345">
        <v>22.680681918645401</v>
      </c>
      <c r="C4345" s="1">
        <v>43373</v>
      </c>
    </row>
    <row r="4346" spans="1:3">
      <c r="A4346" t="s">
        <v>121</v>
      </c>
      <c r="B4346">
        <v>13.9386979949302</v>
      </c>
      <c r="C4346" s="1">
        <v>43373</v>
      </c>
    </row>
    <row r="4347" spans="1:3">
      <c r="A4347" t="s">
        <v>123</v>
      </c>
      <c r="B4347">
        <v>5.5903188764457896</v>
      </c>
      <c r="C4347" s="1">
        <v>43373</v>
      </c>
    </row>
    <row r="4348" spans="1:3">
      <c r="A4348" t="s">
        <v>125</v>
      </c>
      <c r="B4348">
        <v>215.64455436881499</v>
      </c>
      <c r="C4348" s="1">
        <v>43373</v>
      </c>
    </row>
    <row r="4349" spans="1:3">
      <c r="A4349" t="s">
        <v>127</v>
      </c>
      <c r="B4349">
        <v>6.1888525748846197</v>
      </c>
      <c r="C4349" s="1">
        <v>43373</v>
      </c>
    </row>
    <row r="4350" spans="1:3">
      <c r="A4350" t="s">
        <v>129</v>
      </c>
      <c r="B4350">
        <v>4.7960427524254303</v>
      </c>
      <c r="C4350" s="1">
        <v>43373</v>
      </c>
    </row>
    <row r="4351" spans="1:3">
      <c r="A4351" t="s">
        <v>131</v>
      </c>
      <c r="B4351">
        <v>1.6358978888853499</v>
      </c>
      <c r="C4351" s="1">
        <v>43373</v>
      </c>
    </row>
    <row r="4352" spans="1:3">
      <c r="A4352" t="s">
        <v>134</v>
      </c>
      <c r="B4352">
        <v>2.82731207491589</v>
      </c>
      <c r="C4352" s="1">
        <v>43373</v>
      </c>
    </row>
    <row r="4353" spans="1:3">
      <c r="A4353" t="s">
        <v>136</v>
      </c>
      <c r="B4353">
        <v>13.5429732356318</v>
      </c>
      <c r="C4353" s="1">
        <v>43373</v>
      </c>
    </row>
    <row r="4354" spans="1:3">
      <c r="A4354" t="s">
        <v>138</v>
      </c>
      <c r="B4354">
        <v>13.073050083965001</v>
      </c>
      <c r="C4354" s="1">
        <v>43373</v>
      </c>
    </row>
    <row r="4355" spans="1:3">
      <c r="A4355" t="s">
        <v>140</v>
      </c>
      <c r="B4355">
        <v>12.366398728075</v>
      </c>
      <c r="C4355" s="1">
        <v>43373</v>
      </c>
    </row>
    <row r="4356" spans="1:3">
      <c r="A4356" t="s">
        <v>142</v>
      </c>
      <c r="B4356">
        <v>7.0333009451731696</v>
      </c>
      <c r="C4356" s="1">
        <v>43373</v>
      </c>
    </row>
    <row r="4357" spans="1:3">
      <c r="A4357" t="s">
        <v>144</v>
      </c>
      <c r="B4357">
        <v>5.3705503047640004</v>
      </c>
      <c r="C4357" s="1">
        <v>43373</v>
      </c>
    </row>
    <row r="4358" spans="1:3">
      <c r="A4358" t="s">
        <v>146</v>
      </c>
      <c r="B4358">
        <v>6.2715307835237502</v>
      </c>
      <c r="C4358" s="1">
        <v>43373</v>
      </c>
    </row>
    <row r="4359" spans="1:3">
      <c r="A4359" t="s">
        <v>148</v>
      </c>
      <c r="B4359">
        <v>12.366398728075</v>
      </c>
      <c r="C4359" s="1">
        <v>43373</v>
      </c>
    </row>
    <row r="4360" spans="1:3">
      <c r="A4360" t="s">
        <v>150</v>
      </c>
      <c r="B4360">
        <v>7.5109972617548104</v>
      </c>
      <c r="C4360" s="1">
        <v>43373</v>
      </c>
    </row>
    <row r="4361" spans="1:3">
      <c r="A4361" t="s">
        <v>152</v>
      </c>
      <c r="B4361">
        <v>8.6494125960935992</v>
      </c>
      <c r="C4361" s="1">
        <v>43373</v>
      </c>
    </row>
    <row r="4362" spans="1:3">
      <c r="A4362" t="s">
        <v>154</v>
      </c>
      <c r="B4362">
        <v>18.727674233796701</v>
      </c>
      <c r="C4362" s="1">
        <v>43373</v>
      </c>
    </row>
    <row r="4363" spans="1:3">
      <c r="A4363" t="s">
        <v>156</v>
      </c>
      <c r="B4363">
        <v>38.691281689045098</v>
      </c>
      <c r="C4363" s="1">
        <v>43373</v>
      </c>
    </row>
    <row r="4364" spans="1:3">
      <c r="A4364" t="s">
        <v>158</v>
      </c>
      <c r="B4364">
        <v>32.647292642118003</v>
      </c>
      <c r="C4364" s="1">
        <v>43373</v>
      </c>
    </row>
    <row r="4365" spans="1:3">
      <c r="A4365" t="s">
        <v>160</v>
      </c>
      <c r="B4365">
        <v>18.700114830916998</v>
      </c>
      <c r="C4365" s="1">
        <v>43373</v>
      </c>
    </row>
    <row r="4366" spans="1:3">
      <c r="A4366" t="s">
        <v>162</v>
      </c>
      <c r="B4366">
        <v>1.9432912286974999</v>
      </c>
      <c r="C4366" s="1">
        <v>43373</v>
      </c>
    </row>
    <row r="4367" spans="1:3">
      <c r="A4367" t="s">
        <v>164</v>
      </c>
      <c r="B4367">
        <v>2.4047345640936699</v>
      </c>
      <c r="C4367" s="1">
        <v>43373</v>
      </c>
    </row>
    <row r="4368" spans="1:3">
      <c r="A4368" t="s">
        <v>166</v>
      </c>
      <c r="B4368">
        <v>8.7038247504971302</v>
      </c>
      <c r="C4368" s="1">
        <v>43373</v>
      </c>
    </row>
    <row r="4369" spans="1:3">
      <c r="A4369" t="s">
        <v>168</v>
      </c>
      <c r="B4369">
        <v>9.0868297853895097</v>
      </c>
      <c r="C4369" s="1">
        <v>43373</v>
      </c>
    </row>
    <row r="4370" spans="1:3">
      <c r="A4370" t="s">
        <v>8</v>
      </c>
      <c r="B4370">
        <v>23.821213916823702</v>
      </c>
      <c r="C4370" s="1">
        <v>43404</v>
      </c>
    </row>
    <row r="4371" spans="1:3">
      <c r="A4371" t="s">
        <v>11</v>
      </c>
      <c r="B4371">
        <v>43.592652162784503</v>
      </c>
      <c r="C4371" s="1">
        <v>43404</v>
      </c>
    </row>
    <row r="4372" spans="1:3">
      <c r="A4372" t="s">
        <v>14</v>
      </c>
      <c r="B4372">
        <v>6.2080758486289502</v>
      </c>
      <c r="C4372" s="1">
        <v>43404</v>
      </c>
    </row>
    <row r="4373" spans="1:3">
      <c r="A4373" t="s">
        <v>17</v>
      </c>
      <c r="B4373">
        <v>7.3099128079089004</v>
      </c>
      <c r="C4373" s="1">
        <v>43404</v>
      </c>
    </row>
    <row r="4374" spans="1:3">
      <c r="A4374" t="s">
        <v>20</v>
      </c>
      <c r="B4374">
        <v>0.99009565732469995</v>
      </c>
      <c r="C4374" s="1">
        <v>43404</v>
      </c>
    </row>
    <row r="4375" spans="1:3">
      <c r="A4375" t="s">
        <v>24</v>
      </c>
      <c r="B4375">
        <v>1.6260052484518499</v>
      </c>
      <c r="C4375" s="1">
        <v>43404</v>
      </c>
    </row>
    <row r="4376" spans="1:3">
      <c r="A4376" t="s">
        <v>27</v>
      </c>
      <c r="B4376">
        <v>21.375095234021501</v>
      </c>
      <c r="C4376" s="1">
        <v>43404</v>
      </c>
    </row>
    <row r="4377" spans="1:3">
      <c r="A4377" t="s">
        <v>29</v>
      </c>
      <c r="B4377">
        <v>1.6591890290325</v>
      </c>
      <c r="C4377" s="1">
        <v>43404</v>
      </c>
    </row>
    <row r="4378" spans="1:3">
      <c r="A4378" t="s">
        <v>32</v>
      </c>
      <c r="B4378">
        <v>8.424616947414</v>
      </c>
      <c r="C4378" s="1">
        <v>43404</v>
      </c>
    </row>
    <row r="4379" spans="1:3">
      <c r="A4379" t="s">
        <v>35</v>
      </c>
      <c r="B4379">
        <v>3.8845339879715999</v>
      </c>
      <c r="C4379" s="1">
        <v>43404</v>
      </c>
    </row>
    <row r="4380" spans="1:3">
      <c r="A4380" t="s">
        <v>37</v>
      </c>
      <c r="B4380">
        <v>0.35147718615015</v>
      </c>
      <c r="C4380" s="1">
        <v>43404</v>
      </c>
    </row>
    <row r="4381" spans="1:3">
      <c r="A4381" t="s">
        <v>39</v>
      </c>
      <c r="B4381">
        <v>1.2867180225149999</v>
      </c>
      <c r="C4381" s="1">
        <v>43404</v>
      </c>
    </row>
    <row r="4382" spans="1:3">
      <c r="A4382" t="s">
        <v>42</v>
      </c>
      <c r="B4382">
        <v>1.828494031995</v>
      </c>
      <c r="C4382" s="1">
        <v>43404</v>
      </c>
    </row>
    <row r="4383" spans="1:3">
      <c r="A4383" t="s">
        <v>44</v>
      </c>
      <c r="B4383">
        <v>10.219249978816499</v>
      </c>
      <c r="C4383" s="1">
        <v>43404</v>
      </c>
    </row>
    <row r="4384" spans="1:3">
      <c r="A4384" t="s">
        <v>47</v>
      </c>
      <c r="B4384">
        <v>11.1057309743281</v>
      </c>
      <c r="C4384" s="1">
        <v>43404</v>
      </c>
    </row>
    <row r="4385" spans="1:3">
      <c r="A4385" t="s">
        <v>49</v>
      </c>
      <c r="B4385">
        <v>11.9075594683585</v>
      </c>
      <c r="C4385" s="1">
        <v>43404</v>
      </c>
    </row>
    <row r="4386" spans="1:3">
      <c r="A4386" t="s">
        <v>51</v>
      </c>
      <c r="B4386">
        <v>1.3747566240555</v>
      </c>
      <c r="C4386" s="1">
        <v>43404</v>
      </c>
    </row>
    <row r="4387" spans="1:3">
      <c r="A4387" t="s">
        <v>53</v>
      </c>
      <c r="B4387">
        <v>1.0090578176564999</v>
      </c>
      <c r="C4387" s="1">
        <v>43404</v>
      </c>
    </row>
    <row r="4388" spans="1:3">
      <c r="A4388" t="s">
        <v>55</v>
      </c>
      <c r="B4388">
        <v>3.3271819182190501</v>
      </c>
      <c r="C4388" s="1">
        <v>43404</v>
      </c>
    </row>
    <row r="4389" spans="1:3">
      <c r="A4389" t="s">
        <v>57</v>
      </c>
      <c r="B4389">
        <v>3.6332853635752498</v>
      </c>
      <c r="C4389" s="1">
        <v>43404</v>
      </c>
    </row>
    <row r="4390" spans="1:3">
      <c r="A4390" t="s">
        <v>59</v>
      </c>
      <c r="B4390">
        <v>4.0511301108867004</v>
      </c>
      <c r="C4390" s="1">
        <v>43404</v>
      </c>
    </row>
    <row r="4391" spans="1:3">
      <c r="A4391" t="s">
        <v>61</v>
      </c>
      <c r="B4391">
        <v>67.090154913943906</v>
      </c>
      <c r="C4391" s="1">
        <v>43404</v>
      </c>
    </row>
    <row r="4392" spans="1:3">
      <c r="A4392" t="s">
        <v>63</v>
      </c>
      <c r="B4392">
        <v>13.4076017946063</v>
      </c>
      <c r="C4392" s="1">
        <v>43404</v>
      </c>
    </row>
    <row r="4393" spans="1:3">
      <c r="A4393" t="s">
        <v>65</v>
      </c>
      <c r="B4393">
        <v>0.64945399136415005</v>
      </c>
      <c r="C4393" s="1">
        <v>43404</v>
      </c>
    </row>
    <row r="4394" spans="1:3">
      <c r="A4394" t="s">
        <v>67</v>
      </c>
      <c r="B4394">
        <v>10.695335647146999</v>
      </c>
      <c r="C4394" s="1">
        <v>43404</v>
      </c>
    </row>
    <row r="4395" spans="1:3">
      <c r="A4395" t="s">
        <v>69</v>
      </c>
      <c r="B4395">
        <v>5.4800643358901997</v>
      </c>
      <c r="C4395" s="1">
        <v>43404</v>
      </c>
    </row>
    <row r="4396" spans="1:3">
      <c r="A4396" t="s">
        <v>71</v>
      </c>
      <c r="B4396">
        <v>0.96842461694549997</v>
      </c>
      <c r="C4396" s="1">
        <v>43404</v>
      </c>
    </row>
    <row r="4397" spans="1:3">
      <c r="A4397" t="s">
        <v>73</v>
      </c>
      <c r="B4397">
        <v>1.6815372894235501</v>
      </c>
      <c r="C4397" s="1">
        <v>43404</v>
      </c>
    </row>
    <row r="4398" spans="1:3">
      <c r="A4398" t="s">
        <v>75</v>
      </c>
      <c r="B4398">
        <v>0.26885634470445002</v>
      </c>
      <c r="C4398" s="1">
        <v>43404</v>
      </c>
    </row>
    <row r="4399" spans="1:3">
      <c r="A4399" t="s">
        <v>77</v>
      </c>
      <c r="B4399">
        <v>1.53390332684025</v>
      </c>
      <c r="C4399" s="1">
        <v>43404</v>
      </c>
    </row>
    <row r="4400" spans="1:3">
      <c r="A4400" t="s">
        <v>79</v>
      </c>
      <c r="B4400">
        <v>7.0803352238917503</v>
      </c>
      <c r="C4400" s="1">
        <v>43404</v>
      </c>
    </row>
    <row r="4401" spans="1:3">
      <c r="A4401" t="s">
        <v>81</v>
      </c>
      <c r="B4401">
        <v>10.3628206213287</v>
      </c>
      <c r="C4401" s="1">
        <v>43404</v>
      </c>
    </row>
    <row r="4402" spans="1:3">
      <c r="A4402" t="s">
        <v>83</v>
      </c>
      <c r="B4402">
        <v>0.52823160924300006</v>
      </c>
      <c r="C4402" s="1">
        <v>43404</v>
      </c>
    </row>
    <row r="4403" spans="1:3">
      <c r="A4403" t="s">
        <v>85</v>
      </c>
      <c r="B4403">
        <v>6.1132650469699499</v>
      </c>
      <c r="C4403" s="1">
        <v>43404</v>
      </c>
    </row>
    <row r="4404" spans="1:3">
      <c r="A4404" t="s">
        <v>87</v>
      </c>
      <c r="B4404">
        <v>10.564632184860001</v>
      </c>
      <c r="C4404" s="1">
        <v>43404</v>
      </c>
    </row>
    <row r="4405" spans="1:3">
      <c r="A4405" t="s">
        <v>89</v>
      </c>
      <c r="B4405">
        <v>8.6067891306016495</v>
      </c>
      <c r="C4405" s="1">
        <v>43404</v>
      </c>
    </row>
    <row r="4406" spans="1:3">
      <c r="A4406" t="s">
        <v>91</v>
      </c>
      <c r="B4406">
        <v>21.028358587954301</v>
      </c>
      <c r="C4406" s="1">
        <v>43404</v>
      </c>
    </row>
    <row r="4407" spans="1:3">
      <c r="A4407" t="s">
        <v>93</v>
      </c>
      <c r="B4407">
        <v>18.2646237195945</v>
      </c>
      <c r="C4407" s="1">
        <v>43404</v>
      </c>
    </row>
    <row r="4408" spans="1:3">
      <c r="A4408" t="s">
        <v>95</v>
      </c>
      <c r="B4408">
        <v>0.44831964784470002</v>
      </c>
      <c r="C4408" s="1">
        <v>43404</v>
      </c>
    </row>
    <row r="4409" spans="1:3">
      <c r="A4409" t="s">
        <v>97</v>
      </c>
      <c r="B4409">
        <v>7.8692965376970001</v>
      </c>
      <c r="C4409" s="1">
        <v>43404</v>
      </c>
    </row>
    <row r="4410" spans="1:3">
      <c r="A4410" t="s">
        <v>99</v>
      </c>
      <c r="B4410">
        <v>5.8918141030950002</v>
      </c>
      <c r="C4410" s="1">
        <v>43404</v>
      </c>
    </row>
    <row r="4411" spans="1:3">
      <c r="A4411" t="s">
        <v>101</v>
      </c>
      <c r="B4411">
        <v>9.5190044865636008</v>
      </c>
      <c r="C4411" s="1">
        <v>43404</v>
      </c>
    </row>
    <row r="4412" spans="1:3">
      <c r="A4412" t="s">
        <v>103</v>
      </c>
      <c r="B4412">
        <v>1.1343435198487499</v>
      </c>
      <c r="C4412" s="1">
        <v>43404</v>
      </c>
    </row>
    <row r="4413" spans="1:3">
      <c r="A4413" t="s">
        <v>105</v>
      </c>
      <c r="B4413">
        <v>0.40226868703890001</v>
      </c>
      <c r="C4413" s="1">
        <v>43404</v>
      </c>
    </row>
    <row r="4414" spans="1:3">
      <c r="A4414" t="s">
        <v>107</v>
      </c>
      <c r="B4414">
        <v>3.9854397697372499</v>
      </c>
      <c r="C4414" s="1">
        <v>43404</v>
      </c>
    </row>
    <row r="4415" spans="1:3">
      <c r="A4415" t="s">
        <v>109</v>
      </c>
      <c r="B4415">
        <v>1.8914754930970501</v>
      </c>
      <c r="C4415" s="1">
        <v>43404</v>
      </c>
    </row>
    <row r="4416" spans="1:3">
      <c r="A4416" t="s">
        <v>111</v>
      </c>
      <c r="B4416">
        <v>6.3997291119825004</v>
      </c>
      <c r="C4416" s="1">
        <v>43404</v>
      </c>
    </row>
    <row r="4417" spans="1:3">
      <c r="A4417" t="s">
        <v>113</v>
      </c>
      <c r="B4417">
        <v>10.9181410310457</v>
      </c>
      <c r="C4417" s="1">
        <v>43404</v>
      </c>
    </row>
    <row r="4418" spans="1:3">
      <c r="A4418" t="s">
        <v>115</v>
      </c>
      <c r="B4418">
        <v>3.44908152035205</v>
      </c>
      <c r="C4418" s="1">
        <v>43404</v>
      </c>
    </row>
    <row r="4419" spans="1:3">
      <c r="A4419" t="s">
        <v>117</v>
      </c>
      <c r="B4419">
        <v>4.6138999407340497</v>
      </c>
      <c r="C4419" s="1">
        <v>43404</v>
      </c>
    </row>
    <row r="4420" spans="1:3">
      <c r="A4420" t="s">
        <v>119</v>
      </c>
      <c r="B4420">
        <v>19.571658342465</v>
      </c>
      <c r="C4420" s="1">
        <v>43404</v>
      </c>
    </row>
    <row r="4421" spans="1:3">
      <c r="A4421" t="s">
        <v>121</v>
      </c>
      <c r="B4421">
        <v>12.8793701853633</v>
      </c>
      <c r="C4421" s="1">
        <v>43404</v>
      </c>
    </row>
    <row r="4422" spans="1:3">
      <c r="A4422" t="s">
        <v>123</v>
      </c>
      <c r="B4422">
        <v>5.0290358079980999</v>
      </c>
      <c r="C4422" s="1">
        <v>43404</v>
      </c>
    </row>
    <row r="4423" spans="1:3">
      <c r="A4423" t="s">
        <v>125</v>
      </c>
      <c r="B4423">
        <v>175.58147803232501</v>
      </c>
      <c r="C4423" s="1">
        <v>43404</v>
      </c>
    </row>
    <row r="4424" spans="1:3">
      <c r="A4424" t="s">
        <v>127</v>
      </c>
      <c r="B4424">
        <v>5.7902311013174996</v>
      </c>
      <c r="C4424" s="1">
        <v>43404</v>
      </c>
    </row>
    <row r="4425" spans="1:3">
      <c r="A4425" t="s">
        <v>129</v>
      </c>
      <c r="B4425">
        <v>4.3552018962073502</v>
      </c>
      <c r="C4425" s="1">
        <v>43404</v>
      </c>
    </row>
    <row r="4426" spans="1:3">
      <c r="A4426" t="s">
        <v>131</v>
      </c>
      <c r="B4426">
        <v>1.5853720477408499</v>
      </c>
      <c r="C4426" s="1">
        <v>43404</v>
      </c>
    </row>
    <row r="4427" spans="1:3">
      <c r="A4427" t="s">
        <v>134</v>
      </c>
      <c r="B4427">
        <v>2.7088800474000001</v>
      </c>
      <c r="C4427" s="1">
        <v>43404</v>
      </c>
    </row>
    <row r="4428" spans="1:3">
      <c r="A4428" t="s">
        <v>136</v>
      </c>
      <c r="B4428">
        <v>12.210276813655501</v>
      </c>
      <c r="C4428" s="1">
        <v>43404</v>
      </c>
    </row>
    <row r="4429" spans="1:3">
      <c r="A4429" t="s">
        <v>138</v>
      </c>
      <c r="B4429">
        <v>12.4452721577674</v>
      </c>
      <c r="C4429" s="1">
        <v>43404</v>
      </c>
    </row>
    <row r="4430" spans="1:3">
      <c r="A4430" t="s">
        <v>140</v>
      </c>
      <c r="B4430">
        <v>12.73173622278</v>
      </c>
      <c r="C4430" s="1">
        <v>43404</v>
      </c>
    </row>
    <row r="4431" spans="1:3">
      <c r="A4431" t="s">
        <v>142</v>
      </c>
      <c r="B4431">
        <v>6.2148480487474496</v>
      </c>
      <c r="C4431" s="1">
        <v>43404</v>
      </c>
    </row>
    <row r="4432" spans="1:3">
      <c r="A4432" t="s">
        <v>144</v>
      </c>
      <c r="B4432">
        <v>5.4008295945037501</v>
      </c>
      <c r="C4432" s="1">
        <v>43404</v>
      </c>
    </row>
    <row r="4433" spans="1:3">
      <c r="A4433" t="s">
        <v>146</v>
      </c>
      <c r="B4433">
        <v>5.6168627782838998</v>
      </c>
      <c r="C4433" s="1">
        <v>43404</v>
      </c>
    </row>
    <row r="4434" spans="1:3">
      <c r="A4434" t="s">
        <v>148</v>
      </c>
      <c r="B4434">
        <v>11.061034453546</v>
      </c>
      <c r="C4434" s="1">
        <v>43404</v>
      </c>
    </row>
    <row r="4435" spans="1:3">
      <c r="A4435" t="s">
        <v>150</v>
      </c>
      <c r="B4435">
        <v>6.7722001184999998</v>
      </c>
      <c r="C4435" s="1">
        <v>43404</v>
      </c>
    </row>
    <row r="4436" spans="1:3">
      <c r="A4436" t="s">
        <v>152</v>
      </c>
      <c r="B4436">
        <v>9.6713789892298507</v>
      </c>
      <c r="C4436" s="1">
        <v>43404</v>
      </c>
    </row>
    <row r="4437" spans="1:3">
      <c r="A4437" t="s">
        <v>154</v>
      </c>
      <c r="B4437">
        <v>17.8501650723423</v>
      </c>
      <c r="C4437" s="1">
        <v>43404</v>
      </c>
    </row>
    <row r="4438" spans="1:3">
      <c r="A4438" t="s">
        <v>156</v>
      </c>
      <c r="B4438">
        <v>32.777448573539999</v>
      </c>
      <c r="C4438" s="1">
        <v>43404</v>
      </c>
    </row>
    <row r="4439" spans="1:3">
      <c r="A4439" t="s">
        <v>158</v>
      </c>
      <c r="B4439">
        <v>32.637264031087</v>
      </c>
      <c r="C4439" s="1">
        <v>43404</v>
      </c>
    </row>
    <row r="4440" spans="1:3">
      <c r="A4440" t="s">
        <v>160</v>
      </c>
      <c r="B4440">
        <v>16.857360534970201</v>
      </c>
      <c r="C4440" s="1">
        <v>43404</v>
      </c>
    </row>
    <row r="4441" spans="1:3">
      <c r="A4441" t="s">
        <v>162</v>
      </c>
      <c r="B4441">
        <v>1.842038432232</v>
      </c>
      <c r="C4441" s="1">
        <v>43404</v>
      </c>
    </row>
    <row r="4442" spans="1:3">
      <c r="A4442" t="s">
        <v>164</v>
      </c>
      <c r="B4442">
        <v>2.65402522644015</v>
      </c>
      <c r="C4442" s="1">
        <v>43404</v>
      </c>
    </row>
    <row r="4443" spans="1:3">
      <c r="A4443" t="s">
        <v>166</v>
      </c>
      <c r="B4443">
        <v>8.1266401421999994</v>
      </c>
      <c r="C4443" s="1">
        <v>43404</v>
      </c>
    </row>
    <row r="4444" spans="1:3">
      <c r="A4444" t="s">
        <v>168</v>
      </c>
      <c r="B4444">
        <v>8.4578007279946501</v>
      </c>
      <c r="C4444" s="1">
        <v>43404</v>
      </c>
    </row>
    <row r="4445" spans="1:3">
      <c r="A4445" t="s">
        <v>8</v>
      </c>
      <c r="B4445">
        <v>21.815559361722499</v>
      </c>
      <c r="C4445" s="1">
        <v>43434</v>
      </c>
    </row>
    <row r="4446" spans="1:3">
      <c r="A4446" t="s">
        <v>11</v>
      </c>
      <c r="B4446">
        <v>34.917154962529501</v>
      </c>
      <c r="C4446" s="1">
        <v>43434</v>
      </c>
    </row>
    <row r="4447" spans="1:3">
      <c r="A4447" t="s">
        <v>14</v>
      </c>
      <c r="B4447">
        <v>6.0398449472537497</v>
      </c>
      <c r="C4447" s="1">
        <v>43434</v>
      </c>
    </row>
    <row r="4448" spans="1:3">
      <c r="A4448" t="s">
        <v>17</v>
      </c>
      <c r="B4448">
        <v>6.4278373749101698</v>
      </c>
      <c r="C4448" s="1">
        <v>43434</v>
      </c>
    </row>
    <row r="4449" spans="1:3">
      <c r="A4449" t="s">
        <v>20</v>
      </c>
      <c r="B4449">
        <v>1.0637338862327499</v>
      </c>
      <c r="C4449" s="1">
        <v>43434</v>
      </c>
    </row>
    <row r="4450" spans="1:3">
      <c r="A4450" t="s">
        <v>24</v>
      </c>
      <c r="B4450">
        <v>1.83106463535251</v>
      </c>
      <c r="C4450" s="1">
        <v>43434</v>
      </c>
    </row>
    <row r="4451" spans="1:3">
      <c r="A4451" t="s">
        <v>27</v>
      </c>
      <c r="B4451">
        <v>19.9758406201769</v>
      </c>
      <c r="C4451" s="1">
        <v>43434</v>
      </c>
    </row>
    <row r="4452" spans="1:3">
      <c r="A4452" t="s">
        <v>29</v>
      </c>
      <c r="B4452">
        <v>1.8750563418340001</v>
      </c>
      <c r="C4452" s="1">
        <v>43434</v>
      </c>
    </row>
    <row r="4453" spans="1:3">
      <c r="A4453" t="s">
        <v>32</v>
      </c>
      <c r="B4453">
        <v>9.0507527269295007</v>
      </c>
      <c r="C4453" s="1">
        <v>43434</v>
      </c>
    </row>
    <row r="4454" spans="1:3">
      <c r="A4454" t="s">
        <v>35</v>
      </c>
      <c r="B4454">
        <v>4.1828179933219998</v>
      </c>
      <c r="C4454" s="1">
        <v>43434</v>
      </c>
    </row>
    <row r="4455" spans="1:3">
      <c r="A4455" t="s">
        <v>37</v>
      </c>
      <c r="B4455">
        <v>0.37861714594724999</v>
      </c>
      <c r="C4455" s="1">
        <v>43434</v>
      </c>
    </row>
    <row r="4456" spans="1:3">
      <c r="A4456" t="s">
        <v>39</v>
      </c>
      <c r="B4456">
        <v>1.4935544938223899</v>
      </c>
      <c r="C4456" s="1">
        <v>43434</v>
      </c>
    </row>
    <row r="4457" spans="1:3">
      <c r="A4457" t="s">
        <v>42</v>
      </c>
      <c r="B4457">
        <v>1.9947714775049401</v>
      </c>
      <c r="C4457" s="1">
        <v>43434</v>
      </c>
    </row>
    <row r="4458" spans="1:3">
      <c r="A4458" t="s">
        <v>44</v>
      </c>
      <c r="B4458">
        <v>9.3168664923667102</v>
      </c>
      <c r="C4458" s="1">
        <v>43434</v>
      </c>
    </row>
    <row r="4459" spans="1:3">
      <c r="A4459" t="s">
        <v>47</v>
      </c>
      <c r="B4459">
        <v>11.941945370934301</v>
      </c>
      <c r="C4459" s="1">
        <v>43434</v>
      </c>
    </row>
    <row r="4460" spans="1:3">
      <c r="A4460" t="s">
        <v>49</v>
      </c>
      <c r="B4460">
        <v>14.1184530784939</v>
      </c>
      <c r="C4460" s="1">
        <v>43434</v>
      </c>
    </row>
    <row r="4461" spans="1:3">
      <c r="A4461" t="s">
        <v>51</v>
      </c>
      <c r="B4461">
        <v>1.5361038492717001</v>
      </c>
      <c r="C4461" s="1">
        <v>43434</v>
      </c>
    </row>
    <row r="4462" spans="1:3">
      <c r="A4462" t="s">
        <v>53</v>
      </c>
      <c r="B4462">
        <v>1.07094564139365</v>
      </c>
      <c r="C4462" s="1">
        <v>43434</v>
      </c>
    </row>
    <row r="4463" spans="1:3">
      <c r="A4463" t="s">
        <v>55</v>
      </c>
      <c r="B4463">
        <v>3.2207698548579402</v>
      </c>
      <c r="C4463" s="1">
        <v>43434</v>
      </c>
    </row>
    <row r="4464" spans="1:3">
      <c r="A4464" t="s">
        <v>57</v>
      </c>
      <c r="B4464">
        <v>4.0897863517463904</v>
      </c>
      <c r="C4464" s="1">
        <v>43434</v>
      </c>
    </row>
    <row r="4465" spans="1:3">
      <c r="A4465" t="s">
        <v>59</v>
      </c>
      <c r="B4465">
        <v>4.3421977823778901</v>
      </c>
      <c r="C4465" s="1">
        <v>43434</v>
      </c>
    </row>
    <row r="4466" spans="1:3">
      <c r="A4466" t="s">
        <v>61</v>
      </c>
      <c r="B4466">
        <v>79.329306769900001</v>
      </c>
      <c r="C4466" s="1">
        <v>43434</v>
      </c>
    </row>
    <row r="4467" spans="1:3">
      <c r="A4467" t="s">
        <v>63</v>
      </c>
      <c r="B4467">
        <v>12.656630307379499</v>
      </c>
      <c r="C4467" s="1">
        <v>43434</v>
      </c>
    </row>
    <row r="4468" spans="1:3">
      <c r="A4468" t="s">
        <v>65</v>
      </c>
      <c r="B4468">
        <v>0.69160731993030999</v>
      </c>
      <c r="C4468" s="1">
        <v>43434</v>
      </c>
    </row>
    <row r="4469" spans="1:3">
      <c r="A4469" t="s">
        <v>67</v>
      </c>
      <c r="B4469">
        <v>11.0988911926251</v>
      </c>
      <c r="C4469" s="1">
        <v>43434</v>
      </c>
    </row>
    <row r="4470" spans="1:3">
      <c r="A4470" t="s">
        <v>69</v>
      </c>
      <c r="B4470">
        <v>6.3290363292058398</v>
      </c>
      <c r="C4470" s="1">
        <v>43434</v>
      </c>
    </row>
    <row r="4471" spans="1:3">
      <c r="A4471" t="s">
        <v>71</v>
      </c>
      <c r="B4471">
        <v>1.0961867844568001</v>
      </c>
      <c r="C4471" s="1">
        <v>43434</v>
      </c>
    </row>
    <row r="4472" spans="1:3">
      <c r="A4472" t="s">
        <v>73</v>
      </c>
      <c r="B4472">
        <v>1.8462093211904</v>
      </c>
      <c r="C4472" s="1">
        <v>43434</v>
      </c>
    </row>
    <row r="4473" spans="1:3">
      <c r="A4473" t="s">
        <v>75</v>
      </c>
      <c r="B4473">
        <v>0.28053727575901</v>
      </c>
      <c r="C4473" s="1">
        <v>43434</v>
      </c>
    </row>
    <row r="4474" spans="1:3">
      <c r="A4474" t="s">
        <v>77</v>
      </c>
      <c r="B4474">
        <v>1.7034165690045799</v>
      </c>
      <c r="C4474" s="1">
        <v>43434</v>
      </c>
    </row>
    <row r="4475" spans="1:3">
      <c r="A4475" t="s">
        <v>79</v>
      </c>
      <c r="B4475">
        <v>7.572342918945</v>
      </c>
      <c r="C4475" s="1">
        <v>43434</v>
      </c>
    </row>
    <row r="4476" spans="1:3">
      <c r="A4476" t="s">
        <v>81</v>
      </c>
      <c r="B4476">
        <v>10.488776706012899</v>
      </c>
      <c r="C4476" s="1">
        <v>43434</v>
      </c>
    </row>
    <row r="4477" spans="1:3">
      <c r="A4477" t="s">
        <v>83</v>
      </c>
      <c r="B4477">
        <v>0.59136392319380005</v>
      </c>
      <c r="C4477" s="1">
        <v>43434</v>
      </c>
    </row>
    <row r="4478" spans="1:3">
      <c r="A4478" t="s">
        <v>85</v>
      </c>
      <c r="B4478">
        <v>6.4328856035228004</v>
      </c>
      <c r="C4478" s="1">
        <v>43434</v>
      </c>
    </row>
    <row r="4479" spans="1:3">
      <c r="A4479" t="s">
        <v>87</v>
      </c>
      <c r="B4479">
        <v>10.607049490651701</v>
      </c>
      <c r="C4479" s="1">
        <v>43434</v>
      </c>
    </row>
    <row r="4480" spans="1:3">
      <c r="A4480" t="s">
        <v>89</v>
      </c>
      <c r="B4480">
        <v>9.0146939511250004</v>
      </c>
      <c r="C4480" s="1">
        <v>43434</v>
      </c>
    </row>
    <row r="4481" spans="1:3">
      <c r="A4481" t="s">
        <v>91</v>
      </c>
      <c r="B4481">
        <v>22.861263860053</v>
      </c>
      <c r="C4481" s="1">
        <v>43434</v>
      </c>
    </row>
    <row r="4482" spans="1:3">
      <c r="A4482" t="s">
        <v>93</v>
      </c>
      <c r="B4482">
        <v>22.140809519478999</v>
      </c>
      <c r="C4482" s="1">
        <v>43434</v>
      </c>
    </row>
    <row r="4483" spans="1:3">
      <c r="A4483" t="s">
        <v>95</v>
      </c>
      <c r="B4483">
        <v>0.46876408545850001</v>
      </c>
      <c r="C4483" s="1">
        <v>43434</v>
      </c>
    </row>
    <row r="4484" spans="1:3">
      <c r="A4484" t="s">
        <v>97</v>
      </c>
      <c r="B4484">
        <v>5.8956098440357501</v>
      </c>
      <c r="C4484" s="1">
        <v>43434</v>
      </c>
    </row>
    <row r="4485" spans="1:3">
      <c r="A4485" t="s">
        <v>99</v>
      </c>
      <c r="B4485">
        <v>4.8318759578029997</v>
      </c>
      <c r="C4485" s="1">
        <v>43434</v>
      </c>
    </row>
    <row r="4486" spans="1:3">
      <c r="A4486" t="s">
        <v>101</v>
      </c>
      <c r="B4486">
        <v>10.240692328478</v>
      </c>
      <c r="C4486" s="1">
        <v>43434</v>
      </c>
    </row>
    <row r="4487" spans="1:3">
      <c r="A4487" t="s">
        <v>103</v>
      </c>
      <c r="B4487">
        <v>1.2216713242564601</v>
      </c>
      <c r="C4487" s="1">
        <v>43434</v>
      </c>
    </row>
    <row r="4488" spans="1:3">
      <c r="A4488" t="s">
        <v>105</v>
      </c>
      <c r="B4488">
        <v>0.38366537455987998</v>
      </c>
      <c r="C4488" s="1">
        <v>43434</v>
      </c>
    </row>
    <row r="4489" spans="1:3">
      <c r="A4489" t="s">
        <v>107</v>
      </c>
      <c r="B4489">
        <v>4.3284954475721804</v>
      </c>
      <c r="C4489" s="1">
        <v>43434</v>
      </c>
    </row>
    <row r="4490" spans="1:3">
      <c r="A4490" t="s">
        <v>109</v>
      </c>
      <c r="B4490">
        <v>1.5050933020798301</v>
      </c>
      <c r="C4490" s="1">
        <v>43434</v>
      </c>
    </row>
    <row r="4491" spans="1:3">
      <c r="A4491" t="s">
        <v>111</v>
      </c>
      <c r="B4491">
        <v>6.5626971964190002</v>
      </c>
      <c r="C4491" s="1">
        <v>43434</v>
      </c>
    </row>
    <row r="4492" spans="1:3">
      <c r="A4492" t="s">
        <v>113</v>
      </c>
      <c r="B4492">
        <v>12.605426845737099</v>
      </c>
      <c r="C4492" s="1">
        <v>43434</v>
      </c>
    </row>
    <row r="4493" spans="1:3">
      <c r="A4493" t="s">
        <v>115</v>
      </c>
      <c r="B4493">
        <v>4.0385828901040002</v>
      </c>
      <c r="C4493" s="1">
        <v>43434</v>
      </c>
    </row>
    <row r="4494" spans="1:3">
      <c r="A4494" t="s">
        <v>117</v>
      </c>
      <c r="B4494">
        <v>5.3006400432614997</v>
      </c>
      <c r="C4494" s="1">
        <v>43434</v>
      </c>
    </row>
    <row r="4495" spans="1:3">
      <c r="A4495" t="s">
        <v>119</v>
      </c>
      <c r="B4495">
        <v>17.854142251840099</v>
      </c>
      <c r="C4495" s="1">
        <v>43434</v>
      </c>
    </row>
    <row r="4496" spans="1:3">
      <c r="A4496" t="s">
        <v>121</v>
      </c>
      <c r="B4496">
        <v>14.5417831064387</v>
      </c>
      <c r="C4496" s="1">
        <v>43434</v>
      </c>
    </row>
    <row r="4497" spans="1:3">
      <c r="A4497" t="s">
        <v>123</v>
      </c>
      <c r="B4497">
        <v>5.5407914901194699</v>
      </c>
      <c r="C4497" s="1">
        <v>43434</v>
      </c>
    </row>
    <row r="4498" spans="1:3">
      <c r="A4498" t="s">
        <v>125</v>
      </c>
      <c r="B4498">
        <v>199.26079509566699</v>
      </c>
      <c r="C4498" s="1">
        <v>43434</v>
      </c>
    </row>
    <row r="4499" spans="1:3">
      <c r="A4499" t="s">
        <v>127</v>
      </c>
      <c r="B4499">
        <v>6.3016316595944204</v>
      </c>
      <c r="C4499" s="1">
        <v>43434</v>
      </c>
    </row>
    <row r="4500" spans="1:3">
      <c r="A4500" t="s">
        <v>129</v>
      </c>
      <c r="B4500">
        <v>4.8174524474811999</v>
      </c>
      <c r="C4500" s="1">
        <v>43434</v>
      </c>
    </row>
    <row r="4501" spans="1:3">
      <c r="A4501" t="s">
        <v>131</v>
      </c>
      <c r="B4501">
        <v>1.8902010276718899</v>
      </c>
      <c r="C4501" s="1">
        <v>43434</v>
      </c>
    </row>
    <row r="4502" spans="1:3">
      <c r="A4502" t="s">
        <v>134</v>
      </c>
      <c r="B4502">
        <v>2.7015234832731401</v>
      </c>
      <c r="C4502" s="1">
        <v>43434</v>
      </c>
    </row>
    <row r="4503" spans="1:3">
      <c r="A4503" t="s">
        <v>136</v>
      </c>
      <c r="B4503">
        <v>14.2186964752304</v>
      </c>
      <c r="C4503" s="1">
        <v>43434</v>
      </c>
    </row>
    <row r="4504" spans="1:3">
      <c r="A4504" t="s">
        <v>138</v>
      </c>
      <c r="B4504">
        <v>14.805733345327701</v>
      </c>
      <c r="C4504" s="1">
        <v>43434</v>
      </c>
    </row>
    <row r="4505" spans="1:3">
      <c r="A4505" t="s">
        <v>140</v>
      </c>
      <c r="B4505">
        <v>13.5429550166541</v>
      </c>
      <c r="C4505" s="1">
        <v>43434</v>
      </c>
    </row>
    <row r="4506" spans="1:3">
      <c r="A4506" t="s">
        <v>142</v>
      </c>
      <c r="B4506">
        <v>6.0333543676089398</v>
      </c>
      <c r="C4506" s="1">
        <v>43434</v>
      </c>
    </row>
    <row r="4507" spans="1:3">
      <c r="A4507" t="s">
        <v>144</v>
      </c>
      <c r="B4507">
        <v>5.2905435860362404</v>
      </c>
      <c r="C4507" s="1">
        <v>43434</v>
      </c>
    </row>
    <row r="4508" spans="1:3">
      <c r="A4508" t="s">
        <v>146</v>
      </c>
      <c r="B4508">
        <v>5.4614621833495702</v>
      </c>
      <c r="C4508" s="1">
        <v>43434</v>
      </c>
    </row>
    <row r="4509" spans="1:3">
      <c r="A4509" t="s">
        <v>148</v>
      </c>
      <c r="B4509">
        <v>12.634273866380701</v>
      </c>
      <c r="C4509" s="1">
        <v>43434</v>
      </c>
    </row>
    <row r="4510" spans="1:3">
      <c r="A4510" t="s">
        <v>150</v>
      </c>
      <c r="B4510">
        <v>7.1879563688690302</v>
      </c>
      <c r="C4510" s="1">
        <v>43434</v>
      </c>
    </row>
    <row r="4511" spans="1:3">
      <c r="A4511" t="s">
        <v>152</v>
      </c>
      <c r="B4511">
        <v>10.0337149553601</v>
      </c>
      <c r="C4511" s="1">
        <v>43434</v>
      </c>
    </row>
    <row r="4512" spans="1:3">
      <c r="A4512" t="s">
        <v>154</v>
      </c>
      <c r="B4512">
        <v>19.327503831211999</v>
      </c>
      <c r="C4512" s="1">
        <v>43434</v>
      </c>
    </row>
    <row r="4513" spans="1:3">
      <c r="A4513" t="s">
        <v>156</v>
      </c>
      <c r="B4513">
        <v>29.299918867704498</v>
      </c>
      <c r="C4513" s="1">
        <v>43434</v>
      </c>
    </row>
    <row r="4514" spans="1:3">
      <c r="A4514" t="s">
        <v>158</v>
      </c>
      <c r="B4514">
        <v>32.092310466005003</v>
      </c>
      <c r="C4514" s="1">
        <v>43434</v>
      </c>
    </row>
    <row r="4515" spans="1:3">
      <c r="A4515" t="s">
        <v>160</v>
      </c>
      <c r="B4515">
        <v>19.169566393188202</v>
      </c>
      <c r="C4515" s="1">
        <v>43434</v>
      </c>
    </row>
    <row r="4516" spans="1:3">
      <c r="A4516" t="s">
        <v>162</v>
      </c>
      <c r="B4516">
        <v>2.379879203097</v>
      </c>
      <c r="C4516" s="1">
        <v>43434</v>
      </c>
    </row>
    <row r="4517" spans="1:3">
      <c r="A4517" t="s">
        <v>164</v>
      </c>
      <c r="B4517">
        <v>2.91066438293924</v>
      </c>
      <c r="C4517" s="1">
        <v>43434</v>
      </c>
    </row>
    <row r="4518" spans="1:3">
      <c r="A4518" t="s">
        <v>166</v>
      </c>
      <c r="B4518">
        <v>8.2942396105510898</v>
      </c>
      <c r="C4518" s="1">
        <v>43434</v>
      </c>
    </row>
    <row r="4519" spans="1:3">
      <c r="A4519" t="s">
        <v>168</v>
      </c>
      <c r="B4519">
        <v>8.7211755160763698</v>
      </c>
      <c r="C4519" s="1">
        <v>43434</v>
      </c>
    </row>
    <row r="4520" spans="1:3">
      <c r="A4520" t="s">
        <v>8</v>
      </c>
      <c r="B4520">
        <v>21.1379909628006</v>
      </c>
      <c r="C4520" s="1">
        <v>43465</v>
      </c>
    </row>
    <row r="4521" spans="1:3">
      <c r="A4521" t="s">
        <v>11</v>
      </c>
      <c r="B4521">
        <v>32.624261383373401</v>
      </c>
      <c r="C4521" s="1">
        <v>43465</v>
      </c>
    </row>
    <row r="4522" spans="1:3">
      <c r="A4522" t="s">
        <v>14</v>
      </c>
      <c r="B4522">
        <v>5.5377128953750798</v>
      </c>
      <c r="C4522" s="1">
        <v>43465</v>
      </c>
    </row>
    <row r="4523" spans="1:3">
      <c r="A4523" t="s">
        <v>17</v>
      </c>
      <c r="B4523">
        <v>6.5102537365286999</v>
      </c>
      <c r="C4523" s="1">
        <v>43465</v>
      </c>
    </row>
    <row r="4524" spans="1:3">
      <c r="A4524" t="s">
        <v>20</v>
      </c>
      <c r="B4524">
        <v>1.0253736531105</v>
      </c>
      <c r="C4524" s="1">
        <v>43465</v>
      </c>
    </row>
    <row r="4525" spans="1:3">
      <c r="A4525" t="s">
        <v>24</v>
      </c>
      <c r="B4525">
        <v>1.7733750434473801</v>
      </c>
      <c r="C4525" s="1">
        <v>43465</v>
      </c>
    </row>
    <row r="4526" spans="1:3">
      <c r="A4526" t="s">
        <v>27</v>
      </c>
      <c r="B4526">
        <v>22.403197775452199</v>
      </c>
      <c r="C4526" s="1">
        <v>43465</v>
      </c>
    </row>
    <row r="4527" spans="1:3">
      <c r="A4527" t="s">
        <v>29</v>
      </c>
      <c r="B4527">
        <v>1.8352450469232</v>
      </c>
      <c r="C4527" s="1">
        <v>43465</v>
      </c>
    </row>
    <row r="4528" spans="1:3">
      <c r="A4528" t="s">
        <v>32</v>
      </c>
      <c r="B4528">
        <v>9.176225234616</v>
      </c>
      <c r="C4528" s="1">
        <v>43465</v>
      </c>
    </row>
    <row r="4529" spans="1:3">
      <c r="A4529" t="s">
        <v>35</v>
      </c>
      <c r="B4529">
        <v>4.3378519290912001</v>
      </c>
      <c r="C4529" s="1">
        <v>43465</v>
      </c>
    </row>
    <row r="4530" spans="1:3">
      <c r="A4530" t="s">
        <v>37</v>
      </c>
      <c r="B4530">
        <v>0.37608620090358003</v>
      </c>
      <c r="C4530" s="1">
        <v>43465</v>
      </c>
    </row>
    <row r="4531" spans="1:3">
      <c r="A4531" t="s">
        <v>39</v>
      </c>
      <c r="B4531">
        <v>1.1817865832459999</v>
      </c>
      <c r="C4531" s="1">
        <v>43465</v>
      </c>
    </row>
    <row r="4532" spans="1:3">
      <c r="A4532" t="s">
        <v>42</v>
      </c>
      <c r="B4532">
        <v>1.9464720194639999</v>
      </c>
      <c r="C4532" s="1">
        <v>43465</v>
      </c>
    </row>
    <row r="4533" spans="1:3">
      <c r="A4533" t="s">
        <v>44</v>
      </c>
      <c r="B4533">
        <v>9.5842891901250606</v>
      </c>
      <c r="C4533" s="1">
        <v>43465</v>
      </c>
    </row>
    <row r="4534" spans="1:3">
      <c r="A4534" t="s">
        <v>47</v>
      </c>
      <c r="B4534">
        <v>11.5092109836592</v>
      </c>
      <c r="C4534" s="1">
        <v>43465</v>
      </c>
    </row>
    <row r="4535" spans="1:3">
      <c r="A4535" t="s">
        <v>49</v>
      </c>
      <c r="B4535">
        <v>14.424748001385</v>
      </c>
      <c r="C4535" s="1">
        <v>43465</v>
      </c>
    </row>
    <row r="4536" spans="1:3">
      <c r="A4536" t="s">
        <v>51</v>
      </c>
      <c r="B4536">
        <v>1.3868613138681001</v>
      </c>
      <c r="C4536" s="1">
        <v>43465</v>
      </c>
    </row>
    <row r="4537" spans="1:3">
      <c r="A4537" t="s">
        <v>53</v>
      </c>
      <c r="B4537">
        <v>1.0288494960023999</v>
      </c>
      <c r="C4537" s="1">
        <v>43465</v>
      </c>
    </row>
    <row r="4538" spans="1:3">
      <c r="A4538" t="s">
        <v>55</v>
      </c>
      <c r="B4538">
        <v>2.8745220716012998</v>
      </c>
      <c r="C4538" s="1">
        <v>43465</v>
      </c>
    </row>
    <row r="4539" spans="1:3">
      <c r="A4539" t="s">
        <v>57</v>
      </c>
      <c r="B4539">
        <v>4.3997219325670196</v>
      </c>
      <c r="C4539" s="1">
        <v>43465</v>
      </c>
    </row>
    <row r="4540" spans="1:3">
      <c r="A4540" t="s">
        <v>59</v>
      </c>
      <c r="B4540">
        <v>3.9624608967660002</v>
      </c>
      <c r="C4540" s="1">
        <v>43465</v>
      </c>
    </row>
    <row r="4541" spans="1:3">
      <c r="A4541" t="s">
        <v>61</v>
      </c>
      <c r="B4541">
        <v>77.719847062884</v>
      </c>
      <c r="C4541" s="1">
        <v>43465</v>
      </c>
    </row>
    <row r="4542" spans="1:3">
      <c r="A4542" t="s">
        <v>63</v>
      </c>
      <c r="B4542">
        <v>11.117831074031301</v>
      </c>
      <c r="C4542" s="1">
        <v>43465</v>
      </c>
    </row>
    <row r="4543" spans="1:3">
      <c r="A4543" t="s">
        <v>65</v>
      </c>
      <c r="B4543">
        <v>0.67222801529345999</v>
      </c>
      <c r="C4543" s="1">
        <v>43465</v>
      </c>
    </row>
    <row r="4544" spans="1:3">
      <c r="A4544" t="s">
        <v>67</v>
      </c>
      <c r="B4544">
        <v>11.108098713934</v>
      </c>
      <c r="C4544" s="1">
        <v>43465</v>
      </c>
    </row>
    <row r="4545" spans="1:3">
      <c r="A4545" t="s">
        <v>69</v>
      </c>
      <c r="B4545">
        <v>6.1244351755278004</v>
      </c>
      <c r="C4545" s="1">
        <v>43465</v>
      </c>
    </row>
    <row r="4546" spans="1:3">
      <c r="A4546" t="s">
        <v>71</v>
      </c>
      <c r="B4546">
        <v>1.04275286757</v>
      </c>
      <c r="C4546" s="1">
        <v>43465</v>
      </c>
    </row>
    <row r="4547" spans="1:3">
      <c r="A4547" t="s">
        <v>73</v>
      </c>
      <c r="B4547">
        <v>1.8373305526583401</v>
      </c>
      <c r="C4547" s="1">
        <v>43465</v>
      </c>
    </row>
    <row r="4548" spans="1:3">
      <c r="A4548" t="s">
        <v>75</v>
      </c>
      <c r="B4548">
        <v>0.23357664233568001</v>
      </c>
      <c r="C4548" s="1">
        <v>43465</v>
      </c>
    </row>
    <row r="4549" spans="1:3">
      <c r="A4549" t="s">
        <v>77</v>
      </c>
      <c r="B4549">
        <v>1.6197427876254</v>
      </c>
      <c r="C4549" s="1">
        <v>43465</v>
      </c>
    </row>
    <row r="4550" spans="1:3">
      <c r="A4550" t="s">
        <v>79</v>
      </c>
      <c r="B4550">
        <v>6.7945776850861197</v>
      </c>
      <c r="C4550" s="1">
        <v>43465</v>
      </c>
    </row>
    <row r="4551" spans="1:3">
      <c r="A4551" t="s">
        <v>81</v>
      </c>
      <c r="B4551">
        <v>9.1922141119187302</v>
      </c>
      <c r="C4551" s="1">
        <v>43465</v>
      </c>
    </row>
    <row r="4552" spans="1:3">
      <c r="A4552" t="s">
        <v>83</v>
      </c>
      <c r="B4552">
        <v>0.56378171706617997</v>
      </c>
      <c r="C4552" s="1">
        <v>43465</v>
      </c>
    </row>
    <row r="4553" spans="1:3">
      <c r="A4553" t="s">
        <v>85</v>
      </c>
      <c r="B4553">
        <v>5.6656239137969999</v>
      </c>
      <c r="C4553" s="1">
        <v>43465</v>
      </c>
    </row>
    <row r="4554" spans="1:3">
      <c r="A4554" t="s">
        <v>87</v>
      </c>
      <c r="B4554">
        <v>9.3722627737191608</v>
      </c>
      <c r="C4554" s="1">
        <v>43465</v>
      </c>
    </row>
    <row r="4555" spans="1:3">
      <c r="A4555" t="s">
        <v>89</v>
      </c>
      <c r="B4555">
        <v>8.6200903719119992</v>
      </c>
      <c r="C4555" s="1">
        <v>43465</v>
      </c>
    </row>
    <row r="4556" spans="1:3">
      <c r="A4556" t="s">
        <v>91</v>
      </c>
      <c r="B4556">
        <v>20.6075773374967</v>
      </c>
      <c r="C4556" s="1">
        <v>43465</v>
      </c>
    </row>
    <row r="4557" spans="1:3">
      <c r="A4557" t="s">
        <v>93</v>
      </c>
      <c r="B4557">
        <v>20.368439346534</v>
      </c>
      <c r="C4557" s="1">
        <v>43465</v>
      </c>
    </row>
    <row r="4558" spans="1:3">
      <c r="A4558" t="s">
        <v>95</v>
      </c>
      <c r="B4558">
        <v>0.42752867570370001</v>
      </c>
      <c r="C4558" s="1">
        <v>43465</v>
      </c>
    </row>
    <row r="4559" spans="1:3">
      <c r="A4559" t="s">
        <v>97</v>
      </c>
      <c r="B4559">
        <v>5.8741744873109996</v>
      </c>
      <c r="C4559" s="1">
        <v>43465</v>
      </c>
    </row>
    <row r="4560" spans="1:3">
      <c r="A4560" t="s">
        <v>99</v>
      </c>
      <c r="B4560">
        <v>5.1359054570714404</v>
      </c>
      <c r="C4560" s="1">
        <v>43465</v>
      </c>
    </row>
    <row r="4561" spans="1:3">
      <c r="A4561" t="s">
        <v>101</v>
      </c>
      <c r="B4561">
        <v>9.75182481751464</v>
      </c>
      <c r="C4561" s="1">
        <v>43465</v>
      </c>
    </row>
    <row r="4562" spans="1:3">
      <c r="A4562" t="s">
        <v>103</v>
      </c>
      <c r="B4562">
        <v>0.97323600973199997</v>
      </c>
      <c r="C4562" s="1">
        <v>43465</v>
      </c>
    </row>
    <row r="4563" spans="1:3">
      <c r="A4563" t="s">
        <v>105</v>
      </c>
      <c r="B4563">
        <v>0.41014946124419999</v>
      </c>
      <c r="C4563" s="1">
        <v>43465</v>
      </c>
    </row>
    <row r="4564" spans="1:3">
      <c r="A4564" t="s">
        <v>107</v>
      </c>
      <c r="B4564">
        <v>4.3795620437940004</v>
      </c>
      <c r="C4564" s="1">
        <v>43465</v>
      </c>
    </row>
    <row r="4565" spans="1:3">
      <c r="A4565" t="s">
        <v>109</v>
      </c>
      <c r="B4565">
        <v>1.7518248175176001</v>
      </c>
      <c r="C4565" s="1">
        <v>43465</v>
      </c>
    </row>
    <row r="4566" spans="1:3">
      <c r="A4566" t="s">
        <v>111</v>
      </c>
      <c r="B4566">
        <v>5.8053527980513797</v>
      </c>
      <c r="C4566" s="1">
        <v>43465</v>
      </c>
    </row>
    <row r="4567" spans="1:3">
      <c r="A4567" t="s">
        <v>113</v>
      </c>
      <c r="B4567">
        <v>11.556482446989101</v>
      </c>
      <c r="C4567" s="1">
        <v>43465</v>
      </c>
    </row>
    <row r="4568" spans="1:3">
      <c r="A4568" t="s">
        <v>115</v>
      </c>
      <c r="B4568">
        <v>3.8296836982954199</v>
      </c>
      <c r="C4568" s="1">
        <v>43465</v>
      </c>
    </row>
    <row r="4569" spans="1:3">
      <c r="A4569" t="s">
        <v>117</v>
      </c>
      <c r="B4569">
        <v>4.7111574556812599</v>
      </c>
      <c r="C4569" s="1">
        <v>43465</v>
      </c>
    </row>
    <row r="4570" spans="1:3">
      <c r="A4570" t="s">
        <v>119</v>
      </c>
      <c r="B4570">
        <v>19.6767466110459</v>
      </c>
      <c r="C4570" s="1">
        <v>43465</v>
      </c>
    </row>
    <row r="4571" spans="1:3">
      <c r="A4571" t="s">
        <v>121</v>
      </c>
      <c r="B4571">
        <v>13.537712895372101</v>
      </c>
      <c r="C4571" s="1">
        <v>43465</v>
      </c>
    </row>
    <row r="4572" spans="1:3">
      <c r="A4572" t="s">
        <v>123</v>
      </c>
      <c r="B4572">
        <v>5.5474452554724003</v>
      </c>
      <c r="C4572" s="1">
        <v>43465</v>
      </c>
    </row>
    <row r="4573" spans="1:3">
      <c r="A4573" t="s">
        <v>125</v>
      </c>
      <c r="B4573">
        <v>201.06152241911201</v>
      </c>
      <c r="C4573" s="1">
        <v>43465</v>
      </c>
    </row>
    <row r="4574" spans="1:3">
      <c r="A4574" t="s">
        <v>127</v>
      </c>
      <c r="B4574">
        <v>6.1870003475819999</v>
      </c>
      <c r="C4574" s="1">
        <v>43465</v>
      </c>
    </row>
    <row r="4575" spans="1:3">
      <c r="A4575" t="s">
        <v>129</v>
      </c>
      <c r="B4575">
        <v>4.5575251998592803</v>
      </c>
      <c r="C4575" s="1">
        <v>43465</v>
      </c>
    </row>
    <row r="4576" spans="1:3">
      <c r="A4576" t="s">
        <v>131</v>
      </c>
      <c r="B4576">
        <v>1.90198123044768</v>
      </c>
      <c r="C4576" s="1">
        <v>43465</v>
      </c>
    </row>
    <row r="4577" spans="1:3">
      <c r="A4577" t="s">
        <v>134</v>
      </c>
      <c r="B4577">
        <v>2.3594021550217201</v>
      </c>
      <c r="C4577" s="1">
        <v>43465</v>
      </c>
    </row>
    <row r="4578" spans="1:3">
      <c r="A4578" t="s">
        <v>136</v>
      </c>
      <c r="B4578">
        <v>13.218630517895701</v>
      </c>
      <c r="C4578" s="1">
        <v>43465</v>
      </c>
    </row>
    <row r="4579" spans="1:3">
      <c r="A4579" t="s">
        <v>138</v>
      </c>
      <c r="B4579">
        <v>14.379562043790299</v>
      </c>
      <c r="C4579" s="1">
        <v>43465</v>
      </c>
    </row>
    <row r="4580" spans="1:3">
      <c r="A4580" t="s">
        <v>140</v>
      </c>
      <c r="B4580">
        <v>13.3090024330851</v>
      </c>
      <c r="C4580" s="1">
        <v>43465</v>
      </c>
    </row>
    <row r="4581" spans="1:3">
      <c r="A4581" t="s">
        <v>142</v>
      </c>
      <c r="B4581">
        <v>5.4918317692020002</v>
      </c>
      <c r="C4581" s="1">
        <v>43465</v>
      </c>
    </row>
    <row r="4582" spans="1:3">
      <c r="A4582" t="s">
        <v>144</v>
      </c>
      <c r="B4582">
        <v>4.9231838720871597</v>
      </c>
      <c r="C4582" s="1">
        <v>43465</v>
      </c>
    </row>
    <row r="4583" spans="1:3">
      <c r="A4583" t="s">
        <v>146</v>
      </c>
      <c r="B4583">
        <v>5.6760514424727004</v>
      </c>
      <c r="C4583" s="1">
        <v>43465</v>
      </c>
    </row>
    <row r="4584" spans="1:3">
      <c r="A4584" t="s">
        <v>148</v>
      </c>
      <c r="B4584">
        <v>12.430309350012701</v>
      </c>
      <c r="C4584" s="1">
        <v>43465</v>
      </c>
    </row>
    <row r="4585" spans="1:3">
      <c r="A4585" t="s">
        <v>150</v>
      </c>
      <c r="B4585">
        <v>7.0677789363894599</v>
      </c>
      <c r="C4585" s="1">
        <v>43465</v>
      </c>
    </row>
    <row r="4586" spans="1:3">
      <c r="A4586" t="s">
        <v>152</v>
      </c>
      <c r="B4586">
        <v>12.6346889120565</v>
      </c>
      <c r="C4586" s="1">
        <v>43465</v>
      </c>
    </row>
    <row r="4587" spans="1:3">
      <c r="A4587" t="s">
        <v>154</v>
      </c>
      <c r="B4587">
        <v>19.032325338887599</v>
      </c>
      <c r="C4587" s="1">
        <v>43465</v>
      </c>
    </row>
    <row r="4588" spans="1:3">
      <c r="A4588" t="s">
        <v>156</v>
      </c>
      <c r="B4588">
        <v>29.544664581149998</v>
      </c>
      <c r="C4588" s="1">
        <v>43465</v>
      </c>
    </row>
    <row r="4589" spans="1:3">
      <c r="A4589" t="s">
        <v>158</v>
      </c>
      <c r="B4589">
        <v>37.395203336795298</v>
      </c>
      <c r="C4589" s="1">
        <v>43465</v>
      </c>
    </row>
    <row r="4590" spans="1:3">
      <c r="A4590" t="s">
        <v>160</v>
      </c>
      <c r="B4590">
        <v>19.097671185255301</v>
      </c>
      <c r="C4590" s="1">
        <v>43465</v>
      </c>
    </row>
    <row r="4591" spans="1:3">
      <c r="A4591" t="s">
        <v>162</v>
      </c>
      <c r="B4591">
        <v>2.5498783454978402</v>
      </c>
      <c r="C4591" s="1">
        <v>43465</v>
      </c>
    </row>
    <row r="4592" spans="1:3">
      <c r="A4592" t="s">
        <v>164</v>
      </c>
      <c r="B4592">
        <v>3.4299617657269201</v>
      </c>
      <c r="C4592" s="1">
        <v>43465</v>
      </c>
    </row>
    <row r="4593" spans="1:3">
      <c r="A4593" t="s">
        <v>166</v>
      </c>
      <c r="B4593">
        <v>8.0041710114673208</v>
      </c>
      <c r="C4593" s="1">
        <v>43465</v>
      </c>
    </row>
    <row r="4594" spans="1:3">
      <c r="A4594" t="s">
        <v>168</v>
      </c>
      <c r="B4594">
        <v>9.8957247132393</v>
      </c>
      <c r="C4594" s="1">
        <v>43465</v>
      </c>
    </row>
    <row r="4595" spans="1:3">
      <c r="A4595" t="s">
        <v>8</v>
      </c>
      <c r="B4595">
        <v>24.339864355769301</v>
      </c>
      <c r="C4595" s="1">
        <v>43496</v>
      </c>
    </row>
    <row r="4596" spans="1:3">
      <c r="A4596" t="s">
        <v>11</v>
      </c>
      <c r="B4596">
        <v>35.108515448494899</v>
      </c>
      <c r="C4596" s="1">
        <v>43496</v>
      </c>
    </row>
    <row r="4597" spans="1:3">
      <c r="A4597" t="s">
        <v>14</v>
      </c>
      <c r="B4597">
        <v>6.5327807083861504</v>
      </c>
      <c r="C4597" s="1">
        <v>43496</v>
      </c>
    </row>
    <row r="4598" spans="1:3">
      <c r="A4598" t="s">
        <v>17</v>
      </c>
      <c r="B4598">
        <v>6.8432554634738398</v>
      </c>
      <c r="C4598" s="1">
        <v>43496</v>
      </c>
    </row>
    <row r="4599" spans="1:3">
      <c r="A4599" t="s">
        <v>20</v>
      </c>
      <c r="B4599">
        <v>1.1989449887002399</v>
      </c>
      <c r="C4599" s="1">
        <v>43496</v>
      </c>
    </row>
    <row r="4600" spans="1:3">
      <c r="A4600" t="s">
        <v>24</v>
      </c>
      <c r="B4600">
        <v>2.1703089676032001</v>
      </c>
      <c r="C4600" s="1">
        <v>43496</v>
      </c>
    </row>
    <row r="4601" spans="1:3">
      <c r="A4601" t="s">
        <v>27</v>
      </c>
      <c r="B4601">
        <v>25.779201205811699</v>
      </c>
      <c r="C4601" s="1">
        <v>43496</v>
      </c>
    </row>
    <row r="4602" spans="1:3">
      <c r="A4602" t="s">
        <v>29</v>
      </c>
      <c r="B4602">
        <v>2.0437076111596801</v>
      </c>
      <c r="C4602" s="1">
        <v>43496</v>
      </c>
    </row>
    <row r="4603" spans="1:3">
      <c r="A4603" t="s">
        <v>32</v>
      </c>
      <c r="B4603">
        <v>9.0866616428331195</v>
      </c>
      <c r="C4603" s="1">
        <v>43496</v>
      </c>
    </row>
    <row r="4604" spans="1:3">
      <c r="A4604" t="s">
        <v>35</v>
      </c>
      <c r="B4604">
        <v>4.7844762622613599</v>
      </c>
      <c r="C4604" s="1">
        <v>43496</v>
      </c>
    </row>
    <row r="4605" spans="1:3">
      <c r="A4605" t="s">
        <v>37</v>
      </c>
      <c r="B4605">
        <v>0.3353428786748</v>
      </c>
      <c r="C4605" s="1">
        <v>43496</v>
      </c>
    </row>
    <row r="4606" spans="1:3">
      <c r="A4606" t="s">
        <v>39</v>
      </c>
      <c r="B4606">
        <v>1.4084400904341601</v>
      </c>
      <c r="C4606" s="1">
        <v>43496</v>
      </c>
    </row>
    <row r="4607" spans="1:3">
      <c r="A4607" t="s">
        <v>42</v>
      </c>
      <c r="B4607">
        <v>2.08741522231279</v>
      </c>
      <c r="C4607" s="1">
        <v>43496</v>
      </c>
    </row>
    <row r="4608" spans="1:3">
      <c r="A4608" t="s">
        <v>44</v>
      </c>
      <c r="B4608">
        <v>11.5998492841375</v>
      </c>
      <c r="C4608" s="1">
        <v>43496</v>
      </c>
    </row>
    <row r="4609" spans="1:3">
      <c r="A4609" t="s">
        <v>47</v>
      </c>
      <c r="B4609">
        <v>12.374529012851401</v>
      </c>
      <c r="C4609" s="1">
        <v>43496</v>
      </c>
    </row>
    <row r="4610" spans="1:3">
      <c r="A4610" t="s">
        <v>49</v>
      </c>
      <c r="B4610">
        <v>15.026375282641499</v>
      </c>
      <c r="C4610" s="1">
        <v>43496</v>
      </c>
    </row>
    <row r="4611" spans="1:3">
      <c r="A4611" t="s">
        <v>51</v>
      </c>
      <c r="B4611">
        <v>1.582516955544</v>
      </c>
      <c r="C4611" s="1">
        <v>43496</v>
      </c>
    </row>
    <row r="4612" spans="1:3">
      <c r="A4612" t="s">
        <v>53</v>
      </c>
      <c r="B4612">
        <v>1.1906556141711999</v>
      </c>
      <c r="C4612" s="1">
        <v>43496</v>
      </c>
    </row>
    <row r="4613" spans="1:3">
      <c r="A4613" t="s">
        <v>55</v>
      </c>
      <c r="B4613">
        <v>3.1107761868979198</v>
      </c>
      <c r="C4613" s="1">
        <v>43496</v>
      </c>
    </row>
    <row r="4614" spans="1:3">
      <c r="A4614" t="s">
        <v>57</v>
      </c>
      <c r="B4614">
        <v>5.05802562171968</v>
      </c>
      <c r="C4614" s="1">
        <v>43496</v>
      </c>
    </row>
    <row r="4615" spans="1:3">
      <c r="A4615" t="s">
        <v>59</v>
      </c>
      <c r="B4615">
        <v>4.8688771665570396</v>
      </c>
      <c r="C4615" s="1">
        <v>43496</v>
      </c>
    </row>
    <row r="4616" spans="1:3">
      <c r="A4616" t="s">
        <v>61</v>
      </c>
      <c r="B4616">
        <v>87.880180859368807</v>
      </c>
      <c r="C4616" s="1">
        <v>43496</v>
      </c>
    </row>
    <row r="4617" spans="1:3">
      <c r="A4617" t="s">
        <v>63</v>
      </c>
      <c r="B4617">
        <v>12.256217030936901</v>
      </c>
      <c r="C4617" s="1">
        <v>43496</v>
      </c>
    </row>
    <row r="4618" spans="1:3">
      <c r="A4618" t="s">
        <v>65</v>
      </c>
      <c r="B4618">
        <v>0.79502637528520004</v>
      </c>
      <c r="C4618" s="1">
        <v>43496</v>
      </c>
    </row>
    <row r="4619" spans="1:3">
      <c r="A4619" t="s">
        <v>67</v>
      </c>
      <c r="B4619">
        <v>11.998492841034</v>
      </c>
      <c r="C4619" s="1">
        <v>43496</v>
      </c>
    </row>
    <row r="4620" spans="1:3">
      <c r="A4620" t="s">
        <v>69</v>
      </c>
      <c r="B4620">
        <v>6.03617181614639</v>
      </c>
      <c r="C4620" s="1">
        <v>43496</v>
      </c>
    </row>
    <row r="4621" spans="1:3">
      <c r="A4621" t="s">
        <v>71</v>
      </c>
      <c r="B4621">
        <v>1.1228334589336</v>
      </c>
      <c r="C4621" s="1">
        <v>43496</v>
      </c>
    </row>
    <row r="4622" spans="1:3">
      <c r="A4622" t="s">
        <v>73</v>
      </c>
      <c r="B4622">
        <v>1.8651092690339901</v>
      </c>
      <c r="C4622" s="1">
        <v>43496</v>
      </c>
    </row>
    <row r="4623" spans="1:3">
      <c r="A4623" t="s">
        <v>75</v>
      </c>
      <c r="B4623">
        <v>0.28259231348999903</v>
      </c>
      <c r="C4623" s="1">
        <v>43496</v>
      </c>
    </row>
    <row r="4624" spans="1:3">
      <c r="A4624" t="s">
        <v>77</v>
      </c>
      <c r="B4624">
        <v>1.9570459683560699</v>
      </c>
      <c r="C4624" s="1">
        <v>43496</v>
      </c>
    </row>
    <row r="4625" spans="1:3">
      <c r="A4625" t="s">
        <v>79</v>
      </c>
      <c r="B4625">
        <v>6.744536548628</v>
      </c>
      <c r="C4625" s="1">
        <v>43496</v>
      </c>
    </row>
    <row r="4626" spans="1:3">
      <c r="A4626" t="s">
        <v>81</v>
      </c>
      <c r="B4626">
        <v>10.550113036959999</v>
      </c>
      <c r="C4626" s="1">
        <v>43496</v>
      </c>
    </row>
    <row r="4627" spans="1:3">
      <c r="A4627" t="s">
        <v>83</v>
      </c>
      <c r="B4627">
        <v>0.64431047475720005</v>
      </c>
      <c r="C4627" s="1">
        <v>43496</v>
      </c>
    </row>
    <row r="4628" spans="1:3">
      <c r="A4628" t="s">
        <v>85</v>
      </c>
      <c r="B4628">
        <v>6.7822155237599997</v>
      </c>
      <c r="C4628" s="1">
        <v>43496</v>
      </c>
    </row>
    <row r="4629" spans="1:3">
      <c r="A4629" t="s">
        <v>87</v>
      </c>
      <c r="B4629">
        <v>10.948003014353899</v>
      </c>
      <c r="C4629" s="1">
        <v>43496</v>
      </c>
    </row>
    <row r="4630" spans="1:3">
      <c r="A4630" t="s">
        <v>89</v>
      </c>
      <c r="B4630">
        <v>8.7415222306239997</v>
      </c>
      <c r="C4630" s="1">
        <v>43496</v>
      </c>
    </row>
    <row r="4631" spans="1:3">
      <c r="A4631" t="s">
        <v>91</v>
      </c>
      <c r="B4631">
        <v>22.913338357271801</v>
      </c>
      <c r="C4631" s="1">
        <v>43496</v>
      </c>
    </row>
    <row r="4632" spans="1:3">
      <c r="A4632" t="s">
        <v>93</v>
      </c>
      <c r="B4632">
        <v>20.949510173392</v>
      </c>
      <c r="C4632" s="1">
        <v>43496</v>
      </c>
    </row>
    <row r="4633" spans="1:3">
      <c r="A4633" t="s">
        <v>95</v>
      </c>
      <c r="B4633">
        <v>0.57573474001695901</v>
      </c>
      <c r="C4633" s="1">
        <v>43496</v>
      </c>
    </row>
    <row r="4634" spans="1:3">
      <c r="A4634" t="s">
        <v>97</v>
      </c>
      <c r="B4634">
        <v>6.3669932178053497</v>
      </c>
      <c r="C4634" s="1">
        <v>43496</v>
      </c>
    </row>
    <row r="4635" spans="1:3">
      <c r="A4635" t="s">
        <v>99</v>
      </c>
      <c r="B4635">
        <v>5.7950263753015996</v>
      </c>
      <c r="C4635" s="1">
        <v>43496</v>
      </c>
    </row>
    <row r="4636" spans="1:3">
      <c r="A4636" t="s">
        <v>101</v>
      </c>
      <c r="B4636">
        <v>10.92690278828</v>
      </c>
      <c r="C4636" s="1">
        <v>43496</v>
      </c>
    </row>
    <row r="4637" spans="1:3">
      <c r="A4637" t="s">
        <v>103</v>
      </c>
      <c r="B4637">
        <v>1.16654107008672</v>
      </c>
      <c r="C4637" s="1">
        <v>43496</v>
      </c>
    </row>
    <row r="4638" spans="1:3">
      <c r="A4638" t="s">
        <v>105</v>
      </c>
      <c r="B4638">
        <v>0.41823662396519901</v>
      </c>
      <c r="C4638" s="1">
        <v>43496</v>
      </c>
    </row>
    <row r="4639" spans="1:3">
      <c r="A4639" t="s">
        <v>107</v>
      </c>
      <c r="B4639">
        <v>4.4287867370152796</v>
      </c>
      <c r="C4639" s="1">
        <v>43496</v>
      </c>
    </row>
    <row r="4640" spans="1:3">
      <c r="A4640" t="s">
        <v>109</v>
      </c>
      <c r="B4640">
        <v>2.0015071590118398</v>
      </c>
      <c r="C4640" s="1">
        <v>43496</v>
      </c>
    </row>
    <row r="4641" spans="1:3">
      <c r="A4641" t="s">
        <v>111</v>
      </c>
      <c r="B4641">
        <v>6.7068575734959897</v>
      </c>
      <c r="C4641" s="1">
        <v>43496</v>
      </c>
    </row>
    <row r="4642" spans="1:3">
      <c r="A4642" t="s">
        <v>113</v>
      </c>
      <c r="B4642">
        <v>12.7618688772083</v>
      </c>
      <c r="C4642" s="1">
        <v>43496</v>
      </c>
    </row>
    <row r="4643" spans="1:3">
      <c r="A4643" t="s">
        <v>115</v>
      </c>
      <c r="B4643">
        <v>3.7852298417607102</v>
      </c>
      <c r="C4643" s="1">
        <v>43496</v>
      </c>
    </row>
    <row r="4644" spans="1:3">
      <c r="A4644" t="s">
        <v>117</v>
      </c>
      <c r="B4644">
        <v>5.2336096458348003</v>
      </c>
      <c r="C4644" s="1">
        <v>43496</v>
      </c>
    </row>
    <row r="4645" spans="1:3">
      <c r="A4645" t="s">
        <v>119</v>
      </c>
      <c r="B4645">
        <v>25.519216277400901</v>
      </c>
      <c r="C4645" s="1">
        <v>43496</v>
      </c>
    </row>
    <row r="4646" spans="1:3">
      <c r="A4646" t="s">
        <v>121</v>
      </c>
      <c r="B4646">
        <v>15.9035418237145</v>
      </c>
      <c r="C4646" s="1">
        <v>43496</v>
      </c>
    </row>
    <row r="4647" spans="1:3">
      <c r="A4647" t="s">
        <v>123</v>
      </c>
      <c r="B4647">
        <v>6.3383571967050303</v>
      </c>
      <c r="C4647" s="1">
        <v>43496</v>
      </c>
    </row>
    <row r="4648" spans="1:3">
      <c r="A4648" t="s">
        <v>125</v>
      </c>
      <c r="B4648">
        <v>229.08816880255901</v>
      </c>
      <c r="C4648" s="1">
        <v>43496</v>
      </c>
    </row>
    <row r="4649" spans="1:3">
      <c r="A4649" t="s">
        <v>127</v>
      </c>
      <c r="B4649">
        <v>6.5584024114759201</v>
      </c>
      <c r="C4649" s="1">
        <v>43496</v>
      </c>
    </row>
    <row r="4650" spans="1:3">
      <c r="A4650" t="s">
        <v>129</v>
      </c>
      <c r="B4650">
        <v>5.2290881688189597</v>
      </c>
      <c r="C4650" s="1">
        <v>43496</v>
      </c>
    </row>
    <row r="4651" spans="1:3">
      <c r="A4651" t="s">
        <v>131</v>
      </c>
      <c r="B4651">
        <v>2.1853805576559999</v>
      </c>
      <c r="C4651" s="1">
        <v>43496</v>
      </c>
    </row>
    <row r="4652" spans="1:3">
      <c r="A4652" t="s">
        <v>134</v>
      </c>
      <c r="B4652">
        <v>2.5900527505736699</v>
      </c>
      <c r="C4652" s="1">
        <v>43496</v>
      </c>
    </row>
    <row r="4653" spans="1:3">
      <c r="A4653" t="s">
        <v>136</v>
      </c>
      <c r="B4653">
        <v>12.3323285607036</v>
      </c>
      <c r="C4653" s="1">
        <v>43496</v>
      </c>
    </row>
    <row r="4654" spans="1:3">
      <c r="A4654" t="s">
        <v>138</v>
      </c>
      <c r="B4654">
        <v>15.2675207234863</v>
      </c>
      <c r="C4654" s="1">
        <v>43496</v>
      </c>
    </row>
    <row r="4655" spans="1:3">
      <c r="A4655" t="s">
        <v>140</v>
      </c>
      <c r="B4655">
        <v>14.8379804069816</v>
      </c>
      <c r="C4655" s="1">
        <v>43496</v>
      </c>
    </row>
    <row r="4656" spans="1:3">
      <c r="A4656" t="s">
        <v>142</v>
      </c>
      <c r="B4656">
        <v>6.5606631499838297</v>
      </c>
      <c r="C4656" s="1">
        <v>43496</v>
      </c>
    </row>
    <row r="4657" spans="1:3">
      <c r="A4657" t="s">
        <v>144</v>
      </c>
      <c r="B4657">
        <v>5.3127354936119904</v>
      </c>
      <c r="C4657" s="1">
        <v>43496</v>
      </c>
    </row>
    <row r="4658" spans="1:3">
      <c r="A4658" t="s">
        <v>146</v>
      </c>
      <c r="B4658">
        <v>5.8794272795972704</v>
      </c>
      <c r="C4658" s="1">
        <v>43496</v>
      </c>
    </row>
    <row r="4659" spans="1:3">
      <c r="A4659" t="s">
        <v>148</v>
      </c>
      <c r="B4659">
        <v>14.6948003014799</v>
      </c>
      <c r="C4659" s="1">
        <v>43496</v>
      </c>
    </row>
    <row r="4660" spans="1:3">
      <c r="A4660" t="s">
        <v>150</v>
      </c>
      <c r="B4660">
        <v>7.01130369256256</v>
      </c>
      <c r="C4660" s="1">
        <v>43496</v>
      </c>
    </row>
    <row r="4661" spans="1:3">
      <c r="A4661" t="s">
        <v>152</v>
      </c>
      <c r="B4661">
        <v>14.090429540362701</v>
      </c>
      <c r="C4661" s="1">
        <v>43496</v>
      </c>
    </row>
    <row r="4662" spans="1:3">
      <c r="A4662" t="s">
        <v>154</v>
      </c>
      <c r="B4662">
        <v>20.816126601424699</v>
      </c>
      <c r="C4662" s="1">
        <v>43496</v>
      </c>
    </row>
    <row r="4663" spans="1:3">
      <c r="A4663" t="s">
        <v>156</v>
      </c>
      <c r="B4663">
        <v>30.1748304447108</v>
      </c>
      <c r="C4663" s="1">
        <v>43496</v>
      </c>
    </row>
    <row r="4664" spans="1:3">
      <c r="A4664" t="s">
        <v>158</v>
      </c>
      <c r="B4664">
        <v>48.078372268431998</v>
      </c>
      <c r="C4664" s="1">
        <v>43496</v>
      </c>
    </row>
    <row r="4665" spans="1:3">
      <c r="A4665" t="s">
        <v>160</v>
      </c>
      <c r="B4665">
        <v>21.5350414469432</v>
      </c>
      <c r="C4665" s="1">
        <v>43496</v>
      </c>
    </row>
    <row r="4666" spans="1:3">
      <c r="A4666" t="s">
        <v>162</v>
      </c>
      <c r="B4666">
        <v>2.9125847777035898</v>
      </c>
      <c r="C4666" s="1">
        <v>43496</v>
      </c>
    </row>
    <row r="4667" spans="1:3">
      <c r="A4667" t="s">
        <v>164</v>
      </c>
      <c r="B4667">
        <v>4.0512434061926399</v>
      </c>
      <c r="C4667" s="1">
        <v>43496</v>
      </c>
    </row>
    <row r="4668" spans="1:3">
      <c r="A4668" t="s">
        <v>166</v>
      </c>
      <c r="B4668">
        <v>9.1183119819440002</v>
      </c>
      <c r="C4668" s="1">
        <v>43496</v>
      </c>
    </row>
    <row r="4669" spans="1:3">
      <c r="A4669" t="s">
        <v>168</v>
      </c>
      <c r="B4669">
        <v>11.1627731726063</v>
      </c>
      <c r="C4669" s="1">
        <v>43496</v>
      </c>
    </row>
    <row r="4670" spans="1:3">
      <c r="A4670" t="s">
        <v>8</v>
      </c>
      <c r="B4670">
        <v>23.2752489330515</v>
      </c>
      <c r="C4670" s="1">
        <v>43524</v>
      </c>
    </row>
    <row r="4671" spans="1:3">
      <c r="A4671" t="s">
        <v>11</v>
      </c>
      <c r="B4671">
        <v>36.401849217494501</v>
      </c>
      <c r="C4671" s="1">
        <v>43524</v>
      </c>
    </row>
    <row r="4672" spans="1:3">
      <c r="A4672" t="s">
        <v>14</v>
      </c>
      <c r="B4672">
        <v>6.51280227593438</v>
      </c>
      <c r="C4672" s="1">
        <v>43524</v>
      </c>
    </row>
    <row r="4673" spans="1:3">
      <c r="A4673" t="s">
        <v>17</v>
      </c>
      <c r="B4673">
        <v>7.6109530582913401</v>
      </c>
      <c r="C4673" s="1">
        <v>43524</v>
      </c>
    </row>
    <row r="4674" spans="1:3">
      <c r="A4674" t="s">
        <v>20</v>
      </c>
      <c r="B4674">
        <v>1.1187766714038201</v>
      </c>
      <c r="C4674" s="1">
        <v>43524</v>
      </c>
    </row>
    <row r="4675" spans="1:3">
      <c r="A4675" t="s">
        <v>24</v>
      </c>
      <c r="B4675">
        <v>1.78093883356336</v>
      </c>
      <c r="C4675" s="1">
        <v>43524</v>
      </c>
    </row>
    <row r="4676" spans="1:3">
      <c r="A4676" t="s">
        <v>27</v>
      </c>
      <c r="B4676">
        <v>26.505689900321698</v>
      </c>
      <c r="C4676" s="1">
        <v>43524</v>
      </c>
    </row>
    <row r="4677" spans="1:3">
      <c r="A4677" t="s">
        <v>29</v>
      </c>
      <c r="B4677">
        <v>1.92460881933804</v>
      </c>
      <c r="C4677" s="1">
        <v>43524</v>
      </c>
    </row>
    <row r="4678" spans="1:3">
      <c r="A4678" t="s">
        <v>32</v>
      </c>
      <c r="B4678">
        <v>8.2588904693840792</v>
      </c>
      <c r="C4678" s="1">
        <v>43524</v>
      </c>
    </row>
    <row r="4679" spans="1:3">
      <c r="A4679" t="s">
        <v>35</v>
      </c>
      <c r="B4679">
        <v>4.6230440967100002</v>
      </c>
      <c r="C4679" s="1">
        <v>43524</v>
      </c>
    </row>
    <row r="4680" spans="1:3">
      <c r="A4680" t="s">
        <v>37</v>
      </c>
      <c r="B4680">
        <v>0.32432432432303998</v>
      </c>
      <c r="C4680" s="1">
        <v>43524</v>
      </c>
    </row>
    <row r="4681" spans="1:3">
      <c r="A4681" t="s">
        <v>39</v>
      </c>
      <c r="B4681">
        <v>1.3229018492124001</v>
      </c>
      <c r="C4681" s="1">
        <v>43524</v>
      </c>
    </row>
    <row r="4682" spans="1:3">
      <c r="A4682" t="s">
        <v>42</v>
      </c>
      <c r="B4682">
        <v>2.1194879089532002</v>
      </c>
      <c r="C4682" s="1">
        <v>43524</v>
      </c>
    </row>
    <row r="4683" spans="1:3">
      <c r="A4683" t="s">
        <v>44</v>
      </c>
      <c r="B4683">
        <v>10.790184921721099</v>
      </c>
      <c r="C4683" s="1">
        <v>43524</v>
      </c>
    </row>
    <row r="4684" spans="1:3">
      <c r="A4684" t="s">
        <v>47</v>
      </c>
      <c r="B4684">
        <v>11.488620199101</v>
      </c>
      <c r="C4684" s="1">
        <v>43524</v>
      </c>
    </row>
    <row r="4685" spans="1:3">
      <c r="A4685" t="s">
        <v>49</v>
      </c>
      <c r="B4685">
        <v>14.2034139401998</v>
      </c>
      <c r="C4685" s="1">
        <v>43524</v>
      </c>
    </row>
    <row r="4686" spans="1:3">
      <c r="A4686" t="s">
        <v>51</v>
      </c>
      <c r="B4686">
        <v>1.4310099573200801</v>
      </c>
      <c r="C4686" s="1">
        <v>43524</v>
      </c>
    </row>
    <row r="4687" spans="1:3">
      <c r="A4687" t="s">
        <v>53</v>
      </c>
      <c r="B4687">
        <v>1.0689900426700201</v>
      </c>
      <c r="C4687" s="1">
        <v>43524</v>
      </c>
    </row>
    <row r="4688" spans="1:3">
      <c r="A4688" t="s">
        <v>55</v>
      </c>
      <c r="B4688">
        <v>3.03058321478174</v>
      </c>
      <c r="C4688" s="1">
        <v>43524</v>
      </c>
    </row>
    <row r="4689" spans="1:3">
      <c r="A4689" t="s">
        <v>57</v>
      </c>
      <c r="B4689">
        <v>4.9800853484866803</v>
      </c>
      <c r="C4689" s="1">
        <v>43524</v>
      </c>
    </row>
    <row r="4690" spans="1:3">
      <c r="A4690" t="s">
        <v>59</v>
      </c>
      <c r="B4690">
        <v>4.3762446657010203</v>
      </c>
      <c r="C4690" s="1">
        <v>43524</v>
      </c>
    </row>
    <row r="4691" spans="1:3">
      <c r="A4691" t="s">
        <v>61</v>
      </c>
      <c r="B4691">
        <v>92.902560454824098</v>
      </c>
      <c r="C4691" s="1">
        <v>43524</v>
      </c>
    </row>
    <row r="4692" spans="1:3">
      <c r="A4692" t="s">
        <v>63</v>
      </c>
      <c r="B4692">
        <v>11.593172119442</v>
      </c>
      <c r="C4692" s="1">
        <v>43524</v>
      </c>
    </row>
    <row r="4693" spans="1:3">
      <c r="A4693" t="s">
        <v>65</v>
      </c>
      <c r="B4693">
        <v>0.69061166429314003</v>
      </c>
      <c r="C4693" s="1">
        <v>43524</v>
      </c>
    </row>
    <row r="4694" spans="1:3">
      <c r="A4694" t="s">
        <v>67</v>
      </c>
      <c r="B4694">
        <v>10.958748221862701</v>
      </c>
      <c r="C4694" s="1">
        <v>43524</v>
      </c>
    </row>
    <row r="4695" spans="1:3">
      <c r="A4695" t="s">
        <v>69</v>
      </c>
      <c r="B4695">
        <v>5.1970128022553803</v>
      </c>
      <c r="C4695" s="1">
        <v>43524</v>
      </c>
    </row>
    <row r="4696" spans="1:3">
      <c r="A4696" t="s">
        <v>71</v>
      </c>
      <c r="B4696">
        <v>0.94594594594220005</v>
      </c>
      <c r="C4696" s="1">
        <v>43524</v>
      </c>
    </row>
    <row r="4697" spans="1:3">
      <c r="A4697" t="s">
        <v>73</v>
      </c>
      <c r="B4697">
        <v>1.80938833569696</v>
      </c>
      <c r="C4697" s="1">
        <v>43524</v>
      </c>
    </row>
    <row r="4698" spans="1:3">
      <c r="A4698" t="s">
        <v>75</v>
      </c>
      <c r="B4698">
        <v>0.26031294452244003</v>
      </c>
      <c r="C4698" s="1">
        <v>43524</v>
      </c>
    </row>
    <row r="4699" spans="1:3">
      <c r="A4699" t="s">
        <v>77</v>
      </c>
      <c r="B4699">
        <v>1.7368421052562799</v>
      </c>
      <c r="C4699" s="1">
        <v>43524</v>
      </c>
    </row>
    <row r="4700" spans="1:3">
      <c r="A4700" t="s">
        <v>79</v>
      </c>
      <c r="B4700">
        <v>6.4011379800599997</v>
      </c>
      <c r="C4700" s="1">
        <v>43524</v>
      </c>
    </row>
    <row r="4701" spans="1:3">
      <c r="A4701" t="s">
        <v>81</v>
      </c>
      <c r="B4701">
        <v>8.4637268847460003</v>
      </c>
      <c r="C4701" s="1">
        <v>43524</v>
      </c>
    </row>
    <row r="4702" spans="1:3">
      <c r="A4702" t="s">
        <v>83</v>
      </c>
      <c r="B4702">
        <v>0.55832147937190002</v>
      </c>
      <c r="C4702" s="1">
        <v>43524</v>
      </c>
    </row>
    <row r="4703" spans="1:3">
      <c r="A4703" t="s">
        <v>85</v>
      </c>
      <c r="B4703">
        <v>5.5113798008316603</v>
      </c>
      <c r="C4703" s="1">
        <v>43524</v>
      </c>
    </row>
    <row r="4704" spans="1:3">
      <c r="A4704" t="s">
        <v>87</v>
      </c>
      <c r="B4704">
        <v>9.9174964437729596</v>
      </c>
      <c r="C4704" s="1">
        <v>43524</v>
      </c>
    </row>
    <row r="4705" spans="1:3">
      <c r="A4705" t="s">
        <v>89</v>
      </c>
      <c r="B4705">
        <v>8.2859174964110007</v>
      </c>
      <c r="C4705" s="1">
        <v>43524</v>
      </c>
    </row>
    <row r="4706" spans="1:3">
      <c r="A4706" t="s">
        <v>91</v>
      </c>
      <c r="B4706">
        <v>22.119487908874</v>
      </c>
      <c r="C4706" s="1">
        <v>43524</v>
      </c>
    </row>
    <row r="4707" spans="1:3">
      <c r="A4707" t="s">
        <v>93</v>
      </c>
      <c r="B4707">
        <v>18.349928876172001</v>
      </c>
      <c r="C4707" s="1">
        <v>43524</v>
      </c>
    </row>
    <row r="4708" spans="1:3">
      <c r="A4708" t="s">
        <v>95</v>
      </c>
      <c r="B4708">
        <v>0.59032716927219997</v>
      </c>
      <c r="C4708" s="1">
        <v>43524</v>
      </c>
    </row>
    <row r="4709" spans="1:3">
      <c r="A4709" t="s">
        <v>97</v>
      </c>
      <c r="B4709">
        <v>4.2425320056731</v>
      </c>
      <c r="C4709" s="1">
        <v>43524</v>
      </c>
    </row>
    <row r="4710" spans="1:3">
      <c r="A4710" t="s">
        <v>99</v>
      </c>
      <c r="B4710">
        <v>5.1920341393819998</v>
      </c>
      <c r="C4710" s="1">
        <v>43524</v>
      </c>
    </row>
    <row r="4711" spans="1:3">
      <c r="A4711" t="s">
        <v>101</v>
      </c>
      <c r="B4711">
        <v>8.9615931720839992</v>
      </c>
      <c r="C4711" s="1">
        <v>43524</v>
      </c>
    </row>
    <row r="4712" spans="1:3">
      <c r="A4712" t="s">
        <v>103</v>
      </c>
      <c r="B4712">
        <v>0.97083926030909995</v>
      </c>
      <c r="C4712" s="1">
        <v>43524</v>
      </c>
    </row>
    <row r="4713" spans="1:3">
      <c r="A4713" t="s">
        <v>105</v>
      </c>
      <c r="B4713">
        <v>0.36984352773680002</v>
      </c>
      <c r="C4713" s="1">
        <v>43524</v>
      </c>
    </row>
    <row r="4714" spans="1:3">
      <c r="A4714" t="s">
        <v>107</v>
      </c>
      <c r="B4714">
        <v>4.4807965860419996</v>
      </c>
      <c r="C4714" s="1">
        <v>43524</v>
      </c>
    </row>
    <row r="4715" spans="1:3">
      <c r="A4715" t="s">
        <v>109</v>
      </c>
      <c r="B4715">
        <v>2.1052631578863998</v>
      </c>
      <c r="C4715" s="1">
        <v>43524</v>
      </c>
    </row>
    <row r="4716" spans="1:3">
      <c r="A4716" t="s">
        <v>111</v>
      </c>
      <c r="B4716">
        <v>6.9630156471986</v>
      </c>
      <c r="C4716" s="1">
        <v>43524</v>
      </c>
    </row>
    <row r="4717" spans="1:3">
      <c r="A4717" t="s">
        <v>113</v>
      </c>
      <c r="B4717">
        <v>12.2190611663812</v>
      </c>
      <c r="C4717" s="1">
        <v>43524</v>
      </c>
    </row>
    <row r="4718" spans="1:3">
      <c r="A4718" t="s">
        <v>115</v>
      </c>
      <c r="B4718">
        <v>3.2574679942971998</v>
      </c>
      <c r="C4718" s="1">
        <v>43524</v>
      </c>
    </row>
    <row r="4719" spans="1:3">
      <c r="A4719" t="s">
        <v>117</v>
      </c>
      <c r="B4719">
        <v>4.9310099573062196</v>
      </c>
      <c r="C4719" s="1">
        <v>43524</v>
      </c>
    </row>
    <row r="4720" spans="1:3">
      <c r="A4720" t="s">
        <v>119</v>
      </c>
      <c r="B4720">
        <v>26.552631578842199</v>
      </c>
      <c r="C4720" s="1">
        <v>43524</v>
      </c>
    </row>
    <row r="4721" spans="1:3">
      <c r="A4721" t="s">
        <v>121</v>
      </c>
      <c r="B4721">
        <v>14.3100995732008</v>
      </c>
      <c r="C4721" s="1">
        <v>43524</v>
      </c>
    </row>
    <row r="4722" spans="1:3">
      <c r="A4722" t="s">
        <v>123</v>
      </c>
      <c r="B4722">
        <v>5.5967283072324596</v>
      </c>
      <c r="C4722" s="1">
        <v>43524</v>
      </c>
    </row>
    <row r="4723" spans="1:3">
      <c r="A4723" t="s">
        <v>125</v>
      </c>
      <c r="B4723">
        <v>216.59957325661</v>
      </c>
      <c r="C4723" s="1">
        <v>43524</v>
      </c>
    </row>
    <row r="4724" spans="1:3">
      <c r="A4724" t="s">
        <v>127</v>
      </c>
      <c r="B4724">
        <v>5.9402560454956799</v>
      </c>
      <c r="C4724" s="1">
        <v>43524</v>
      </c>
    </row>
    <row r="4725" spans="1:3">
      <c r="A4725" t="s">
        <v>129</v>
      </c>
      <c r="B4725">
        <v>4.5732574679761999</v>
      </c>
      <c r="C4725" s="1">
        <v>43524</v>
      </c>
    </row>
    <row r="4726" spans="1:3">
      <c r="A4726" t="s">
        <v>131</v>
      </c>
      <c r="B4726">
        <v>2.2403982930209998</v>
      </c>
      <c r="C4726" s="1">
        <v>43524</v>
      </c>
    </row>
    <row r="4727" spans="1:3">
      <c r="A4727" t="s">
        <v>134</v>
      </c>
      <c r="B4727">
        <v>2.3997155049691599</v>
      </c>
      <c r="C4727" s="1">
        <v>43524</v>
      </c>
    </row>
    <row r="4728" spans="1:3">
      <c r="A4728" t="s">
        <v>136</v>
      </c>
      <c r="B4728">
        <v>12.211948790847799</v>
      </c>
      <c r="C4728" s="1">
        <v>43524</v>
      </c>
    </row>
    <row r="4729" spans="1:3">
      <c r="A4729" t="s">
        <v>138</v>
      </c>
      <c r="B4729">
        <v>14.798719772345301</v>
      </c>
      <c r="C4729" s="1">
        <v>43524</v>
      </c>
    </row>
    <row r="4730" spans="1:3">
      <c r="A4730" t="s">
        <v>140</v>
      </c>
      <c r="B4730">
        <v>12.8492176386404</v>
      </c>
      <c r="C4730" s="1">
        <v>43524</v>
      </c>
    </row>
    <row r="4731" spans="1:3">
      <c r="A4731" t="s">
        <v>142</v>
      </c>
      <c r="B4731">
        <v>6.5120910383810404</v>
      </c>
      <c r="C4731" s="1">
        <v>43524</v>
      </c>
    </row>
    <row r="4732" spans="1:3">
      <c r="A4732" t="s">
        <v>144</v>
      </c>
      <c r="B4732">
        <v>4.9786628733800002</v>
      </c>
      <c r="C4732" s="1">
        <v>43524</v>
      </c>
    </row>
    <row r="4733" spans="1:3">
      <c r="A4733" t="s">
        <v>146</v>
      </c>
      <c r="B4733">
        <v>5.1386913228814999</v>
      </c>
      <c r="C4733" s="1">
        <v>43524</v>
      </c>
    </row>
    <row r="4734" spans="1:3">
      <c r="A4734" t="s">
        <v>148</v>
      </c>
      <c r="B4734">
        <v>13.780938833515799</v>
      </c>
      <c r="C4734" s="1">
        <v>43524</v>
      </c>
    </row>
    <row r="4735" spans="1:3">
      <c r="A4735" t="s">
        <v>150</v>
      </c>
      <c r="B4735">
        <v>6.3684210526063598</v>
      </c>
      <c r="C4735" s="1">
        <v>43524</v>
      </c>
    </row>
    <row r="4736" spans="1:3">
      <c r="A4736" t="s">
        <v>152</v>
      </c>
      <c r="B4736">
        <v>14.3677098150213</v>
      </c>
      <c r="C4736" s="1">
        <v>43524</v>
      </c>
    </row>
    <row r="4737" spans="1:3">
      <c r="A4737" t="s">
        <v>154</v>
      </c>
      <c r="B4737">
        <v>18.939544807890801</v>
      </c>
      <c r="C4737" s="1">
        <v>43524</v>
      </c>
    </row>
    <row r="4738" spans="1:3">
      <c r="A4738" t="s">
        <v>156</v>
      </c>
      <c r="B4738">
        <v>30.574679942979898</v>
      </c>
      <c r="C4738" s="1">
        <v>43524</v>
      </c>
    </row>
    <row r="4739" spans="1:3">
      <c r="A4739" t="s">
        <v>158</v>
      </c>
      <c r="B4739">
        <v>54.524182076597697</v>
      </c>
      <c r="C4739" s="1">
        <v>43524</v>
      </c>
    </row>
    <row r="4740" spans="1:3">
      <c r="A4740" t="s">
        <v>160</v>
      </c>
      <c r="B4740">
        <v>20.227596016989601</v>
      </c>
      <c r="C4740" s="1">
        <v>43524</v>
      </c>
    </row>
    <row r="4741" spans="1:3">
      <c r="A4741" t="s">
        <v>162</v>
      </c>
      <c r="B4741">
        <v>4.2816500711068004</v>
      </c>
      <c r="C4741" s="1">
        <v>43524</v>
      </c>
    </row>
    <row r="4742" spans="1:3">
      <c r="A4742" t="s">
        <v>164</v>
      </c>
      <c r="B4742">
        <v>4.0903271692583401</v>
      </c>
      <c r="C4742" s="1">
        <v>43524</v>
      </c>
    </row>
    <row r="4743" spans="1:3">
      <c r="A4743" t="s">
        <v>166</v>
      </c>
      <c r="B4743">
        <v>8.9694167851707398</v>
      </c>
      <c r="C4743" s="1">
        <v>43524</v>
      </c>
    </row>
    <row r="4744" spans="1:3">
      <c r="A4744" t="s">
        <v>168</v>
      </c>
      <c r="B4744">
        <v>11.932432432385101</v>
      </c>
      <c r="C4744" s="1">
        <v>43524</v>
      </c>
    </row>
    <row r="4745" spans="1:3">
      <c r="A4745" t="s">
        <v>8</v>
      </c>
      <c r="B4745">
        <v>22.0424720464238</v>
      </c>
      <c r="C4745" s="1">
        <v>43555</v>
      </c>
    </row>
    <row r="4746" spans="1:3">
      <c r="A4746" t="s">
        <v>11</v>
      </c>
      <c r="B4746">
        <v>41.457571292297096</v>
      </c>
      <c r="C4746" s="1">
        <v>43555</v>
      </c>
    </row>
    <row r="4747" spans="1:3">
      <c r="A4747" t="s">
        <v>14</v>
      </c>
      <c r="B4747">
        <v>5.7824391089445202</v>
      </c>
      <c r="C4747" s="1">
        <v>43555</v>
      </c>
    </row>
    <row r="4748" spans="1:3">
      <c r="A4748" t="s">
        <v>17</v>
      </c>
      <c r="B4748">
        <v>7.2580393516395603</v>
      </c>
      <c r="C4748" s="1">
        <v>43555</v>
      </c>
    </row>
    <row r="4749" spans="1:3">
      <c r="A4749" t="s">
        <v>20</v>
      </c>
      <c r="B4749">
        <v>0.99505937418579904</v>
      </c>
      <c r="C4749" s="1">
        <v>43555</v>
      </c>
    </row>
    <row r="4750" spans="1:3">
      <c r="A4750" t="s">
        <v>24</v>
      </c>
      <c r="B4750">
        <v>1.64548842853164</v>
      </c>
      <c r="C4750" s="1">
        <v>43555</v>
      </c>
    </row>
    <row r="4751" spans="1:3">
      <c r="A4751" t="s">
        <v>27</v>
      </c>
      <c r="B4751">
        <v>26.753575452847699</v>
      </c>
      <c r="C4751" s="1">
        <v>43555</v>
      </c>
    </row>
    <row r="4752" spans="1:3">
      <c r="A4752" t="s">
        <v>29</v>
      </c>
      <c r="B4752">
        <v>1.86114241136912</v>
      </c>
      <c r="C4752" s="1">
        <v>43555</v>
      </c>
    </row>
    <row r="4753" spans="1:3">
      <c r="A4753" t="s">
        <v>32</v>
      </c>
      <c r="B4753">
        <v>7.7267920603152396</v>
      </c>
      <c r="C4753" s="1">
        <v>43555</v>
      </c>
    </row>
    <row r="4754" spans="1:3">
      <c r="A4754" t="s">
        <v>35</v>
      </c>
      <c r="B4754">
        <v>4.2645401750819998</v>
      </c>
      <c r="C4754" s="1">
        <v>43555</v>
      </c>
    </row>
    <row r="4755" spans="1:3">
      <c r="A4755" t="s">
        <v>37</v>
      </c>
      <c r="B4755">
        <v>0.26003293750500001</v>
      </c>
      <c r="C4755" s="1">
        <v>43555</v>
      </c>
    </row>
    <row r="4756" spans="1:3">
      <c r="A4756" t="s">
        <v>39</v>
      </c>
      <c r="B4756">
        <v>1.3951633873601601</v>
      </c>
      <c r="C4756" s="1">
        <v>43555</v>
      </c>
    </row>
    <row r="4757" spans="1:3">
      <c r="A4757" t="s">
        <v>42</v>
      </c>
      <c r="B4757">
        <v>2.1149345583739998</v>
      </c>
      <c r="C4757" s="1">
        <v>43555</v>
      </c>
    </row>
    <row r="4758" spans="1:3">
      <c r="A4758" t="s">
        <v>44</v>
      </c>
      <c r="B4758">
        <v>11.396376874385799</v>
      </c>
      <c r="C4758" s="1">
        <v>43555</v>
      </c>
    </row>
    <row r="4759" spans="1:3">
      <c r="A4759" t="s">
        <v>47</v>
      </c>
      <c r="B4759">
        <v>9.1621738753428392</v>
      </c>
      <c r="C4759" s="1">
        <v>43555</v>
      </c>
    </row>
    <row r="4760" spans="1:3">
      <c r="A4760" t="s">
        <v>49</v>
      </c>
      <c r="B4760">
        <v>13.305365346255799</v>
      </c>
      <c r="C4760" s="1">
        <v>43555</v>
      </c>
    </row>
    <row r="4761" spans="1:3">
      <c r="A4761" t="s">
        <v>51</v>
      </c>
      <c r="B4761">
        <v>1.38684233336</v>
      </c>
      <c r="C4761" s="1">
        <v>43555</v>
      </c>
    </row>
    <row r="4762" spans="1:3">
      <c r="A4762" t="s">
        <v>53</v>
      </c>
      <c r="B4762">
        <v>0.95830805235175998</v>
      </c>
      <c r="C4762" s="1">
        <v>43555</v>
      </c>
    </row>
    <row r="4763" spans="1:3">
      <c r="A4763" t="s">
        <v>55</v>
      </c>
      <c r="B4763">
        <v>3.1855768397279198</v>
      </c>
      <c r="C4763" s="1">
        <v>43555</v>
      </c>
    </row>
    <row r="4764" spans="1:3">
      <c r="A4764" t="s">
        <v>57</v>
      </c>
      <c r="B4764">
        <v>5.0564271474305498</v>
      </c>
      <c r="C4764" s="1">
        <v>43555</v>
      </c>
    </row>
    <row r="4765" spans="1:3">
      <c r="A4765" t="s">
        <v>59</v>
      </c>
      <c r="B4765">
        <v>3.7930137817395999</v>
      </c>
      <c r="C4765" s="1">
        <v>43555</v>
      </c>
    </row>
    <row r="4766" spans="1:3">
      <c r="A4766" t="s">
        <v>61</v>
      </c>
      <c r="B4766">
        <v>93.611164080633301</v>
      </c>
      <c r="C4766" s="1">
        <v>43555</v>
      </c>
    </row>
    <row r="4767" spans="1:3">
      <c r="A4767" t="s">
        <v>63</v>
      </c>
      <c r="B4767">
        <v>11.627286122890199</v>
      </c>
      <c r="C4767" s="1">
        <v>43555</v>
      </c>
    </row>
    <row r="4768" spans="1:3">
      <c r="A4768" t="s">
        <v>65</v>
      </c>
      <c r="B4768">
        <v>0.67261853167959995</v>
      </c>
      <c r="C4768" s="1">
        <v>43555</v>
      </c>
    </row>
    <row r="4769" spans="1:3">
      <c r="A4769" t="s">
        <v>67</v>
      </c>
      <c r="B4769">
        <v>9.4860015601823999</v>
      </c>
      <c r="C4769" s="1">
        <v>43555</v>
      </c>
    </row>
    <row r="4770" spans="1:3">
      <c r="A4770" t="s">
        <v>69</v>
      </c>
      <c r="B4770">
        <v>4.8116494755925201</v>
      </c>
      <c r="C4770" s="1">
        <v>43555</v>
      </c>
    </row>
    <row r="4771" spans="1:3">
      <c r="A4771" t="s">
        <v>71</v>
      </c>
      <c r="B4771">
        <v>0.8529080350164</v>
      </c>
      <c r="C4771" s="1">
        <v>43555</v>
      </c>
    </row>
    <row r="4772" spans="1:3">
      <c r="A4772" t="s">
        <v>73</v>
      </c>
      <c r="B4772">
        <v>1.6191384241978</v>
      </c>
      <c r="C4772" s="1">
        <v>43555</v>
      </c>
    </row>
    <row r="4773" spans="1:3">
      <c r="A4773" t="s">
        <v>75</v>
      </c>
      <c r="B4773">
        <v>0.25240530467152</v>
      </c>
      <c r="C4773" s="1">
        <v>43555</v>
      </c>
    </row>
    <row r="4774" spans="1:3">
      <c r="A4774" t="s">
        <v>77</v>
      </c>
      <c r="B4774">
        <v>1.6933344890325599</v>
      </c>
      <c r="C4774" s="1">
        <v>43555</v>
      </c>
    </row>
    <row r="4775" spans="1:3">
      <c r="A4775" t="s">
        <v>79</v>
      </c>
      <c r="B4775">
        <v>5.9010141284467998</v>
      </c>
      <c r="C4775" s="1">
        <v>43555</v>
      </c>
    </row>
    <row r="4776" spans="1:3">
      <c r="A4776" t="s">
        <v>81</v>
      </c>
      <c r="B4776">
        <v>7.4431828031431202</v>
      </c>
      <c r="C4776" s="1">
        <v>43555</v>
      </c>
    </row>
    <row r="4777" spans="1:3">
      <c r="A4777" t="s">
        <v>83</v>
      </c>
      <c r="B4777">
        <v>0.48747508017604002</v>
      </c>
      <c r="C4777" s="1">
        <v>43555</v>
      </c>
    </row>
    <row r="4778" spans="1:3">
      <c r="A4778" t="s">
        <v>85</v>
      </c>
      <c r="B4778">
        <v>4.8872323827606401</v>
      </c>
      <c r="C4778" s="1">
        <v>43555</v>
      </c>
    </row>
    <row r="4779" spans="1:3">
      <c r="A4779" t="s">
        <v>87</v>
      </c>
      <c r="B4779">
        <v>6.4474300077906399</v>
      </c>
      <c r="C4779" s="1">
        <v>43555</v>
      </c>
    </row>
    <row r="4780" spans="1:3">
      <c r="A4780" t="s">
        <v>89</v>
      </c>
      <c r="B4780">
        <v>7.7517552223157198</v>
      </c>
      <c r="C4780" s="1">
        <v>43555</v>
      </c>
    </row>
    <row r="4781" spans="1:3">
      <c r="A4781" t="s">
        <v>91</v>
      </c>
      <c r="B4781">
        <v>20.887232382734901</v>
      </c>
      <c r="C4781" s="1">
        <v>43555</v>
      </c>
    </row>
    <row r="4782" spans="1:3">
      <c r="A4782" t="s">
        <v>93</v>
      </c>
      <c r="B4782">
        <v>17.162173875329898</v>
      </c>
      <c r="C4782" s="1">
        <v>43555</v>
      </c>
    </row>
    <row r="4783" spans="1:3">
      <c r="A4783" t="s">
        <v>95</v>
      </c>
      <c r="B4783">
        <v>0.53046719251020003</v>
      </c>
      <c r="C4783" s="1">
        <v>43555</v>
      </c>
    </row>
    <row r="4784" spans="1:3">
      <c r="A4784" t="s">
        <v>97</v>
      </c>
      <c r="B4784">
        <v>3.5295137384011999</v>
      </c>
      <c r="C4784" s="1">
        <v>43555</v>
      </c>
    </row>
    <row r="4785" spans="1:3">
      <c r="A4785" t="s">
        <v>99</v>
      </c>
      <c r="B4785">
        <v>5.3740140417699997</v>
      </c>
      <c r="C4785" s="1">
        <v>43555</v>
      </c>
    </row>
    <row r="4786" spans="1:3">
      <c r="A4786" t="s">
        <v>101</v>
      </c>
      <c r="B4786">
        <v>9.0151685880066701</v>
      </c>
      <c r="C4786" s="1">
        <v>43555</v>
      </c>
    </row>
    <row r="4787" spans="1:3">
      <c r="A4787" t="s">
        <v>103</v>
      </c>
      <c r="B4787">
        <v>0.936118575018</v>
      </c>
      <c r="C4787" s="1">
        <v>43555</v>
      </c>
    </row>
    <row r="4788" spans="1:3">
      <c r="A4788" t="s">
        <v>105</v>
      </c>
      <c r="B4788">
        <v>0.32590794833960002</v>
      </c>
      <c r="C4788" s="1">
        <v>43555</v>
      </c>
    </row>
    <row r="4789" spans="1:3">
      <c r="A4789" t="s">
        <v>107</v>
      </c>
      <c r="B4789">
        <v>3.7770650949059599</v>
      </c>
      <c r="C4789" s="1">
        <v>43555</v>
      </c>
    </row>
    <row r="4790" spans="1:3">
      <c r="A4790" t="s">
        <v>109</v>
      </c>
      <c r="B4790">
        <v>1.8750108347027199</v>
      </c>
      <c r="C4790" s="1">
        <v>43555</v>
      </c>
    </row>
    <row r="4791" spans="1:3">
      <c r="A4791" t="s">
        <v>111</v>
      </c>
      <c r="B4791">
        <v>6.6402010921276799</v>
      </c>
      <c r="C4791" s="1">
        <v>43555</v>
      </c>
    </row>
    <row r="4792" spans="1:3">
      <c r="A4792" t="s">
        <v>113</v>
      </c>
      <c r="B4792">
        <v>11.3027650168839</v>
      </c>
      <c r="C4792" s="1">
        <v>43555</v>
      </c>
    </row>
    <row r="4793" spans="1:3">
      <c r="A4793" t="s">
        <v>115</v>
      </c>
      <c r="B4793">
        <v>3.2230215827286299</v>
      </c>
      <c r="C4793" s="1">
        <v>43555</v>
      </c>
    </row>
    <row r="4794" spans="1:3">
      <c r="A4794" t="s">
        <v>117</v>
      </c>
      <c r="B4794">
        <v>4.6050099679218697</v>
      </c>
      <c r="C4794" s="1">
        <v>43555</v>
      </c>
    </row>
    <row r="4795" spans="1:3">
      <c r="A4795" t="s">
        <v>119</v>
      </c>
      <c r="B4795">
        <v>29.8379128022404</v>
      </c>
      <c r="C4795" s="1">
        <v>43555</v>
      </c>
    </row>
    <row r="4796" spans="1:3">
      <c r="A4796" t="s">
        <v>121</v>
      </c>
      <c r="B4796">
        <v>12.8463205339136</v>
      </c>
      <c r="C4796" s="1">
        <v>43555</v>
      </c>
    </row>
    <row r="4797" spans="1:3">
      <c r="A4797" t="s">
        <v>123</v>
      </c>
      <c r="B4797">
        <v>5.1146745254316803</v>
      </c>
      <c r="C4797" s="1">
        <v>43555</v>
      </c>
    </row>
    <row r="4798" spans="1:3">
      <c r="A4798" t="s">
        <v>125</v>
      </c>
      <c r="B4798">
        <v>231.05764063410899</v>
      </c>
      <c r="C4798" s="1">
        <v>43555</v>
      </c>
    </row>
    <row r="4799" spans="1:3">
      <c r="A4799" t="s">
        <v>127</v>
      </c>
      <c r="B4799">
        <v>6.1450983791181599</v>
      </c>
      <c r="C4799" s="1">
        <v>43555</v>
      </c>
    </row>
    <row r="4800" spans="1:3">
      <c r="A4800" t="s">
        <v>129</v>
      </c>
      <c r="B4800">
        <v>4.3657796654172802</v>
      </c>
      <c r="C4800" s="1">
        <v>43555</v>
      </c>
    </row>
    <row r="4801" spans="1:3">
      <c r="A4801" t="s">
        <v>131</v>
      </c>
      <c r="B4801">
        <v>2.3049319580443202</v>
      </c>
      <c r="C4801" s="1">
        <v>43555</v>
      </c>
    </row>
    <row r="4802" spans="1:3">
      <c r="A4802" t="s">
        <v>134</v>
      </c>
      <c r="B4802">
        <v>2.3077056427110398</v>
      </c>
      <c r="C4802" s="1">
        <v>43555</v>
      </c>
    </row>
    <row r="4803" spans="1:3">
      <c r="A4803" t="s">
        <v>136</v>
      </c>
      <c r="B4803">
        <v>10.9983531247114</v>
      </c>
      <c r="C4803" s="1">
        <v>43555</v>
      </c>
    </row>
    <row r="4804" spans="1:3">
      <c r="A4804" t="s">
        <v>138</v>
      </c>
      <c r="B4804">
        <v>13.417699575258</v>
      </c>
      <c r="C4804" s="1">
        <v>43555</v>
      </c>
    </row>
    <row r="4805" spans="1:3">
      <c r="A4805" t="s">
        <v>140</v>
      </c>
      <c r="B4805">
        <v>12.7735113114122</v>
      </c>
      <c r="C4805" s="1">
        <v>43555</v>
      </c>
    </row>
    <row r="4806" spans="1:3">
      <c r="A4806" t="s">
        <v>142</v>
      </c>
      <c r="B4806">
        <v>5.8483141197791202</v>
      </c>
      <c r="C4806" s="1">
        <v>43555</v>
      </c>
    </row>
    <row r="4807" spans="1:3">
      <c r="A4807" t="s">
        <v>144</v>
      </c>
      <c r="B4807">
        <v>4.9232902834279999</v>
      </c>
      <c r="C4807" s="1">
        <v>43555</v>
      </c>
    </row>
    <row r="4808" spans="1:3">
      <c r="A4808" t="s">
        <v>146</v>
      </c>
      <c r="B4808">
        <v>4.6216520759222002</v>
      </c>
      <c r="C4808" s="1">
        <v>43555</v>
      </c>
    </row>
    <row r="4809" spans="1:3">
      <c r="A4809" t="s">
        <v>148</v>
      </c>
      <c r="B4809">
        <v>12.8442402704136</v>
      </c>
      <c r="C4809" s="1">
        <v>43555</v>
      </c>
    </row>
    <row r="4810" spans="1:3">
      <c r="A4810" t="s">
        <v>150</v>
      </c>
      <c r="B4810">
        <v>6.2608997139537204</v>
      </c>
      <c r="C4810" s="1">
        <v>43555</v>
      </c>
    </row>
    <row r="4811" spans="1:3">
      <c r="A4811" t="s">
        <v>152</v>
      </c>
      <c r="B4811">
        <v>13.2852561324221</v>
      </c>
      <c r="C4811" s="1">
        <v>43555</v>
      </c>
    </row>
    <row r="4812" spans="1:3">
      <c r="A4812" t="s">
        <v>154</v>
      </c>
      <c r="B4812">
        <v>18.375660917019999</v>
      </c>
      <c r="C4812" s="1">
        <v>43555</v>
      </c>
    </row>
    <row r="4813" spans="1:3">
      <c r="A4813" t="s">
        <v>156</v>
      </c>
      <c r="B4813">
        <v>31.2039525006</v>
      </c>
      <c r="C4813" s="1">
        <v>43555</v>
      </c>
    </row>
    <row r="4814" spans="1:3">
      <c r="A4814" t="s">
        <v>158</v>
      </c>
      <c r="B4814">
        <v>51.046199185148197</v>
      </c>
      <c r="C4814" s="1">
        <v>43555</v>
      </c>
    </row>
    <row r="4815" spans="1:3">
      <c r="A4815" t="s">
        <v>160</v>
      </c>
      <c r="B4815">
        <v>17.421513391668299</v>
      </c>
      <c r="C4815" s="1">
        <v>43555</v>
      </c>
    </row>
    <row r="4816" spans="1:3">
      <c r="A4816" t="s">
        <v>162</v>
      </c>
      <c r="B4816">
        <v>4.2298691167479996</v>
      </c>
      <c r="C4816" s="1">
        <v>43555</v>
      </c>
    </row>
    <row r="4817" spans="1:3">
      <c r="A4817" t="s">
        <v>164</v>
      </c>
      <c r="B4817">
        <v>3.69454797607104</v>
      </c>
      <c r="C4817" s="1">
        <v>43555</v>
      </c>
    </row>
    <row r="4818" spans="1:3">
      <c r="A4818" t="s">
        <v>166</v>
      </c>
      <c r="B4818">
        <v>8.8064488168359993</v>
      </c>
      <c r="C4818" s="1">
        <v>43555</v>
      </c>
    </row>
    <row r="4819" spans="1:3">
      <c r="A4819" t="s">
        <v>168</v>
      </c>
      <c r="B4819">
        <v>11.767357198559599</v>
      </c>
      <c r="C4819" s="1">
        <v>43555</v>
      </c>
    </row>
    <row r="4820" spans="1:3">
      <c r="A4820" t="s">
        <v>8</v>
      </c>
      <c r="B4820">
        <v>21.942279187499</v>
      </c>
      <c r="C4820" s="1">
        <v>43585</v>
      </c>
    </row>
    <row r="4821" spans="1:3">
      <c r="A4821" t="s">
        <v>11</v>
      </c>
      <c r="B4821">
        <v>38.867207254557997</v>
      </c>
      <c r="C4821" s="1">
        <v>43585</v>
      </c>
    </row>
    <row r="4822" spans="1:3">
      <c r="A4822" t="s">
        <v>14</v>
      </c>
      <c r="B4822">
        <v>6.3015084140212396</v>
      </c>
      <c r="C4822" s="1">
        <v>43585</v>
      </c>
    </row>
    <row r="4823" spans="1:3">
      <c r="A4823" t="s">
        <v>17</v>
      </c>
      <c r="B4823">
        <v>7.3115354434105102</v>
      </c>
      <c r="C4823" s="1">
        <v>43585</v>
      </c>
    </row>
    <row r="4824" spans="1:3">
      <c r="A4824" t="s">
        <v>20</v>
      </c>
      <c r="B4824">
        <v>0.97654547040399997</v>
      </c>
      <c r="C4824" s="1">
        <v>43585</v>
      </c>
    </row>
    <row r="4825" spans="1:3">
      <c r="A4825" t="s">
        <v>24</v>
      </c>
      <c r="B4825">
        <v>1.8652018484716399</v>
      </c>
      <c r="C4825" s="1">
        <v>43585</v>
      </c>
    </row>
    <row r="4826" spans="1:3">
      <c r="A4826" t="s">
        <v>27</v>
      </c>
      <c r="B4826">
        <v>25.636411195541498</v>
      </c>
      <c r="C4826" s="1">
        <v>43585</v>
      </c>
    </row>
    <row r="4827" spans="1:3">
      <c r="A4827" t="s">
        <v>29</v>
      </c>
      <c r="B4827">
        <v>1.8170721074303</v>
      </c>
      <c r="C4827" s="1">
        <v>43585</v>
      </c>
    </row>
    <row r="4828" spans="1:3">
      <c r="A4828" t="s">
        <v>32</v>
      </c>
      <c r="B4828">
        <v>8.0439445462135204</v>
      </c>
      <c r="C4828" s="1">
        <v>43585</v>
      </c>
    </row>
    <row r="4829" spans="1:3">
      <c r="A4829" t="s">
        <v>35</v>
      </c>
      <c r="B4829">
        <v>4.5925538408142401</v>
      </c>
      <c r="C4829" s="1">
        <v>43585</v>
      </c>
    </row>
    <row r="4830" spans="1:3">
      <c r="A4830" t="s">
        <v>37</v>
      </c>
      <c r="B4830">
        <v>0.34318597959912001</v>
      </c>
      <c r="C4830" s="1">
        <v>43585</v>
      </c>
    </row>
    <row r="4831" spans="1:3">
      <c r="A4831" t="s">
        <v>39</v>
      </c>
      <c r="B4831">
        <v>1.5199232714359301</v>
      </c>
      <c r="C4831" s="1">
        <v>43585</v>
      </c>
    </row>
    <row r="4832" spans="1:3">
      <c r="A4832" t="s">
        <v>42</v>
      </c>
      <c r="B4832">
        <v>2.1274740605229998</v>
      </c>
      <c r="C4832" s="1">
        <v>43585</v>
      </c>
    </row>
    <row r="4833" spans="1:3">
      <c r="A4833" t="s">
        <v>44</v>
      </c>
      <c r="B4833">
        <v>11.392797977220299</v>
      </c>
      <c r="C4833" s="1">
        <v>43585</v>
      </c>
    </row>
    <row r="4834" spans="1:3">
      <c r="A4834" t="s">
        <v>47</v>
      </c>
      <c r="B4834">
        <v>9.6740779493093392</v>
      </c>
      <c r="C4834" s="1">
        <v>43585</v>
      </c>
    </row>
    <row r="4835" spans="1:3">
      <c r="A4835" t="s">
        <v>49</v>
      </c>
      <c r="B4835">
        <v>13.532130089883999</v>
      </c>
      <c r="C4835" s="1">
        <v>43585</v>
      </c>
    </row>
    <row r="4836" spans="1:3">
      <c r="A4836" t="s">
        <v>51</v>
      </c>
      <c r="B4836">
        <v>1.4334292440573</v>
      </c>
      <c r="C4836" s="1">
        <v>43585</v>
      </c>
    </row>
    <row r="4837" spans="1:3">
      <c r="A4837" t="s">
        <v>53</v>
      </c>
      <c r="B4837">
        <v>0.99258871741777999</v>
      </c>
      <c r="C4837" s="1">
        <v>43585</v>
      </c>
    </row>
    <row r="4838" spans="1:3">
      <c r="A4838" t="s">
        <v>55</v>
      </c>
      <c r="B4838">
        <v>3.5664835644111799</v>
      </c>
      <c r="C4838" s="1">
        <v>43585</v>
      </c>
    </row>
    <row r="4839" spans="1:3">
      <c r="A4839" t="s">
        <v>57</v>
      </c>
      <c r="B4839">
        <v>5.9143778882539397</v>
      </c>
      <c r="C4839" s="1">
        <v>43585</v>
      </c>
    </row>
    <row r="4840" spans="1:3">
      <c r="A4840" t="s">
        <v>59</v>
      </c>
      <c r="B4840">
        <v>3.9605894149670799</v>
      </c>
      <c r="C4840" s="1">
        <v>43585</v>
      </c>
    </row>
    <row r="4841" spans="1:3">
      <c r="A4841" t="s">
        <v>61</v>
      </c>
      <c r="B4841">
        <v>93.238468916737304</v>
      </c>
      <c r="C4841" s="1">
        <v>43585</v>
      </c>
    </row>
    <row r="4842" spans="1:3">
      <c r="A4842" t="s">
        <v>63</v>
      </c>
      <c r="B4842">
        <v>12.695091115252</v>
      </c>
      <c r="C4842" s="1">
        <v>43585</v>
      </c>
    </row>
    <row r="4843" spans="1:3">
      <c r="A4843" t="s">
        <v>65</v>
      </c>
      <c r="B4843">
        <v>0.68706949167709996</v>
      </c>
      <c r="C4843" s="1">
        <v>43585</v>
      </c>
    </row>
    <row r="4844" spans="1:3">
      <c r="A4844" t="s">
        <v>67</v>
      </c>
      <c r="B4844">
        <v>10.048652890457101</v>
      </c>
      <c r="C4844" s="1">
        <v>43585</v>
      </c>
    </row>
    <row r="4845" spans="1:3">
      <c r="A4845" t="s">
        <v>69</v>
      </c>
      <c r="B4845">
        <v>5.27264800770274</v>
      </c>
      <c r="C4845" s="1">
        <v>43585</v>
      </c>
    </row>
    <row r="4846" spans="1:3">
      <c r="A4846" t="s">
        <v>71</v>
      </c>
      <c r="B4846">
        <v>0.94794663877074004</v>
      </c>
      <c r="C4846" s="1">
        <v>43585</v>
      </c>
    </row>
    <row r="4847" spans="1:3">
      <c r="A4847" t="s">
        <v>73</v>
      </c>
      <c r="B4847">
        <v>1.67268288430628</v>
      </c>
      <c r="C4847" s="1">
        <v>43585</v>
      </c>
    </row>
    <row r="4848" spans="1:3">
      <c r="A4848" t="s">
        <v>75</v>
      </c>
      <c r="B4848">
        <v>0.24762402999529901</v>
      </c>
      <c r="C4848" s="1">
        <v>43585</v>
      </c>
    </row>
    <row r="4849" spans="1:3">
      <c r="A4849" t="s">
        <v>77</v>
      </c>
      <c r="B4849">
        <v>1.7354608074036799</v>
      </c>
      <c r="C4849" s="1">
        <v>43585</v>
      </c>
    </row>
    <row r="4850" spans="1:3">
      <c r="A4850" t="s">
        <v>79</v>
      </c>
      <c r="B4850">
        <v>5.8718284070434796</v>
      </c>
      <c r="C4850" s="1">
        <v>43585</v>
      </c>
    </row>
    <row r="4851" spans="1:3">
      <c r="A4851" t="s">
        <v>81</v>
      </c>
      <c r="B4851">
        <v>7.8814194786391401</v>
      </c>
      <c r="C4851" s="1">
        <v>43585</v>
      </c>
    </row>
    <row r="4852" spans="1:3">
      <c r="A4852" t="s">
        <v>83</v>
      </c>
      <c r="B4852">
        <v>0.51268637196209998</v>
      </c>
      <c r="C4852" s="1">
        <v>43585</v>
      </c>
    </row>
    <row r="4853" spans="1:3">
      <c r="A4853" t="s">
        <v>85</v>
      </c>
      <c r="B4853">
        <v>4.8827273520199999</v>
      </c>
      <c r="C4853" s="1">
        <v>43585</v>
      </c>
    </row>
    <row r="4854" spans="1:3">
      <c r="A4854" t="s">
        <v>87</v>
      </c>
      <c r="B4854">
        <v>7.1776092074694002</v>
      </c>
      <c r="C4854" s="1">
        <v>43585</v>
      </c>
    </row>
    <row r="4855" spans="1:3">
      <c r="A4855" t="s">
        <v>89</v>
      </c>
      <c r="B4855">
        <v>7.7426105153459996</v>
      </c>
      <c r="C4855" s="1">
        <v>43585</v>
      </c>
    </row>
    <row r="4856" spans="1:3">
      <c r="A4856" t="s">
        <v>91</v>
      </c>
      <c r="B4856">
        <v>23.414770250372399</v>
      </c>
      <c r="C4856" s="1">
        <v>43585</v>
      </c>
    </row>
    <row r="4857" spans="1:3">
      <c r="A4857" t="s">
        <v>93</v>
      </c>
      <c r="B4857">
        <v>18.384863545312999</v>
      </c>
      <c r="C4857" s="1">
        <v>43585</v>
      </c>
    </row>
    <row r="4858" spans="1:3">
      <c r="A4858" t="s">
        <v>95</v>
      </c>
      <c r="B4858">
        <v>0.53570494376447997</v>
      </c>
      <c r="C4858" s="1">
        <v>43585</v>
      </c>
    </row>
    <row r="4859" spans="1:3">
      <c r="A4859" t="s">
        <v>97</v>
      </c>
      <c r="B4859">
        <v>4.0596390269651996</v>
      </c>
      <c r="C4859" s="1">
        <v>43585</v>
      </c>
    </row>
    <row r="4860" spans="1:3">
      <c r="A4860" t="s">
        <v>99</v>
      </c>
      <c r="B4860">
        <v>4.8827273520199999</v>
      </c>
      <c r="C4860" s="1">
        <v>43585</v>
      </c>
    </row>
    <row r="4861" spans="1:3">
      <c r="A4861" t="s">
        <v>101</v>
      </c>
      <c r="B4861">
        <v>9.2981079432037994</v>
      </c>
      <c r="C4861" s="1">
        <v>43585</v>
      </c>
    </row>
    <row r="4862" spans="1:3">
      <c r="A4862" t="s">
        <v>103</v>
      </c>
      <c r="B4862">
        <v>0.95910715843250005</v>
      </c>
      <c r="C4862" s="1">
        <v>43585</v>
      </c>
    </row>
    <row r="4863" spans="1:3">
      <c r="A4863" t="s">
        <v>105</v>
      </c>
      <c r="B4863">
        <v>0.34806870695114001</v>
      </c>
      <c r="C4863" s="1">
        <v>43585</v>
      </c>
    </row>
    <row r="4864" spans="1:3">
      <c r="A4864" t="s">
        <v>107</v>
      </c>
      <c r="B4864">
        <v>3.8287557764625402</v>
      </c>
      <c r="C4864" s="1">
        <v>43585</v>
      </c>
    </row>
    <row r="4865" spans="1:3">
      <c r="A4865" t="s">
        <v>109</v>
      </c>
      <c r="B4865">
        <v>1.71174470312244</v>
      </c>
      <c r="C4865" s="1">
        <v>43585</v>
      </c>
    </row>
    <row r="4866" spans="1:3">
      <c r="A4866" t="s">
        <v>111</v>
      </c>
      <c r="B4866">
        <v>6.6844537449153796</v>
      </c>
      <c r="C4866" s="1">
        <v>43585</v>
      </c>
    </row>
    <row r="4867" spans="1:3">
      <c r="A4867" t="s">
        <v>113</v>
      </c>
      <c r="B4867">
        <v>12.8876100794173</v>
      </c>
      <c r="C4867" s="1">
        <v>43585</v>
      </c>
    </row>
    <row r="4868" spans="1:3">
      <c r="A4868" t="s">
        <v>115</v>
      </c>
      <c r="B4868">
        <v>3.3279274566410599</v>
      </c>
      <c r="C4868" s="1">
        <v>43585</v>
      </c>
    </row>
    <row r="4869" spans="1:3">
      <c r="A4869" t="s">
        <v>117</v>
      </c>
      <c r="B4869">
        <v>4.8387828058518201</v>
      </c>
      <c r="C4869" s="1">
        <v>43585</v>
      </c>
    </row>
    <row r="4870" spans="1:3">
      <c r="A4870" t="s">
        <v>119</v>
      </c>
      <c r="B4870">
        <v>29.899729706333801</v>
      </c>
      <c r="C4870" s="1">
        <v>43585</v>
      </c>
    </row>
    <row r="4871" spans="1:3">
      <c r="A4871" t="s">
        <v>121</v>
      </c>
      <c r="B4871">
        <v>13.542593077066901</v>
      </c>
      <c r="C4871" s="1">
        <v>43585</v>
      </c>
    </row>
    <row r="4872" spans="1:3">
      <c r="A4872" t="s">
        <v>123</v>
      </c>
      <c r="B4872">
        <v>5.3361234632789998</v>
      </c>
      <c r="C4872" s="1">
        <v>43585</v>
      </c>
    </row>
    <row r="4873" spans="1:3">
      <c r="A4873" t="s">
        <v>125</v>
      </c>
      <c r="B4873">
        <v>254.95509634811799</v>
      </c>
      <c r="C4873" s="1">
        <v>43585</v>
      </c>
    </row>
    <row r="4874" spans="1:3">
      <c r="A4874" t="s">
        <v>127</v>
      </c>
      <c r="B4874">
        <v>7.2103932339758199</v>
      </c>
      <c r="C4874" s="1">
        <v>43585</v>
      </c>
    </row>
    <row r="4875" spans="1:3">
      <c r="A4875" t="s">
        <v>129</v>
      </c>
      <c r="B4875">
        <v>4.7369430639382601</v>
      </c>
      <c r="C4875" s="1">
        <v>43585</v>
      </c>
    </row>
    <row r="4876" spans="1:3">
      <c r="A4876" t="s">
        <v>131</v>
      </c>
      <c r="B4876">
        <v>2.27814107595675</v>
      </c>
      <c r="C4876" s="1">
        <v>43585</v>
      </c>
    </row>
    <row r="4877" spans="1:3">
      <c r="A4877" t="s">
        <v>134</v>
      </c>
      <c r="B4877">
        <v>2.5599441974162001</v>
      </c>
      <c r="C4877" s="1">
        <v>43585</v>
      </c>
    </row>
    <row r="4878" spans="1:3">
      <c r="A4878" t="s">
        <v>136</v>
      </c>
      <c r="B4878">
        <v>12.021274740673199</v>
      </c>
      <c r="C4878" s="1">
        <v>43585</v>
      </c>
    </row>
    <row r="4879" spans="1:3">
      <c r="A4879" t="s">
        <v>138</v>
      </c>
      <c r="B4879">
        <v>15.143430116050499</v>
      </c>
      <c r="C4879" s="1">
        <v>43585</v>
      </c>
    </row>
    <row r="4880" spans="1:3">
      <c r="A4880" t="s">
        <v>140</v>
      </c>
      <c r="B4880">
        <v>13.647920481374699</v>
      </c>
      <c r="C4880" s="1">
        <v>43585</v>
      </c>
    </row>
    <row r="4881" spans="1:3">
      <c r="A4881" t="s">
        <v>142</v>
      </c>
      <c r="B4881">
        <v>6.3719591943860996</v>
      </c>
      <c r="C4881" s="1">
        <v>43585</v>
      </c>
    </row>
    <row r="4882" spans="1:3">
      <c r="A4882" t="s">
        <v>144</v>
      </c>
      <c r="B4882">
        <v>5.4065742436438597</v>
      </c>
      <c r="C4882" s="1">
        <v>43585</v>
      </c>
    </row>
    <row r="4883" spans="1:3">
      <c r="A4883" t="s">
        <v>146</v>
      </c>
      <c r="B4883">
        <v>4.7557764408674803</v>
      </c>
      <c r="C4883" s="1">
        <v>43585</v>
      </c>
    </row>
    <row r="4884" spans="1:3">
      <c r="A4884" t="s">
        <v>148</v>
      </c>
      <c r="B4884">
        <v>13.880896329314</v>
      </c>
      <c r="C4884" s="1">
        <v>43585</v>
      </c>
    </row>
    <row r="4885" spans="1:3">
      <c r="A4885" t="s">
        <v>150</v>
      </c>
      <c r="B4885">
        <v>6.41311361063884</v>
      </c>
      <c r="C4885" s="1">
        <v>43585</v>
      </c>
    </row>
    <row r="4886" spans="1:3">
      <c r="A4886" t="s">
        <v>152</v>
      </c>
      <c r="B4886">
        <v>12.0191821432366</v>
      </c>
      <c r="C4886" s="1">
        <v>43585</v>
      </c>
    </row>
    <row r="4887" spans="1:3">
      <c r="A4887" t="s">
        <v>154</v>
      </c>
      <c r="B4887">
        <v>17.330194437276699</v>
      </c>
      <c r="C4887" s="1">
        <v>43585</v>
      </c>
    </row>
    <row r="4888" spans="1:3">
      <c r="A4888" t="s">
        <v>156</v>
      </c>
      <c r="B4888">
        <v>33.097218589428103</v>
      </c>
      <c r="C4888" s="1">
        <v>43585</v>
      </c>
    </row>
    <row r="4889" spans="1:3">
      <c r="A4889" t="s">
        <v>158</v>
      </c>
      <c r="B4889">
        <v>50.3597523762554</v>
      </c>
      <c r="C4889" s="1">
        <v>43585</v>
      </c>
    </row>
    <row r="4890" spans="1:3">
      <c r="A4890" t="s">
        <v>160</v>
      </c>
      <c r="B4890">
        <v>18.5585491325491</v>
      </c>
      <c r="C4890" s="1">
        <v>43585</v>
      </c>
    </row>
    <row r="4891" spans="1:3">
      <c r="A4891" t="s">
        <v>162</v>
      </c>
      <c r="B4891">
        <v>3.9940709739523599</v>
      </c>
      <c r="C4891" s="1">
        <v>43585</v>
      </c>
    </row>
    <row r="4892" spans="1:3">
      <c r="A4892" t="s">
        <v>164</v>
      </c>
      <c r="B4892">
        <v>3.7631877234497</v>
      </c>
      <c r="C4892" s="1">
        <v>43585</v>
      </c>
    </row>
    <row r="4893" spans="1:3">
      <c r="A4893" t="s">
        <v>166</v>
      </c>
      <c r="B4893">
        <v>8.8761007934934995</v>
      </c>
      <c r="C4893" s="1">
        <v>43585</v>
      </c>
    </row>
    <row r="4894" spans="1:3">
      <c r="A4894" t="s">
        <v>168</v>
      </c>
      <c r="B4894">
        <v>11.8622373354931</v>
      </c>
      <c r="C4894" s="1">
        <v>43585</v>
      </c>
    </row>
    <row r="4895" spans="1:3">
      <c r="A4895" t="s">
        <v>8</v>
      </c>
      <c r="B4895">
        <v>20.520006869200799</v>
      </c>
      <c r="C4895" s="1">
        <v>43616</v>
      </c>
    </row>
    <row r="4896" spans="1:3">
      <c r="A4896" t="s">
        <v>11</v>
      </c>
      <c r="B4896">
        <v>34.828782414375297</v>
      </c>
      <c r="C4896" s="1">
        <v>43616</v>
      </c>
    </row>
    <row r="4897" spans="1:3">
      <c r="A4897" t="s">
        <v>14</v>
      </c>
      <c r="B4897">
        <v>5.8086896788283999</v>
      </c>
      <c r="C4897" s="1">
        <v>43616</v>
      </c>
    </row>
    <row r="4898" spans="1:3">
      <c r="A4898" t="s">
        <v>17</v>
      </c>
      <c r="B4898">
        <v>7.3103211402663</v>
      </c>
      <c r="C4898" s="1">
        <v>43616</v>
      </c>
    </row>
    <row r="4899" spans="1:3">
      <c r="A4899" t="s">
        <v>20</v>
      </c>
      <c r="B4899">
        <v>0.89232354455984997</v>
      </c>
      <c r="C4899" s="1">
        <v>43616</v>
      </c>
    </row>
    <row r="4900" spans="1:3">
      <c r="A4900" t="s">
        <v>24</v>
      </c>
      <c r="B4900">
        <v>1.7173278378750001</v>
      </c>
      <c r="C4900" s="1">
        <v>43616</v>
      </c>
    </row>
    <row r="4901" spans="1:3">
      <c r="A4901" t="s">
        <v>27</v>
      </c>
      <c r="B4901">
        <v>23.915507470247199</v>
      </c>
      <c r="C4901" s="1">
        <v>43616</v>
      </c>
    </row>
    <row r="4902" spans="1:3">
      <c r="A4902" t="s">
        <v>29</v>
      </c>
      <c r="B4902">
        <v>1.59024557787225</v>
      </c>
      <c r="C4902" s="1">
        <v>43616</v>
      </c>
    </row>
    <row r="4903" spans="1:3">
      <c r="A4903" t="s">
        <v>32</v>
      </c>
      <c r="B4903">
        <v>8.1607418855820004</v>
      </c>
      <c r="C4903" s="1">
        <v>43616</v>
      </c>
    </row>
    <row r="4904" spans="1:3">
      <c r="A4904" t="s">
        <v>35</v>
      </c>
      <c r="B4904">
        <v>4.1353254336029996</v>
      </c>
      <c r="C4904" s="1">
        <v>43616</v>
      </c>
    </row>
    <row r="4905" spans="1:3">
      <c r="A4905" t="s">
        <v>37</v>
      </c>
      <c r="B4905">
        <v>0.25965996908669903</v>
      </c>
      <c r="C4905" s="1">
        <v>43616</v>
      </c>
    </row>
    <row r="4906" spans="1:3">
      <c r="A4906" t="s">
        <v>39</v>
      </c>
      <c r="B4906">
        <v>1.3484458182994401</v>
      </c>
      <c r="C4906" s="1">
        <v>43616</v>
      </c>
    </row>
    <row r="4907" spans="1:3">
      <c r="A4907" t="s">
        <v>42</v>
      </c>
      <c r="B4907">
        <v>2.115747896262</v>
      </c>
      <c r="C4907" s="1">
        <v>43616</v>
      </c>
    </row>
    <row r="4908" spans="1:3">
      <c r="A4908" t="s">
        <v>44</v>
      </c>
      <c r="B4908">
        <v>11.6695861239282</v>
      </c>
      <c r="C4908" s="1">
        <v>43616</v>
      </c>
    </row>
    <row r="4909" spans="1:3">
      <c r="A4909" t="s">
        <v>47</v>
      </c>
      <c r="B4909">
        <v>9.9982826721082496</v>
      </c>
      <c r="C4909" s="1">
        <v>43616</v>
      </c>
    </row>
    <row r="4910" spans="1:3">
      <c r="A4910" t="s">
        <v>49</v>
      </c>
      <c r="B4910">
        <v>13.1540443069873</v>
      </c>
      <c r="C4910" s="1">
        <v>43616</v>
      </c>
    </row>
    <row r="4911" spans="1:3">
      <c r="A4911" t="s">
        <v>51</v>
      </c>
      <c r="B4911">
        <v>1.4219474497605</v>
      </c>
      <c r="C4911" s="1">
        <v>43616</v>
      </c>
    </row>
    <row r="4912" spans="1:3">
      <c r="A4912" t="s">
        <v>53</v>
      </c>
      <c r="B4912">
        <v>0.94659110423670001</v>
      </c>
      <c r="C4912" s="1">
        <v>43616</v>
      </c>
    </row>
    <row r="4913" spans="1:3">
      <c r="A4913" t="s">
        <v>55</v>
      </c>
      <c r="B4913">
        <v>3.2065945388802</v>
      </c>
      <c r="C4913" s="1">
        <v>43616</v>
      </c>
    </row>
    <row r="4914" spans="1:3">
      <c r="A4914" t="s">
        <v>57</v>
      </c>
      <c r="B4914">
        <v>6.3005323715957999</v>
      </c>
      <c r="C4914" s="1">
        <v>43616</v>
      </c>
    </row>
    <row r="4915" spans="1:3">
      <c r="A4915" t="s">
        <v>59</v>
      </c>
      <c r="B4915">
        <v>4.0515198351146999</v>
      </c>
      <c r="C4915" s="1">
        <v>43616</v>
      </c>
    </row>
    <row r="4916" spans="1:3">
      <c r="A4916" t="s">
        <v>61</v>
      </c>
      <c r="B4916">
        <v>90.620642280123107</v>
      </c>
      <c r="C4916" s="1">
        <v>43616</v>
      </c>
    </row>
    <row r="4917" spans="1:3">
      <c r="A4917" t="s">
        <v>63</v>
      </c>
      <c r="B4917">
        <v>11.369397217867601</v>
      </c>
      <c r="C4917" s="1">
        <v>43616</v>
      </c>
    </row>
    <row r="4918" spans="1:3">
      <c r="A4918" t="s">
        <v>65</v>
      </c>
      <c r="B4918">
        <v>0.62304653958105005</v>
      </c>
      <c r="C4918" s="1">
        <v>43616</v>
      </c>
    </row>
    <row r="4919" spans="1:3">
      <c r="A4919" t="s">
        <v>67</v>
      </c>
      <c r="B4919">
        <v>9.5297956379359494</v>
      </c>
      <c r="C4919" s="1">
        <v>43616</v>
      </c>
    </row>
    <row r="4920" spans="1:3">
      <c r="A4920" t="s">
        <v>69</v>
      </c>
      <c r="B4920">
        <v>4.9218615833497497</v>
      </c>
      <c r="C4920" s="1">
        <v>43616</v>
      </c>
    </row>
    <row r="4921" spans="1:3">
      <c r="A4921" t="s">
        <v>71</v>
      </c>
      <c r="B4921">
        <v>0.97887686758875003</v>
      </c>
      <c r="C4921" s="1">
        <v>43616</v>
      </c>
    </row>
    <row r="4922" spans="1:3">
      <c r="A4922" t="s">
        <v>73</v>
      </c>
      <c r="B4922">
        <v>1.277691911379</v>
      </c>
      <c r="C4922" s="1">
        <v>43616</v>
      </c>
    </row>
    <row r="4923" spans="1:3">
      <c r="A4923" t="s">
        <v>75</v>
      </c>
      <c r="B4923">
        <v>0.20058389146379901</v>
      </c>
      <c r="C4923" s="1">
        <v>43616</v>
      </c>
    </row>
    <row r="4924" spans="1:3">
      <c r="A4924" t="s">
        <v>77</v>
      </c>
      <c r="B4924">
        <v>1.6616864159278499</v>
      </c>
      <c r="C4924" s="1">
        <v>43616</v>
      </c>
    </row>
    <row r="4925" spans="1:3">
      <c r="A4925" t="s">
        <v>79</v>
      </c>
      <c r="B4925">
        <v>5.7187017001237503</v>
      </c>
      <c r="C4925" s="1">
        <v>43616</v>
      </c>
    </row>
    <row r="4926" spans="1:3">
      <c r="A4926" t="s">
        <v>81</v>
      </c>
      <c r="B4926">
        <v>7.5562424866500004</v>
      </c>
      <c r="C4926" s="1">
        <v>43616</v>
      </c>
    </row>
    <row r="4927" spans="1:3">
      <c r="A4927" t="s">
        <v>83</v>
      </c>
      <c r="B4927">
        <v>0.47604327665894902</v>
      </c>
      <c r="C4927" s="1">
        <v>43616</v>
      </c>
    </row>
    <row r="4928" spans="1:3">
      <c r="A4928" t="s">
        <v>85</v>
      </c>
      <c r="B4928">
        <v>4.8586639189159504</v>
      </c>
      <c r="C4928" s="1">
        <v>43616</v>
      </c>
    </row>
    <row r="4929" spans="1:3">
      <c r="A4929" t="s">
        <v>87</v>
      </c>
      <c r="B4929">
        <v>6.7278035376591001</v>
      </c>
      <c r="C4929" s="1">
        <v>43616</v>
      </c>
    </row>
    <row r="4930" spans="1:3">
      <c r="A4930" t="s">
        <v>89</v>
      </c>
      <c r="B4930">
        <v>7.5562424866500004</v>
      </c>
      <c r="C4930" s="1">
        <v>43616</v>
      </c>
    </row>
    <row r="4931" spans="1:3">
      <c r="A4931" t="s">
        <v>91</v>
      </c>
      <c r="B4931">
        <v>20.814700326180098</v>
      </c>
      <c r="C4931" s="1">
        <v>43616</v>
      </c>
    </row>
    <row r="4932" spans="1:3">
      <c r="A4932" t="s">
        <v>93</v>
      </c>
      <c r="B4932">
        <v>16.829812811175</v>
      </c>
      <c r="C4932" s="1">
        <v>43616</v>
      </c>
    </row>
    <row r="4933" spans="1:3">
      <c r="A4933" t="s">
        <v>95</v>
      </c>
      <c r="B4933">
        <v>0.49046883049709999</v>
      </c>
      <c r="C4933" s="1">
        <v>43616</v>
      </c>
    </row>
    <row r="4934" spans="1:3">
      <c r="A4934" t="s">
        <v>97</v>
      </c>
      <c r="B4934">
        <v>3.0396702730387499</v>
      </c>
      <c r="C4934" s="1">
        <v>43616</v>
      </c>
    </row>
    <row r="4935" spans="1:3">
      <c r="A4935" t="s">
        <v>99</v>
      </c>
      <c r="B4935">
        <v>4.96170358918845</v>
      </c>
      <c r="C4935" s="1">
        <v>43616</v>
      </c>
    </row>
    <row r="4936" spans="1:3">
      <c r="A4936" t="s">
        <v>101</v>
      </c>
      <c r="B4936">
        <v>8.7831014940278997</v>
      </c>
      <c r="C4936" s="1">
        <v>43616</v>
      </c>
    </row>
    <row r="4937" spans="1:3">
      <c r="A4937" t="s">
        <v>103</v>
      </c>
      <c r="B4937">
        <v>0.97887686758875003</v>
      </c>
      <c r="C4937" s="1">
        <v>43616</v>
      </c>
    </row>
    <row r="4938" spans="1:3">
      <c r="A4938" t="s">
        <v>105</v>
      </c>
      <c r="B4938">
        <v>0.32904001373684999</v>
      </c>
      <c r="C4938" s="1">
        <v>43616</v>
      </c>
    </row>
    <row r="4939" spans="1:3">
      <c r="A4939" t="s">
        <v>107</v>
      </c>
      <c r="B4939">
        <v>3.70942812981</v>
      </c>
      <c r="C4939" s="1">
        <v>43616</v>
      </c>
    </row>
    <row r="4940" spans="1:3">
      <c r="A4940" t="s">
        <v>109</v>
      </c>
      <c r="B4940">
        <v>1.73450111625375</v>
      </c>
      <c r="C4940" s="1">
        <v>43616</v>
      </c>
    </row>
    <row r="4941" spans="1:3">
      <c r="A4941" t="s">
        <v>111</v>
      </c>
      <c r="B4941">
        <v>6.5258457839249999</v>
      </c>
      <c r="C4941" s="1">
        <v>43616</v>
      </c>
    </row>
    <row r="4942" spans="1:3">
      <c r="A4942" t="s">
        <v>113</v>
      </c>
      <c r="B4942">
        <v>12.096857289991499</v>
      </c>
      <c r="C4942" s="1">
        <v>43616</v>
      </c>
    </row>
    <row r="4943" spans="1:3">
      <c r="A4943" t="s">
        <v>115</v>
      </c>
      <c r="B4943">
        <v>3.14270994331125</v>
      </c>
      <c r="C4943" s="1">
        <v>43616</v>
      </c>
    </row>
    <row r="4944" spans="1:3">
      <c r="A4944" t="s">
        <v>117</v>
      </c>
      <c r="B4944">
        <v>4.87515026615955</v>
      </c>
      <c r="C4944" s="1">
        <v>43616</v>
      </c>
    </row>
    <row r="4945" spans="1:3">
      <c r="A4945" t="s">
        <v>119</v>
      </c>
      <c r="B4945">
        <v>30.365103898170599</v>
      </c>
      <c r="C4945" s="1">
        <v>43616</v>
      </c>
    </row>
    <row r="4946" spans="1:3">
      <c r="A4946" t="s">
        <v>121</v>
      </c>
      <c r="B4946">
        <v>12.7192168984374</v>
      </c>
      <c r="C4946" s="1">
        <v>43616</v>
      </c>
    </row>
    <row r="4947" spans="1:3">
      <c r="A4947" t="s">
        <v>123</v>
      </c>
      <c r="B4947">
        <v>5.2316675253023996</v>
      </c>
      <c r="C4947" s="1">
        <v>43616</v>
      </c>
    </row>
    <row r="4948" spans="1:3">
      <c r="A4948" t="s">
        <v>125</v>
      </c>
      <c r="B4948">
        <v>225.011849560869</v>
      </c>
      <c r="C4948" s="1">
        <v>43616</v>
      </c>
    </row>
    <row r="4949" spans="1:3">
      <c r="A4949" t="s">
        <v>127</v>
      </c>
      <c r="B4949">
        <v>7.0506611711796001</v>
      </c>
      <c r="C4949" s="1">
        <v>43616</v>
      </c>
    </row>
    <row r="4950" spans="1:3">
      <c r="A4950" t="s">
        <v>129</v>
      </c>
      <c r="B4950">
        <v>4.5955692941535</v>
      </c>
      <c r="C4950" s="1">
        <v>43616</v>
      </c>
    </row>
    <row r="4951" spans="1:3">
      <c r="A4951" t="s">
        <v>131</v>
      </c>
      <c r="B4951">
        <v>2.46608277518849</v>
      </c>
      <c r="C4951" s="1">
        <v>43616</v>
      </c>
    </row>
    <row r="4952" spans="1:3">
      <c r="A4952" t="s">
        <v>134</v>
      </c>
      <c r="B4952">
        <v>2.3836510389705001</v>
      </c>
      <c r="C4952" s="1">
        <v>43616</v>
      </c>
    </row>
    <row r="4953" spans="1:3">
      <c r="A4953" t="s">
        <v>136</v>
      </c>
      <c r="B4953">
        <v>11.815215524579999</v>
      </c>
      <c r="C4953" s="1">
        <v>43616</v>
      </c>
    </row>
    <row r="4954" spans="1:3">
      <c r="A4954" t="s">
        <v>138</v>
      </c>
      <c r="B4954">
        <v>14.2263438089565</v>
      </c>
      <c r="C4954" s="1">
        <v>43616</v>
      </c>
    </row>
    <row r="4955" spans="1:3">
      <c r="A4955" t="s">
        <v>140</v>
      </c>
      <c r="B4955">
        <v>13.097715953905</v>
      </c>
      <c r="C4955" s="1">
        <v>43616</v>
      </c>
    </row>
    <row r="4956" spans="1:3">
      <c r="A4956" t="s">
        <v>142</v>
      </c>
      <c r="B4956">
        <v>5.8863128971003498</v>
      </c>
      <c r="C4956" s="1">
        <v>43616</v>
      </c>
    </row>
    <row r="4957" spans="1:3">
      <c r="A4957" t="s">
        <v>144</v>
      </c>
      <c r="B4957">
        <v>4.7329555211835004</v>
      </c>
      <c r="C4957" s="1">
        <v>43616</v>
      </c>
    </row>
    <row r="4958" spans="1:3">
      <c r="A4958" t="s">
        <v>146</v>
      </c>
      <c r="B4958">
        <v>3.7849905546764999</v>
      </c>
      <c r="C4958" s="1">
        <v>43616</v>
      </c>
    </row>
    <row r="4959" spans="1:3">
      <c r="A4959" t="s">
        <v>148</v>
      </c>
      <c r="B4959">
        <v>13.6527563111062</v>
      </c>
      <c r="C4959" s="1">
        <v>43616</v>
      </c>
    </row>
    <row r="4960" spans="1:3">
      <c r="A4960" t="s">
        <v>150</v>
      </c>
      <c r="B4960">
        <v>6.1425382105113</v>
      </c>
      <c r="C4960" s="1">
        <v>43616</v>
      </c>
    </row>
    <row r="4961" spans="1:3">
      <c r="A4961" t="s">
        <v>152</v>
      </c>
      <c r="B4961">
        <v>13.3731753391002</v>
      </c>
      <c r="C4961" s="1">
        <v>43616</v>
      </c>
    </row>
    <row r="4962" spans="1:3">
      <c r="A4962" t="s">
        <v>154</v>
      </c>
      <c r="B4962">
        <v>15.1117980421648</v>
      </c>
      <c r="C4962" s="1">
        <v>43616</v>
      </c>
    </row>
    <row r="4963" spans="1:3">
      <c r="A4963" t="s">
        <v>156</v>
      </c>
      <c r="B4963">
        <v>25.1822084834638</v>
      </c>
      <c r="C4963" s="1">
        <v>43616</v>
      </c>
    </row>
    <row r="4964" spans="1:3">
      <c r="A4964" t="s">
        <v>158</v>
      </c>
      <c r="B4964">
        <v>50.336939721521702</v>
      </c>
      <c r="C4964" s="1">
        <v>43616</v>
      </c>
    </row>
    <row r="4965" spans="1:3">
      <c r="A4965" t="s">
        <v>160</v>
      </c>
      <c r="B4965">
        <v>18.001717327740899</v>
      </c>
      <c r="C4965" s="1">
        <v>43616</v>
      </c>
    </row>
    <row r="4966" spans="1:3">
      <c r="A4966" t="s">
        <v>162</v>
      </c>
      <c r="B4966">
        <v>3.9842005838699999</v>
      </c>
      <c r="C4966" s="1">
        <v>43616</v>
      </c>
    </row>
    <row r="4967" spans="1:3">
      <c r="A4967" t="s">
        <v>164</v>
      </c>
      <c r="B4967">
        <v>4.4952773484215998</v>
      </c>
      <c r="C4967" s="1">
        <v>43616</v>
      </c>
    </row>
    <row r="4968" spans="1:3">
      <c r="A4968" t="s">
        <v>166</v>
      </c>
      <c r="B4968">
        <v>9.0750472264666495</v>
      </c>
      <c r="C4968" s="1">
        <v>43616</v>
      </c>
    </row>
    <row r="4969" spans="1:3">
      <c r="A4969" t="s">
        <v>168</v>
      </c>
      <c r="B4969">
        <v>11.330929074299201</v>
      </c>
      <c r="C4969" s="1">
        <v>43616</v>
      </c>
    </row>
    <row r="4970" spans="1:3">
      <c r="A4970" t="s">
        <v>4</v>
      </c>
      <c r="B4970">
        <v>0.13190320007118</v>
      </c>
      <c r="C4970" s="1">
        <v>43646</v>
      </c>
    </row>
    <row r="4971" spans="1:3">
      <c r="A4971" t="s">
        <v>8</v>
      </c>
      <c r="B4971">
        <v>22.6745855864296</v>
      </c>
      <c r="C4971" s="1">
        <v>43646</v>
      </c>
    </row>
    <row r="4972" spans="1:3">
      <c r="A4972" t="s">
        <v>11</v>
      </c>
      <c r="B4972">
        <v>35.067813137203501</v>
      </c>
      <c r="C4972" s="1">
        <v>43646</v>
      </c>
    </row>
    <row r="4973" spans="1:3">
      <c r="A4973" t="s">
        <v>14</v>
      </c>
      <c r="B4973">
        <v>6.4774399432804204</v>
      </c>
      <c r="C4973" s="1">
        <v>43646</v>
      </c>
    </row>
    <row r="4974" spans="1:3">
      <c r="A4974" t="s">
        <v>17</v>
      </c>
      <c r="B4974">
        <v>8.4772626540370197</v>
      </c>
      <c r="C4974" s="1">
        <v>43646</v>
      </c>
    </row>
    <row r="4975" spans="1:3">
      <c r="A4975" t="s">
        <v>20</v>
      </c>
      <c r="B4975">
        <v>0.93041397039455997</v>
      </c>
      <c r="C4975" s="1">
        <v>43646</v>
      </c>
    </row>
    <row r="4976" spans="1:3">
      <c r="A4976" t="s">
        <v>24</v>
      </c>
      <c r="B4976">
        <v>1.68212037940235</v>
      </c>
      <c r="C4976" s="1">
        <v>43646</v>
      </c>
    </row>
    <row r="4977" spans="1:3">
      <c r="A4977" t="s">
        <v>27</v>
      </c>
      <c r="B4977">
        <v>28.550660402503802</v>
      </c>
      <c r="C4977" s="1">
        <v>43646</v>
      </c>
    </row>
    <row r="4978" spans="1:3">
      <c r="A4978" t="s">
        <v>29</v>
      </c>
      <c r="B4978">
        <v>1.59134828472972</v>
      </c>
      <c r="C4978" s="1">
        <v>43646</v>
      </c>
    </row>
    <row r="4979" spans="1:3">
      <c r="A4979" t="s">
        <v>32</v>
      </c>
      <c r="B4979">
        <v>8.4864816949022099</v>
      </c>
      <c r="C4979" s="1">
        <v>43646</v>
      </c>
    </row>
    <row r="4980" spans="1:3">
      <c r="A4980" t="s">
        <v>35</v>
      </c>
      <c r="B4980">
        <v>4.2265756581948004</v>
      </c>
      <c r="C4980" s="1">
        <v>43646</v>
      </c>
    </row>
    <row r="4981" spans="1:3">
      <c r="A4981" t="s">
        <v>37</v>
      </c>
      <c r="B4981">
        <v>0.33401294211573002</v>
      </c>
      <c r="C4981" s="1">
        <v>43646</v>
      </c>
    </row>
    <row r="4982" spans="1:3">
      <c r="A4982" t="s">
        <v>39</v>
      </c>
      <c r="B4982">
        <v>1.37647371687183</v>
      </c>
      <c r="C4982" s="1">
        <v>43646</v>
      </c>
    </row>
    <row r="4983" spans="1:3">
      <c r="A4983" t="s">
        <v>42</v>
      </c>
      <c r="B4983">
        <v>2.2693023668159999</v>
      </c>
      <c r="C4983" s="1">
        <v>43646</v>
      </c>
    </row>
    <row r="4984" spans="1:3">
      <c r="A4984" t="s">
        <v>44</v>
      </c>
      <c r="B4984">
        <v>12.1967910646463</v>
      </c>
      <c r="C4984" s="1">
        <v>43646</v>
      </c>
    </row>
    <row r="4985" spans="1:3">
      <c r="A4985" t="s">
        <v>47</v>
      </c>
      <c r="B4985">
        <v>9.9281978548200005</v>
      </c>
      <c r="C4985" s="1">
        <v>43646</v>
      </c>
    </row>
    <row r="4986" spans="1:3">
      <c r="A4986" t="s">
        <v>49</v>
      </c>
      <c r="B4986">
        <v>13.249180037257201</v>
      </c>
      <c r="C4986" s="1">
        <v>43646</v>
      </c>
    </row>
    <row r="4987" spans="1:3">
      <c r="A4987" t="s">
        <v>51</v>
      </c>
      <c r="B4987">
        <v>1.3608722630999699</v>
      </c>
      <c r="C4987" s="1">
        <v>43646</v>
      </c>
    </row>
    <row r="4988" spans="1:3">
      <c r="A4988" t="s">
        <v>53</v>
      </c>
      <c r="B4988">
        <v>0.97863664568940001</v>
      </c>
      <c r="C4988" s="1">
        <v>43646</v>
      </c>
    </row>
    <row r="4989" spans="1:3">
      <c r="A4989" t="s">
        <v>55</v>
      </c>
      <c r="B4989">
        <v>3.1699317436460999</v>
      </c>
      <c r="C4989" s="1">
        <v>43646</v>
      </c>
    </row>
    <row r="4990" spans="1:3">
      <c r="A4990" t="s">
        <v>57</v>
      </c>
      <c r="B4990">
        <v>6.5377182873989597</v>
      </c>
      <c r="C4990" s="1">
        <v>43646</v>
      </c>
    </row>
    <row r="4991" spans="1:3">
      <c r="A4991" t="s">
        <v>59</v>
      </c>
      <c r="B4991">
        <v>4.3939367077474802</v>
      </c>
      <c r="C4991" s="1">
        <v>43646</v>
      </c>
    </row>
    <row r="4992" spans="1:3">
      <c r="A4992" t="s">
        <v>61</v>
      </c>
      <c r="B4992">
        <v>92.1010548712066</v>
      </c>
      <c r="C4992" s="1">
        <v>43646</v>
      </c>
    </row>
    <row r="4993" spans="1:3">
      <c r="A4993" t="s">
        <v>63</v>
      </c>
      <c r="B4993">
        <v>10.9926424962546</v>
      </c>
      <c r="C4993" s="1">
        <v>43646</v>
      </c>
    </row>
    <row r="4994" spans="1:3">
      <c r="A4994" t="s">
        <v>65</v>
      </c>
      <c r="B4994">
        <v>0.64107791862551899</v>
      </c>
      <c r="C4994" s="1">
        <v>43646</v>
      </c>
    </row>
    <row r="4995" spans="1:3">
      <c r="A4995" t="s">
        <v>67</v>
      </c>
      <c r="B4995">
        <v>10.5742398723729</v>
      </c>
      <c r="C4995" s="1">
        <v>43646</v>
      </c>
    </row>
    <row r="4996" spans="1:3">
      <c r="A4996" t="s">
        <v>69</v>
      </c>
      <c r="B4996">
        <v>4.9640989274100003</v>
      </c>
      <c r="C4996" s="1">
        <v>43646</v>
      </c>
    </row>
    <row r="4997" spans="1:3">
      <c r="A4997" t="s">
        <v>71</v>
      </c>
      <c r="B4997">
        <v>0.97863664568940001</v>
      </c>
      <c r="C4997" s="1">
        <v>43646</v>
      </c>
    </row>
    <row r="4998" spans="1:3">
      <c r="A4998" t="s">
        <v>73</v>
      </c>
      <c r="B4998">
        <v>1.2750642673547401</v>
      </c>
      <c r="C4998" s="1">
        <v>43646</v>
      </c>
    </row>
    <row r="4999" spans="1:3">
      <c r="A4999" t="s">
        <v>75</v>
      </c>
      <c r="B4999">
        <v>0.22125698076455999</v>
      </c>
      <c r="C4999" s="1">
        <v>43646</v>
      </c>
    </row>
    <row r="5000" spans="1:3">
      <c r="A5000" t="s">
        <v>77</v>
      </c>
      <c r="B5000">
        <v>1.7218331708216399</v>
      </c>
      <c r="C5000" s="1">
        <v>43646</v>
      </c>
    </row>
    <row r="5001" spans="1:3">
      <c r="A5001" t="s">
        <v>79</v>
      </c>
      <c r="B5001">
        <v>6.1008775817868903</v>
      </c>
      <c r="C5001" s="1">
        <v>43646</v>
      </c>
    </row>
    <row r="5002" spans="1:3">
      <c r="A5002" t="s">
        <v>81</v>
      </c>
      <c r="B5002">
        <v>7.7929261590440699</v>
      </c>
      <c r="C5002" s="1">
        <v>43646</v>
      </c>
    </row>
    <row r="5003" spans="1:3">
      <c r="A5003" t="s">
        <v>83</v>
      </c>
      <c r="B5003">
        <v>0.39641875720316999</v>
      </c>
      <c r="C5003" s="1">
        <v>43646</v>
      </c>
    </row>
    <row r="5004" spans="1:3">
      <c r="A5004" t="s">
        <v>85</v>
      </c>
      <c r="B5004">
        <v>4.95487988654481</v>
      </c>
      <c r="C5004" s="1">
        <v>43646</v>
      </c>
    </row>
    <row r="5005" spans="1:3">
      <c r="A5005" t="s">
        <v>87</v>
      </c>
      <c r="B5005">
        <v>7.1234819608333497</v>
      </c>
      <c r="C5005" s="1">
        <v>43646</v>
      </c>
    </row>
    <row r="5006" spans="1:3">
      <c r="A5006" t="s">
        <v>89</v>
      </c>
      <c r="B5006">
        <v>7.5737966492483997</v>
      </c>
      <c r="C5006" s="1">
        <v>43646</v>
      </c>
    </row>
    <row r="5007" spans="1:3">
      <c r="A5007" t="s">
        <v>91</v>
      </c>
      <c r="B5007">
        <v>21.2747096889</v>
      </c>
      <c r="C5007" s="1">
        <v>43646</v>
      </c>
    </row>
    <row r="5008" spans="1:3">
      <c r="A5008" t="s">
        <v>93</v>
      </c>
      <c r="B5008">
        <v>18.9451289779654</v>
      </c>
      <c r="C5008" s="1">
        <v>43646</v>
      </c>
    </row>
    <row r="5009" spans="1:3">
      <c r="A5009" t="s">
        <v>95</v>
      </c>
      <c r="B5009">
        <v>0.429749135715779</v>
      </c>
      <c r="C5009" s="1">
        <v>43646</v>
      </c>
    </row>
    <row r="5010" spans="1:3">
      <c r="A5010" t="s">
        <v>97</v>
      </c>
      <c r="B5010">
        <v>2.49765091747686</v>
      </c>
      <c r="C5010" s="1">
        <v>43646</v>
      </c>
    </row>
    <row r="5011" spans="1:3">
      <c r="A5011" t="s">
        <v>99</v>
      </c>
      <c r="B5011">
        <v>4.8931832284469996</v>
      </c>
      <c r="C5011" s="1">
        <v>43646</v>
      </c>
    </row>
    <row r="5012" spans="1:3">
      <c r="A5012" t="s">
        <v>101</v>
      </c>
      <c r="B5012">
        <v>8.5949827143156003</v>
      </c>
      <c r="C5012" s="1">
        <v>43646</v>
      </c>
    </row>
    <row r="5013" spans="1:3">
      <c r="A5013" t="s">
        <v>103</v>
      </c>
      <c r="B5013">
        <v>0.83680524776340004</v>
      </c>
      <c r="C5013" s="1">
        <v>43646</v>
      </c>
    </row>
    <row r="5014" spans="1:3">
      <c r="A5014" t="s">
        <v>105</v>
      </c>
      <c r="B5014">
        <v>0.32763052920906</v>
      </c>
      <c r="C5014" s="1">
        <v>43646</v>
      </c>
    </row>
    <row r="5015" spans="1:3">
      <c r="A5015" t="s">
        <v>107</v>
      </c>
      <c r="B5015">
        <v>3.5564223029944499</v>
      </c>
      <c r="C5015" s="1">
        <v>43646</v>
      </c>
    </row>
    <row r="5016" spans="1:3">
      <c r="A5016" t="s">
        <v>109</v>
      </c>
      <c r="B5016">
        <v>2.25086428508562</v>
      </c>
      <c r="C5016" s="1">
        <v>43646</v>
      </c>
    </row>
    <row r="5017" spans="1:3">
      <c r="A5017" t="s">
        <v>111</v>
      </c>
      <c r="B5017">
        <v>6.4880772981248596</v>
      </c>
      <c r="C5017" s="1">
        <v>43646</v>
      </c>
    </row>
    <row r="5018" spans="1:3">
      <c r="A5018" t="s">
        <v>113</v>
      </c>
      <c r="B5018">
        <v>12.7861005230289</v>
      </c>
      <c r="C5018" s="1">
        <v>43646</v>
      </c>
    </row>
    <row r="5019" spans="1:3">
      <c r="A5019" t="s">
        <v>115</v>
      </c>
      <c r="B5019">
        <v>3.46635936531144</v>
      </c>
      <c r="C5019" s="1">
        <v>43646</v>
      </c>
    </row>
    <row r="5020" spans="1:3">
      <c r="A5020" t="s">
        <v>117</v>
      </c>
      <c r="B5020">
        <v>4.8931832284469996</v>
      </c>
      <c r="C5020" s="1">
        <v>43646</v>
      </c>
    </row>
    <row r="5021" spans="1:3">
      <c r="A5021" t="s">
        <v>119</v>
      </c>
      <c r="B5021">
        <v>35.413881748142899</v>
      </c>
      <c r="C5021" s="1">
        <v>43646</v>
      </c>
    </row>
    <row r="5022" spans="1:3">
      <c r="A5022" t="s">
        <v>121</v>
      </c>
      <c r="B5022">
        <v>13.3250598351477</v>
      </c>
      <c r="C5022" s="1">
        <v>43646</v>
      </c>
    </row>
    <row r="5023" spans="1:3">
      <c r="A5023" t="s">
        <v>123</v>
      </c>
      <c r="B5023">
        <v>5.5427710309480798</v>
      </c>
      <c r="C5023" s="1">
        <v>43646</v>
      </c>
    </row>
    <row r="5024" spans="1:3">
      <c r="A5024" t="s">
        <v>125</v>
      </c>
      <c r="B5024">
        <v>242.497650917957</v>
      </c>
      <c r="C5024" s="1">
        <v>43646</v>
      </c>
    </row>
    <row r="5025" spans="1:3">
      <c r="A5025" t="s">
        <v>127</v>
      </c>
      <c r="B5025">
        <v>7.5702508643002497</v>
      </c>
      <c r="C5025" s="1">
        <v>43646</v>
      </c>
    </row>
    <row r="5026" spans="1:3">
      <c r="A5026" t="s">
        <v>129</v>
      </c>
      <c r="B5026">
        <v>4.8612711639136501</v>
      </c>
      <c r="C5026" s="1">
        <v>43646</v>
      </c>
    </row>
    <row r="5027" spans="1:3">
      <c r="A5027" t="s">
        <v>131</v>
      </c>
      <c r="B5027">
        <v>2.46502969595387</v>
      </c>
      <c r="C5027" s="1">
        <v>43646</v>
      </c>
    </row>
    <row r="5028" spans="1:3">
      <c r="A5028" t="s">
        <v>134</v>
      </c>
      <c r="B5028">
        <v>2.33241733889307</v>
      </c>
      <c r="C5028" s="1">
        <v>43646</v>
      </c>
    </row>
    <row r="5029" spans="1:3">
      <c r="A5029" t="s">
        <v>136</v>
      </c>
      <c r="B5029">
        <v>11.180569098506499</v>
      </c>
      <c r="C5029" s="1">
        <v>43646</v>
      </c>
    </row>
    <row r="5030" spans="1:3">
      <c r="A5030" t="s">
        <v>138</v>
      </c>
      <c r="B5030">
        <v>13.427887598644</v>
      </c>
      <c r="C5030" s="1">
        <v>43646</v>
      </c>
    </row>
    <row r="5031" spans="1:3">
      <c r="A5031" t="s">
        <v>140</v>
      </c>
      <c r="B5031">
        <v>14.5582838401142</v>
      </c>
      <c r="C5031" s="1">
        <v>43646</v>
      </c>
    </row>
    <row r="5032" spans="1:3">
      <c r="A5032" t="s">
        <v>142</v>
      </c>
      <c r="B5032">
        <v>6.5143161067411697</v>
      </c>
      <c r="C5032" s="1">
        <v>43646</v>
      </c>
    </row>
    <row r="5033" spans="1:3">
      <c r="A5033" t="s">
        <v>144</v>
      </c>
      <c r="B5033">
        <v>4.7889371509713898</v>
      </c>
      <c r="C5033" s="1">
        <v>43646</v>
      </c>
    </row>
    <row r="5034" spans="1:3">
      <c r="A5034" t="s">
        <v>146</v>
      </c>
      <c r="B5034">
        <v>3.8925627160790701</v>
      </c>
      <c r="C5034" s="1">
        <v>43646</v>
      </c>
    </row>
    <row r="5035" spans="1:3">
      <c r="A5035" t="s">
        <v>148</v>
      </c>
      <c r="B5035">
        <v>13.9469905150532</v>
      </c>
      <c r="C5035" s="1">
        <v>43646</v>
      </c>
    </row>
    <row r="5036" spans="1:3">
      <c r="A5036" t="s">
        <v>150</v>
      </c>
      <c r="B5036">
        <v>6.47885825725968</v>
      </c>
      <c r="C5036" s="1">
        <v>43646</v>
      </c>
    </row>
    <row r="5037" spans="1:3">
      <c r="A5037" t="s">
        <v>152</v>
      </c>
      <c r="B5037">
        <v>18.013296693591599</v>
      </c>
      <c r="C5037" s="1">
        <v>43646</v>
      </c>
    </row>
    <row r="5038" spans="1:3">
      <c r="A5038" t="s">
        <v>154</v>
      </c>
      <c r="B5038">
        <v>15.863841858022999</v>
      </c>
      <c r="C5038" s="1">
        <v>43646</v>
      </c>
    </row>
    <row r="5039" spans="1:3">
      <c r="A5039" t="s">
        <v>156</v>
      </c>
      <c r="B5039">
        <v>24.835386933832201</v>
      </c>
      <c r="C5039" s="1">
        <v>43646</v>
      </c>
    </row>
    <row r="5040" spans="1:3">
      <c r="A5040" t="s">
        <v>158</v>
      </c>
      <c r="B5040">
        <v>59.351475933103501</v>
      </c>
      <c r="C5040" s="1">
        <v>43646</v>
      </c>
    </row>
    <row r="5041" spans="1:3">
      <c r="A5041" t="s">
        <v>160</v>
      </c>
      <c r="B5041">
        <v>17.955854977431599</v>
      </c>
      <c r="C5041" s="1">
        <v>43646</v>
      </c>
    </row>
    <row r="5042" spans="1:3">
      <c r="A5042" t="s">
        <v>162</v>
      </c>
      <c r="B5042">
        <v>4.9463700026692496</v>
      </c>
      <c r="C5042" s="1">
        <v>43646</v>
      </c>
    </row>
    <row r="5043" spans="1:3">
      <c r="A5043" t="s">
        <v>164</v>
      </c>
      <c r="B5043">
        <v>5.4427798954102498</v>
      </c>
      <c r="C5043" s="1">
        <v>43646</v>
      </c>
    </row>
    <row r="5044" spans="1:3">
      <c r="A5044" t="s">
        <v>166</v>
      </c>
      <c r="B5044">
        <v>9.0772094672639998</v>
      </c>
      <c r="C5044" s="1">
        <v>43646</v>
      </c>
    </row>
    <row r="5045" spans="1:3">
      <c r="A5045" t="s">
        <v>168</v>
      </c>
      <c r="B5045">
        <v>12.9187128800897</v>
      </c>
      <c r="C5045" s="1">
        <v>43646</v>
      </c>
    </row>
    <row r="5046" spans="1:3">
      <c r="A5046" t="s">
        <v>4</v>
      </c>
      <c r="B5046">
        <v>0.13898932886554999</v>
      </c>
      <c r="C5046" s="1">
        <v>43677</v>
      </c>
    </row>
    <row r="5047" spans="1:3">
      <c r="A5047" t="s">
        <v>8</v>
      </c>
      <c r="B5047">
        <v>22.010406561515499</v>
      </c>
      <c r="C5047" s="1">
        <v>43677</v>
      </c>
    </row>
    <row r="5048" spans="1:3">
      <c r="A5048" t="s">
        <v>11</v>
      </c>
      <c r="B5048">
        <v>36.152041626394102</v>
      </c>
      <c r="C5048" s="1">
        <v>43677</v>
      </c>
    </row>
    <row r="5049" spans="1:3">
      <c r="A5049" t="s">
        <v>14</v>
      </c>
      <c r="B5049">
        <v>5.7747596790077402</v>
      </c>
      <c r="C5049" s="1">
        <v>43677</v>
      </c>
    </row>
    <row r="5050" spans="1:3">
      <c r="A5050" t="s">
        <v>17</v>
      </c>
      <c r="B5050">
        <v>8.6568480466004996</v>
      </c>
      <c r="C5050" s="1">
        <v>43677</v>
      </c>
    </row>
    <row r="5051" spans="1:3">
      <c r="A5051" t="s">
        <v>20</v>
      </c>
      <c r="B5051">
        <v>0.91013316871350003</v>
      </c>
      <c r="C5051" s="1">
        <v>43677</v>
      </c>
    </row>
    <row r="5052" spans="1:3">
      <c r="A5052" t="s">
        <v>24</v>
      </c>
      <c r="B5052">
        <v>1.5690978040455901</v>
      </c>
      <c r="C5052" s="1">
        <v>43677</v>
      </c>
    </row>
    <row r="5053" spans="1:3">
      <c r="A5053" t="s">
        <v>27</v>
      </c>
      <c r="B5053">
        <v>24.840991269173301</v>
      </c>
      <c r="C5053" s="1">
        <v>43677</v>
      </c>
    </row>
    <row r="5054" spans="1:3">
      <c r="A5054" t="s">
        <v>29</v>
      </c>
      <c r="B5054">
        <v>1.60225769468865</v>
      </c>
      <c r="C5054" s="1">
        <v>43677</v>
      </c>
    </row>
    <row r="5055" spans="1:3">
      <c r="A5055" t="s">
        <v>32</v>
      </c>
      <c r="B5055">
        <v>8.3012611341728899</v>
      </c>
      <c r="C5055" s="1">
        <v>43677</v>
      </c>
    </row>
    <row r="5056" spans="1:3">
      <c r="A5056" t="s">
        <v>35</v>
      </c>
      <c r="B5056">
        <v>4.0497398359809997</v>
      </c>
      <c r="C5056" s="1">
        <v>43677</v>
      </c>
    </row>
    <row r="5057" spans="1:3">
      <c r="A5057" t="s">
        <v>37</v>
      </c>
      <c r="B5057">
        <v>0.25681277008659997</v>
      </c>
      <c r="C5057" s="1">
        <v>43677</v>
      </c>
    </row>
    <row r="5058" spans="1:3">
      <c r="A5058" t="s">
        <v>39</v>
      </c>
      <c r="B5058">
        <v>1.34403386542575</v>
      </c>
      <c r="C5058" s="1">
        <v>43677</v>
      </c>
    </row>
    <row r="5059" spans="1:3">
      <c r="A5059" t="s">
        <v>42</v>
      </c>
      <c r="B5059">
        <v>2.4552429667619902</v>
      </c>
      <c r="C5059" s="1">
        <v>43677</v>
      </c>
    </row>
    <row r="5060" spans="1:3">
      <c r="A5060" t="s">
        <v>44</v>
      </c>
      <c r="B5060">
        <v>11.8070376576902</v>
      </c>
      <c r="C5060" s="1">
        <v>43677</v>
      </c>
    </row>
    <row r="5061" spans="1:3">
      <c r="A5061" t="s">
        <v>47</v>
      </c>
      <c r="B5061">
        <v>9.05688332308155</v>
      </c>
      <c r="C5061" s="1">
        <v>43677</v>
      </c>
    </row>
    <row r="5062" spans="1:3">
      <c r="A5062" t="s">
        <v>49</v>
      </c>
      <c r="B5062">
        <v>12.995855013722901</v>
      </c>
      <c r="C5062" s="1">
        <v>43677</v>
      </c>
    </row>
    <row r="5063" spans="1:3">
      <c r="A5063" t="s">
        <v>51</v>
      </c>
      <c r="B5063">
        <v>1.3320398624271901</v>
      </c>
      <c r="C5063" s="1">
        <v>43677</v>
      </c>
    </row>
    <row r="5064" spans="1:3">
      <c r="A5064" t="s">
        <v>53</v>
      </c>
      <c r="B5064">
        <v>0.94399858894470001</v>
      </c>
      <c r="C5064" s="1">
        <v>43677</v>
      </c>
    </row>
    <row r="5065" spans="1:3">
      <c r="A5065" t="s">
        <v>55</v>
      </c>
      <c r="B5065">
        <v>2.96322427023</v>
      </c>
      <c r="C5065" s="1">
        <v>43677</v>
      </c>
    </row>
    <row r="5066" spans="1:3">
      <c r="A5066" t="s">
        <v>57</v>
      </c>
      <c r="B5066">
        <v>6.0788429315003896</v>
      </c>
      <c r="C5066" s="1">
        <v>43677</v>
      </c>
    </row>
    <row r="5067" spans="1:3">
      <c r="A5067" t="s">
        <v>59</v>
      </c>
      <c r="B5067">
        <v>4.3404180262988001</v>
      </c>
      <c r="C5067" s="1">
        <v>43677</v>
      </c>
    </row>
    <row r="5068" spans="1:3">
      <c r="A5068" t="s">
        <v>61</v>
      </c>
      <c r="B5068">
        <v>83.252491401699999</v>
      </c>
      <c r="C5068" s="1">
        <v>43677</v>
      </c>
    </row>
    <row r="5069" spans="1:3">
      <c r="A5069" t="s">
        <v>63</v>
      </c>
      <c r="B5069">
        <v>11.6024340771267</v>
      </c>
      <c r="C5069" s="1">
        <v>43677</v>
      </c>
    </row>
    <row r="5070" spans="1:3">
      <c r="A5070" t="s">
        <v>65</v>
      </c>
      <c r="B5070">
        <v>0.62086603757199998</v>
      </c>
      <c r="C5070" s="1">
        <v>43677</v>
      </c>
    </row>
    <row r="5071" spans="1:3">
      <c r="A5071" t="s">
        <v>67</v>
      </c>
      <c r="B5071">
        <v>9.3341564512244997</v>
      </c>
      <c r="C5071" s="1">
        <v>43677</v>
      </c>
    </row>
    <row r="5072" spans="1:3">
      <c r="A5072" t="s">
        <v>69</v>
      </c>
      <c r="B5072">
        <v>4.4109709851138001</v>
      </c>
      <c r="C5072" s="1">
        <v>43677</v>
      </c>
    </row>
    <row r="5073" spans="1:3">
      <c r="A5073" t="s">
        <v>71</v>
      </c>
      <c r="B5073">
        <v>0.89249492900975003</v>
      </c>
      <c r="C5073" s="1">
        <v>43677</v>
      </c>
    </row>
    <row r="5074" spans="1:3">
      <c r="A5074" t="s">
        <v>73</v>
      </c>
      <c r="B5074">
        <v>1.18105653056309</v>
      </c>
      <c r="C5074" s="1">
        <v>43677</v>
      </c>
    </row>
    <row r="5075" spans="1:3">
      <c r="A5075" t="s">
        <v>75</v>
      </c>
      <c r="B5075">
        <v>0.24693535585249901</v>
      </c>
      <c r="C5075" s="1">
        <v>43677</v>
      </c>
    </row>
    <row r="5076" spans="1:3">
      <c r="A5076" t="s">
        <v>77</v>
      </c>
      <c r="B5076">
        <v>1.6833935973259</v>
      </c>
      <c r="C5076" s="1">
        <v>43677</v>
      </c>
    </row>
    <row r="5077" spans="1:3">
      <c r="A5077" t="s">
        <v>79</v>
      </c>
      <c r="B5077">
        <v>6.4555957315725001</v>
      </c>
      <c r="C5077" s="1">
        <v>43677</v>
      </c>
    </row>
    <row r="5078" spans="1:3">
      <c r="A5078" t="s">
        <v>81</v>
      </c>
      <c r="B5078">
        <v>8.1354616809576505</v>
      </c>
      <c r="C5078" s="1">
        <v>43677</v>
      </c>
    </row>
    <row r="5079" spans="1:3">
      <c r="A5079" t="s">
        <v>83</v>
      </c>
      <c r="B5079">
        <v>0.36405326748540001</v>
      </c>
      <c r="C5079" s="1">
        <v>43677</v>
      </c>
    </row>
    <row r="5080" spans="1:3">
      <c r="A5080" t="s">
        <v>85</v>
      </c>
      <c r="B5080">
        <v>4.9140135814647499</v>
      </c>
      <c r="C5080" s="1">
        <v>43677</v>
      </c>
    </row>
    <row r="5081" spans="1:3">
      <c r="A5081" t="s">
        <v>87</v>
      </c>
      <c r="B5081">
        <v>6.3723432401707996</v>
      </c>
      <c r="C5081" s="1">
        <v>43677</v>
      </c>
    </row>
    <row r="5082" spans="1:3">
      <c r="A5082" t="s">
        <v>89</v>
      </c>
      <c r="B5082">
        <v>6.9283005556330002</v>
      </c>
      <c r="C5082" s="1">
        <v>43677</v>
      </c>
    </row>
    <row r="5083" spans="1:3">
      <c r="A5083" t="s">
        <v>91</v>
      </c>
      <c r="B5083">
        <v>20.832877678893102</v>
      </c>
      <c r="C5083" s="1">
        <v>43677</v>
      </c>
    </row>
    <row r="5084" spans="1:3">
      <c r="A5084" t="s">
        <v>93</v>
      </c>
      <c r="B5084">
        <v>18.696534085974999</v>
      </c>
      <c r="C5084" s="1">
        <v>43677</v>
      </c>
    </row>
    <row r="5085" spans="1:3">
      <c r="A5085" t="s">
        <v>95</v>
      </c>
      <c r="B5085">
        <v>0.4261398712426</v>
      </c>
      <c r="C5085" s="1">
        <v>43677</v>
      </c>
    </row>
    <row r="5086" spans="1:3">
      <c r="A5086" t="s">
        <v>97</v>
      </c>
      <c r="B5086">
        <v>2.3818678895943899</v>
      </c>
      <c r="C5086" s="1">
        <v>43677</v>
      </c>
    </row>
    <row r="5087" spans="1:3">
      <c r="A5087" t="s">
        <v>99</v>
      </c>
      <c r="B5087">
        <v>4.79830672900815</v>
      </c>
      <c r="C5087" s="1">
        <v>43677</v>
      </c>
    </row>
    <row r="5088" spans="1:3">
      <c r="A5088" t="s">
        <v>101</v>
      </c>
      <c r="B5088">
        <v>8.2546961813549995</v>
      </c>
      <c r="C5088" s="1">
        <v>43677</v>
      </c>
    </row>
    <row r="5089" spans="1:3">
      <c r="A5089" t="s">
        <v>103</v>
      </c>
      <c r="B5089">
        <v>0.73304524208785005</v>
      </c>
      <c r="C5089" s="1">
        <v>43677</v>
      </c>
    </row>
    <row r="5090" spans="1:3">
      <c r="A5090" t="s">
        <v>105</v>
      </c>
      <c r="B5090">
        <v>0.34359290942905002</v>
      </c>
      <c r="C5090" s="1">
        <v>43677</v>
      </c>
    </row>
    <row r="5091" spans="1:3">
      <c r="A5091" t="s">
        <v>107</v>
      </c>
      <c r="B5091">
        <v>3.2630743451937501</v>
      </c>
      <c r="C5091" s="1">
        <v>43677</v>
      </c>
    </row>
    <row r="5092" spans="1:3">
      <c r="A5092" t="s">
        <v>109</v>
      </c>
      <c r="B5092">
        <v>2.60552076903795</v>
      </c>
      <c r="C5092" s="1">
        <v>43677</v>
      </c>
    </row>
    <row r="5093" spans="1:3">
      <c r="A5093" t="s">
        <v>111</v>
      </c>
      <c r="B5093">
        <v>6.5614251697950001</v>
      </c>
      <c r="C5093" s="1">
        <v>43677</v>
      </c>
    </row>
    <row r="5094" spans="1:3">
      <c r="A5094" t="s">
        <v>113</v>
      </c>
      <c r="B5094">
        <v>11.718846459171401</v>
      </c>
      <c r="C5094" s="1">
        <v>43677</v>
      </c>
    </row>
    <row r="5095" spans="1:3">
      <c r="A5095" t="s">
        <v>115</v>
      </c>
      <c r="B5095">
        <v>3.8804127348249899</v>
      </c>
      <c r="C5095" s="1">
        <v>43677</v>
      </c>
    </row>
    <row r="5096" spans="1:3">
      <c r="A5096" t="s">
        <v>117</v>
      </c>
      <c r="B5096">
        <v>4.6960049387264</v>
      </c>
      <c r="C5096" s="1">
        <v>43677</v>
      </c>
    </row>
    <row r="5097" spans="1:3">
      <c r="A5097" t="s">
        <v>119</v>
      </c>
      <c r="B5097">
        <v>33.6135461682304</v>
      </c>
      <c r="C5097" s="1">
        <v>43677</v>
      </c>
    </row>
    <row r="5098" spans="1:3">
      <c r="A5098" t="s">
        <v>121</v>
      </c>
      <c r="B5098">
        <v>12.636034923766401</v>
      </c>
      <c r="C5098" s="1">
        <v>43677</v>
      </c>
    </row>
    <row r="5099" spans="1:3">
      <c r="A5099" t="s">
        <v>123</v>
      </c>
      <c r="B5099">
        <v>5.2667783755397499</v>
      </c>
      <c r="C5099" s="1">
        <v>43677</v>
      </c>
    </row>
    <row r="5100" spans="1:3">
      <c r="A5100" t="s">
        <v>125</v>
      </c>
      <c r="B5100">
        <v>247.45956433649499</v>
      </c>
      <c r="C5100" s="1">
        <v>43677</v>
      </c>
    </row>
    <row r="5101" spans="1:3">
      <c r="A5101" t="s">
        <v>127</v>
      </c>
      <c r="B5101">
        <v>7.95343504721495</v>
      </c>
      <c r="C5101" s="1">
        <v>43677</v>
      </c>
    </row>
    <row r="5102" spans="1:3">
      <c r="A5102" t="s">
        <v>129</v>
      </c>
      <c r="B5102">
        <v>4.3566452068262498</v>
      </c>
      <c r="C5102" s="1">
        <v>43677</v>
      </c>
    </row>
    <row r="5103" spans="1:3">
      <c r="A5103" t="s">
        <v>131</v>
      </c>
      <c r="B5103">
        <v>2.3776347120654999</v>
      </c>
      <c r="C5103" s="1">
        <v>43677</v>
      </c>
    </row>
    <row r="5104" spans="1:3">
      <c r="A5104" t="s">
        <v>134</v>
      </c>
      <c r="B5104">
        <v>2.0848399329832499</v>
      </c>
      <c r="C5104" s="1">
        <v>43677</v>
      </c>
    </row>
    <row r="5105" spans="1:3">
      <c r="A5105" t="s">
        <v>136</v>
      </c>
      <c r="B5105">
        <v>10.9004321369175</v>
      </c>
      <c r="C5105" s="1">
        <v>43677</v>
      </c>
    </row>
    <row r="5106" spans="1:3">
      <c r="A5106" t="s">
        <v>138</v>
      </c>
      <c r="B5106">
        <v>13.067819031714199</v>
      </c>
      <c r="C5106" s="1">
        <v>43677</v>
      </c>
    </row>
    <row r="5107" spans="1:3">
      <c r="A5107" t="s">
        <v>140</v>
      </c>
      <c r="B5107">
        <v>14.410441837963701</v>
      </c>
      <c r="C5107" s="1">
        <v>43677</v>
      </c>
    </row>
    <row r="5108" spans="1:3">
      <c r="A5108" t="s">
        <v>142</v>
      </c>
      <c r="B5108">
        <v>5.78181497488925</v>
      </c>
      <c r="C5108" s="1">
        <v>43677</v>
      </c>
    </row>
    <row r="5109" spans="1:3">
      <c r="A5109" t="s">
        <v>144</v>
      </c>
      <c r="B5109">
        <v>4.6000529147379998</v>
      </c>
      <c r="C5109" s="1">
        <v>43677</v>
      </c>
    </row>
    <row r="5110" spans="1:3">
      <c r="A5110" t="s">
        <v>146</v>
      </c>
      <c r="B5110">
        <v>3.68145339096669</v>
      </c>
      <c r="C5110" s="1">
        <v>43677</v>
      </c>
    </row>
    <row r="5111" spans="1:3">
      <c r="A5111" t="s">
        <v>148</v>
      </c>
      <c r="B5111">
        <v>12.6677837552332</v>
      </c>
      <c r="C5111" s="1">
        <v>43677</v>
      </c>
    </row>
    <row r="5112" spans="1:3">
      <c r="A5112" t="s">
        <v>150</v>
      </c>
      <c r="B5112">
        <v>6.1190581180249497</v>
      </c>
      <c r="C5112" s="1">
        <v>43677</v>
      </c>
    </row>
    <row r="5113" spans="1:3">
      <c r="A5113" t="s">
        <v>152</v>
      </c>
      <c r="B5113">
        <v>17.907752006423198</v>
      </c>
      <c r="C5113" s="1">
        <v>43677</v>
      </c>
    </row>
    <row r="5114" spans="1:3">
      <c r="A5114" t="s">
        <v>154</v>
      </c>
      <c r="B5114">
        <v>15.724843460687101</v>
      </c>
      <c r="C5114" s="1">
        <v>43677</v>
      </c>
    </row>
    <row r="5115" spans="1:3">
      <c r="A5115" t="s">
        <v>156</v>
      </c>
      <c r="B5115">
        <v>21.9243319517612</v>
      </c>
      <c r="C5115" s="1">
        <v>43677</v>
      </c>
    </row>
    <row r="5116" spans="1:3">
      <c r="A5116" t="s">
        <v>158</v>
      </c>
      <c r="B5116">
        <v>60.262104242244099</v>
      </c>
      <c r="C5116" s="1">
        <v>43677</v>
      </c>
    </row>
    <row r="5117" spans="1:3">
      <c r="A5117" t="s">
        <v>160</v>
      </c>
      <c r="B5117">
        <v>17.0131404886491</v>
      </c>
      <c r="C5117" s="1">
        <v>43677</v>
      </c>
    </row>
    <row r="5118" spans="1:3">
      <c r="A5118" t="s">
        <v>162</v>
      </c>
      <c r="B5118">
        <v>5.4375165358720396</v>
      </c>
      <c r="C5118" s="1">
        <v>43677</v>
      </c>
    </row>
    <row r="5119" spans="1:3">
      <c r="A5119" t="s">
        <v>164</v>
      </c>
      <c r="B5119">
        <v>5.3648469882925998</v>
      </c>
      <c r="C5119" s="1">
        <v>43677</v>
      </c>
    </row>
    <row r="5120" spans="1:3">
      <c r="A5120" t="s">
        <v>166</v>
      </c>
      <c r="B5120">
        <v>8.4917541229733899</v>
      </c>
      <c r="C5120" s="1">
        <v>43677</v>
      </c>
    </row>
    <row r="5121" spans="1:3">
      <c r="A5121" t="s">
        <v>168</v>
      </c>
      <c r="B5121">
        <v>12.5548990211292</v>
      </c>
      <c r="C5121" s="1">
        <v>43677</v>
      </c>
    </row>
    <row r="5122" spans="1:3">
      <c r="A5122" t="s">
        <v>4</v>
      </c>
      <c r="B5122">
        <v>0.17452869021234901</v>
      </c>
      <c r="C5122" s="1">
        <v>43708</v>
      </c>
    </row>
    <row r="5123" spans="1:3">
      <c r="A5123" t="s">
        <v>8</v>
      </c>
      <c r="B5123">
        <v>19.477401827698198</v>
      </c>
      <c r="C5123" s="1">
        <v>43708</v>
      </c>
    </row>
    <row r="5124" spans="1:3">
      <c r="A5124" t="s">
        <v>11</v>
      </c>
      <c r="B5124">
        <v>35.2521610275707</v>
      </c>
      <c r="C5124" s="1">
        <v>43708</v>
      </c>
    </row>
    <row r="5125" spans="1:3">
      <c r="A5125" t="s">
        <v>14</v>
      </c>
      <c r="B5125">
        <v>5.1871243928772399</v>
      </c>
      <c r="C5125" s="1">
        <v>43708</v>
      </c>
    </row>
    <row r="5126" spans="1:3">
      <c r="A5126" t="s">
        <v>17</v>
      </c>
      <c r="B5126">
        <v>7.7951757635976398</v>
      </c>
      <c r="C5126" s="1">
        <v>43708</v>
      </c>
    </row>
    <row r="5127" spans="1:3">
      <c r="A5127" t="s">
        <v>20</v>
      </c>
      <c r="B5127">
        <v>0.72445871408899998</v>
      </c>
      <c r="C5127" s="1">
        <v>43708</v>
      </c>
    </row>
    <row r="5128" spans="1:3">
      <c r="A5128" t="s">
        <v>24</v>
      </c>
      <c r="B5128">
        <v>1.2671441508247501</v>
      </c>
      <c r="C5128" s="1">
        <v>43708</v>
      </c>
    </row>
    <row r="5129" spans="1:3">
      <c r="A5129" t="s">
        <v>27</v>
      </c>
      <c r="B5129">
        <v>21.578332098556299</v>
      </c>
      <c r="C5129" s="1">
        <v>43708</v>
      </c>
    </row>
    <row r="5130" spans="1:3">
      <c r="A5130" t="s">
        <v>29</v>
      </c>
      <c r="B5130">
        <v>1.50226393348818</v>
      </c>
      <c r="C5130" s="1">
        <v>43708</v>
      </c>
    </row>
    <row r="5131" spans="1:3">
      <c r="A5131" t="s">
        <v>32</v>
      </c>
      <c r="B5131">
        <v>7.5929859224837104</v>
      </c>
      <c r="C5131" s="1">
        <v>43708</v>
      </c>
    </row>
    <row r="5132" spans="1:3">
      <c r="A5132" t="s">
        <v>35</v>
      </c>
      <c r="B5132">
        <v>3.8034082489672398</v>
      </c>
      <c r="C5132" s="1">
        <v>43708</v>
      </c>
    </row>
    <row r="5133" spans="1:3">
      <c r="A5133" t="s">
        <v>37</v>
      </c>
      <c r="B5133">
        <v>0.183090475015219</v>
      </c>
      <c r="C5133" s="1">
        <v>43708</v>
      </c>
    </row>
    <row r="5134" spans="1:3">
      <c r="A5134" t="s">
        <v>39</v>
      </c>
      <c r="B5134">
        <v>1.1966740759088299</v>
      </c>
      <c r="C5134" s="1">
        <v>43708</v>
      </c>
    </row>
    <row r="5135" spans="1:3">
      <c r="A5135" t="s">
        <v>42</v>
      </c>
      <c r="B5135">
        <v>2.00872643451949</v>
      </c>
      <c r="C5135" s="1">
        <v>43708</v>
      </c>
    </row>
    <row r="5136" spans="1:3">
      <c r="A5136" t="s">
        <v>44</v>
      </c>
      <c r="B5136">
        <v>8.96814028159082</v>
      </c>
      <c r="C5136" s="1">
        <v>43708</v>
      </c>
    </row>
    <row r="5137" spans="1:3">
      <c r="A5137" t="s">
        <v>47</v>
      </c>
      <c r="B5137">
        <v>8.4959249197709994</v>
      </c>
      <c r="C5137" s="1">
        <v>43708</v>
      </c>
    </row>
    <row r="5138" spans="1:3">
      <c r="A5138" t="s">
        <v>49</v>
      </c>
      <c r="B5138">
        <v>11.4484234790991</v>
      </c>
      <c r="C5138" s="1">
        <v>43708</v>
      </c>
    </row>
    <row r="5139" spans="1:3">
      <c r="A5139" t="s">
        <v>51</v>
      </c>
      <c r="B5139">
        <v>1.23289701161327</v>
      </c>
      <c r="C5139" s="1">
        <v>43708</v>
      </c>
    </row>
    <row r="5140" spans="1:3">
      <c r="A5140" t="s">
        <v>53</v>
      </c>
      <c r="B5140">
        <v>0.84498230016016995</v>
      </c>
      <c r="C5140" s="1">
        <v>43708</v>
      </c>
    </row>
    <row r="5141" spans="1:3">
      <c r="A5141" t="s">
        <v>55</v>
      </c>
      <c r="B5141">
        <v>2.79838643287651</v>
      </c>
      <c r="C5141" s="1">
        <v>43708</v>
      </c>
    </row>
    <row r="5142" spans="1:3">
      <c r="A5142" t="s">
        <v>57</v>
      </c>
      <c r="B5142">
        <v>5.2431052935113804</v>
      </c>
      <c r="C5142" s="1">
        <v>43708</v>
      </c>
    </row>
    <row r="5143" spans="1:3">
      <c r="A5143" t="s">
        <v>59</v>
      </c>
      <c r="B5143">
        <v>4.1458796410820398</v>
      </c>
      <c r="C5143" s="1">
        <v>43708</v>
      </c>
    </row>
    <row r="5144" spans="1:3">
      <c r="A5144" t="s">
        <v>61</v>
      </c>
      <c r="B5144">
        <v>72.109986005095095</v>
      </c>
      <c r="C5144" s="1">
        <v>43708</v>
      </c>
    </row>
    <row r="5145" spans="1:3">
      <c r="A5145" t="s">
        <v>63</v>
      </c>
      <c r="B5145">
        <v>10.4592080349521</v>
      </c>
      <c r="C5145" s="1">
        <v>43708</v>
      </c>
    </row>
    <row r="5146" spans="1:3">
      <c r="A5146" t="s">
        <v>65</v>
      </c>
      <c r="B5146">
        <v>0.51700008232715</v>
      </c>
      <c r="C5146" s="1">
        <v>43708</v>
      </c>
    </row>
    <row r="5147" spans="1:3">
      <c r="A5147" t="s">
        <v>67</v>
      </c>
      <c r="B5147">
        <v>7.5850827365118301</v>
      </c>
      <c r="C5147" s="1">
        <v>43708</v>
      </c>
    </row>
    <row r="5148" spans="1:3">
      <c r="A5148" t="s">
        <v>69</v>
      </c>
      <c r="B5148">
        <v>3.46884004282433</v>
      </c>
      <c r="C5148" s="1">
        <v>43708</v>
      </c>
    </row>
    <row r="5149" spans="1:3">
      <c r="A5149" t="s">
        <v>71</v>
      </c>
      <c r="B5149">
        <v>0.73038610356791001</v>
      </c>
      <c r="C5149" s="1">
        <v>43708</v>
      </c>
    </row>
    <row r="5150" spans="1:3">
      <c r="A5150" t="s">
        <v>73</v>
      </c>
      <c r="B5150">
        <v>1.0735160945136999</v>
      </c>
      <c r="C5150" s="1">
        <v>43708</v>
      </c>
    </row>
    <row r="5151" spans="1:3">
      <c r="A5151" t="s">
        <v>75</v>
      </c>
      <c r="B5151">
        <v>0.21141022474778901</v>
      </c>
      <c r="C5151" s="1">
        <v>43708</v>
      </c>
    </row>
    <row r="5152" spans="1:3">
      <c r="A5152" t="s">
        <v>77</v>
      </c>
      <c r="B5152">
        <v>1.514777311277</v>
      </c>
      <c r="C5152" s="1">
        <v>43708</v>
      </c>
    </row>
    <row r="5153" spans="1:3">
      <c r="A5153" t="s">
        <v>79</v>
      </c>
      <c r="B5153">
        <v>5.1937103811871399</v>
      </c>
      <c r="C5153" s="1">
        <v>43708</v>
      </c>
    </row>
    <row r="5154" spans="1:3">
      <c r="A5154" t="s">
        <v>81</v>
      </c>
      <c r="B5154">
        <v>6.5978430888578199</v>
      </c>
      <c r="C5154" s="1">
        <v>43708</v>
      </c>
    </row>
    <row r="5155" spans="1:3">
      <c r="A5155" t="s">
        <v>83</v>
      </c>
      <c r="B5155">
        <v>0.34510578743875903</v>
      </c>
      <c r="C5155" s="1">
        <v>43708</v>
      </c>
    </row>
    <row r="5156" spans="1:3">
      <c r="A5156" t="s">
        <v>85</v>
      </c>
      <c r="B5156">
        <v>4.3342389067451901</v>
      </c>
      <c r="C5156" s="1">
        <v>43708</v>
      </c>
    </row>
    <row r="5157" spans="1:3">
      <c r="A5157" t="s">
        <v>87</v>
      </c>
      <c r="B5157">
        <v>5.1831727998912998</v>
      </c>
      <c r="C5157" s="1">
        <v>43708</v>
      </c>
    </row>
    <row r="5158" spans="1:3">
      <c r="A5158" t="s">
        <v>89</v>
      </c>
      <c r="B5158">
        <v>6.3752366839831902</v>
      </c>
      <c r="C5158" s="1">
        <v>43708</v>
      </c>
    </row>
    <row r="5159" spans="1:3">
      <c r="A5159" t="s">
        <v>91</v>
      </c>
      <c r="B5159">
        <v>18.770066683214999</v>
      </c>
      <c r="C5159" s="1">
        <v>43708</v>
      </c>
    </row>
    <row r="5160" spans="1:3">
      <c r="A5160" t="s">
        <v>93</v>
      </c>
      <c r="B5160">
        <v>15.693751543660699</v>
      </c>
      <c r="C5160" s="1">
        <v>43708</v>
      </c>
    </row>
    <row r="5161" spans="1:3">
      <c r="A5161" t="s">
        <v>95</v>
      </c>
      <c r="B5161">
        <v>0.28912488680460902</v>
      </c>
      <c r="C5161" s="1">
        <v>43708</v>
      </c>
    </row>
    <row r="5162" spans="1:3">
      <c r="A5162" t="s">
        <v>97</v>
      </c>
      <c r="B5162">
        <v>2.9439367745252998</v>
      </c>
      <c r="C5162" s="1">
        <v>43708</v>
      </c>
    </row>
    <row r="5163" spans="1:3">
      <c r="A5163" t="s">
        <v>99</v>
      </c>
      <c r="B5163">
        <v>4.6101918169299996</v>
      </c>
      <c r="C5163" s="1">
        <v>43708</v>
      </c>
    </row>
    <row r="5164" spans="1:3">
      <c r="A5164" t="s">
        <v>101</v>
      </c>
      <c r="B5164">
        <v>7.3433769655384999</v>
      </c>
      <c r="C5164" s="1">
        <v>43708</v>
      </c>
    </row>
    <row r="5165" spans="1:3">
      <c r="A5165" t="s">
        <v>103</v>
      </c>
      <c r="B5165">
        <v>0.67177080760979901</v>
      </c>
      <c r="C5165" s="1">
        <v>43708</v>
      </c>
    </row>
    <row r="5166" spans="1:3">
      <c r="A5166" t="s">
        <v>105</v>
      </c>
      <c r="B5166">
        <v>0.26212233473401902</v>
      </c>
      <c r="C5166" s="1">
        <v>43708</v>
      </c>
    </row>
    <row r="5167" spans="1:3">
      <c r="A5167" t="s">
        <v>107</v>
      </c>
      <c r="B5167">
        <v>2.5619494525511</v>
      </c>
      <c r="C5167" s="1">
        <v>43708</v>
      </c>
    </row>
    <row r="5168" spans="1:3">
      <c r="A5168" t="s">
        <v>109</v>
      </c>
      <c r="B5168">
        <v>3.6591751049804402</v>
      </c>
      <c r="C5168" s="1">
        <v>43708</v>
      </c>
    </row>
    <row r="5169" spans="1:3">
      <c r="A5169" t="s">
        <v>111</v>
      </c>
      <c r="B5169">
        <v>5.9925907631779998</v>
      </c>
      <c r="C5169" s="1">
        <v>43708</v>
      </c>
    </row>
    <row r="5170" spans="1:3">
      <c r="A5170" t="s">
        <v>113</v>
      </c>
      <c r="B5170">
        <v>9.9119124063994999</v>
      </c>
      <c r="C5170" s="1">
        <v>43708</v>
      </c>
    </row>
    <row r="5171" spans="1:3">
      <c r="A5171" t="s">
        <v>115</v>
      </c>
      <c r="B5171">
        <v>3.63414834940281</v>
      </c>
      <c r="C5171" s="1">
        <v>43708</v>
      </c>
    </row>
    <row r="5172" spans="1:3">
      <c r="A5172" t="s">
        <v>117</v>
      </c>
      <c r="B5172">
        <v>3.8067012431221898</v>
      </c>
      <c r="C5172" s="1">
        <v>43708</v>
      </c>
    </row>
    <row r="5173" spans="1:3">
      <c r="A5173" t="s">
        <v>119</v>
      </c>
      <c r="B5173">
        <v>25.881616860245</v>
      </c>
      <c r="C5173" s="1">
        <v>43708</v>
      </c>
    </row>
    <row r="5174" spans="1:3">
      <c r="A5174" t="s">
        <v>121</v>
      </c>
      <c r="B5174">
        <v>11.3088005269292</v>
      </c>
      <c r="C5174" s="1">
        <v>43708</v>
      </c>
    </row>
    <row r="5175" spans="1:3">
      <c r="A5175" t="s">
        <v>123</v>
      </c>
      <c r="B5175">
        <v>4.7913064954522397</v>
      </c>
      <c r="C5175" s="1">
        <v>43708</v>
      </c>
    </row>
    <row r="5176" spans="1:3">
      <c r="A5176" t="s">
        <v>125</v>
      </c>
      <c r="B5176">
        <v>227.46686424732599</v>
      </c>
      <c r="C5176" s="1">
        <v>43708</v>
      </c>
    </row>
    <row r="5177" spans="1:3">
      <c r="A5177" t="s">
        <v>127</v>
      </c>
      <c r="B5177">
        <v>6.7565654071264101</v>
      </c>
      <c r="C5177" s="1">
        <v>43708</v>
      </c>
    </row>
    <row r="5178" spans="1:3">
      <c r="A5178" t="s">
        <v>129</v>
      </c>
      <c r="B5178">
        <v>3.9509343871090099</v>
      </c>
      <c r="C5178" s="1">
        <v>43708</v>
      </c>
    </row>
    <row r="5179" spans="1:3">
      <c r="A5179" t="s">
        <v>131</v>
      </c>
      <c r="B5179">
        <v>2.1977442990136198</v>
      </c>
      <c r="C5179" s="1">
        <v>43708</v>
      </c>
    </row>
    <row r="5180" spans="1:3">
      <c r="A5180" t="s">
        <v>134</v>
      </c>
      <c r="B5180">
        <v>1.8835926566314001</v>
      </c>
      <c r="C5180" s="1">
        <v>43708</v>
      </c>
    </row>
    <row r="5181" spans="1:3">
      <c r="A5181" t="s">
        <v>136</v>
      </c>
      <c r="B5181">
        <v>7.4415081913560002</v>
      </c>
      <c r="C5181" s="1">
        <v>43708</v>
      </c>
    </row>
    <row r="5182" spans="1:3">
      <c r="A5182" t="s">
        <v>138</v>
      </c>
      <c r="B5182">
        <v>11.769161109791201</v>
      </c>
      <c r="C5182" s="1">
        <v>43708</v>
      </c>
    </row>
    <row r="5183" spans="1:3">
      <c r="A5183" t="s">
        <v>140</v>
      </c>
      <c r="B5183">
        <v>13.106116736700899</v>
      </c>
      <c r="C5183" s="1">
        <v>43708</v>
      </c>
    </row>
    <row r="5184" spans="1:3">
      <c r="A5184" t="s">
        <v>142</v>
      </c>
      <c r="B5184">
        <v>5.2747180373989098</v>
      </c>
      <c r="C5184" s="1">
        <v>43708</v>
      </c>
    </row>
    <row r="5185" spans="1:3">
      <c r="A5185" t="s">
        <v>144</v>
      </c>
      <c r="B5185">
        <v>4.2479624598854997</v>
      </c>
      <c r="C5185" s="1">
        <v>43708</v>
      </c>
    </row>
    <row r="5186" spans="1:3">
      <c r="A5186" t="s">
        <v>146</v>
      </c>
      <c r="B5186">
        <v>2.9781839137367698</v>
      </c>
      <c r="C5186" s="1">
        <v>43708</v>
      </c>
    </row>
    <row r="5187" spans="1:3">
      <c r="A5187" t="s">
        <v>148</v>
      </c>
      <c r="B5187">
        <v>11.674322878128701</v>
      </c>
      <c r="C5187" s="1">
        <v>43708</v>
      </c>
    </row>
    <row r="5188" spans="1:3">
      <c r="A5188" t="s">
        <v>150</v>
      </c>
      <c r="B5188">
        <v>5.4637359018930303</v>
      </c>
      <c r="C5188" s="1">
        <v>43708</v>
      </c>
    </row>
    <row r="5189" spans="1:3">
      <c r="A5189" t="s">
        <v>152</v>
      </c>
      <c r="B5189">
        <v>22.7967399358878</v>
      </c>
      <c r="C5189" s="1">
        <v>43708</v>
      </c>
    </row>
    <row r="5190" spans="1:3">
      <c r="A5190" t="s">
        <v>154</v>
      </c>
      <c r="B5190">
        <v>13.759446777042999</v>
      </c>
      <c r="C5190" s="1">
        <v>43708</v>
      </c>
    </row>
    <row r="5191" spans="1:3">
      <c r="A5191" t="s">
        <v>156</v>
      </c>
      <c r="B5191">
        <v>18.964353338357</v>
      </c>
      <c r="C5191" s="1">
        <v>43708</v>
      </c>
    </row>
    <row r="5192" spans="1:3">
      <c r="A5192" t="s">
        <v>158</v>
      </c>
      <c r="B5192">
        <v>61.298427595563197</v>
      </c>
      <c r="C5192" s="1">
        <v>43708</v>
      </c>
    </row>
    <row r="5193" spans="1:3">
      <c r="A5193" t="s">
        <v>160</v>
      </c>
      <c r="B5193">
        <v>14.884333580373999</v>
      </c>
      <c r="C5193" s="1">
        <v>43708</v>
      </c>
    </row>
    <row r="5194" spans="1:3">
      <c r="A5194" t="s">
        <v>162</v>
      </c>
      <c r="B5194">
        <v>5.6935868939085497</v>
      </c>
      <c r="C5194" s="1">
        <v>43708</v>
      </c>
    </row>
    <row r="5195" spans="1:3">
      <c r="A5195" t="s">
        <v>164</v>
      </c>
      <c r="B5195">
        <v>5.9840289783751297</v>
      </c>
      <c r="C5195" s="1">
        <v>43708</v>
      </c>
    </row>
    <row r="5196" spans="1:3">
      <c r="A5196" t="s">
        <v>166</v>
      </c>
      <c r="B5196">
        <v>7.2985922450311698</v>
      </c>
      <c r="C5196" s="1">
        <v>43708</v>
      </c>
    </row>
    <row r="5197" spans="1:3">
      <c r="A5197" t="s">
        <v>168</v>
      </c>
      <c r="B5197">
        <v>10.9136412283352</v>
      </c>
      <c r="C5197" s="1">
        <v>43708</v>
      </c>
    </row>
    <row r="5198" spans="1:3">
      <c r="A5198" t="s">
        <v>4</v>
      </c>
      <c r="B5198">
        <v>0.14311624072522</v>
      </c>
      <c r="C5198" s="1">
        <v>43738</v>
      </c>
    </row>
    <row r="5199" spans="1:3">
      <c r="A5199" t="s">
        <v>8</v>
      </c>
      <c r="B5199">
        <v>19.155812036239698</v>
      </c>
      <c r="C5199" s="1">
        <v>43738</v>
      </c>
    </row>
    <row r="5200" spans="1:3">
      <c r="A5200" t="s">
        <v>11</v>
      </c>
      <c r="B5200">
        <v>37.079637262918503</v>
      </c>
      <c r="C5200" s="1">
        <v>43738</v>
      </c>
    </row>
    <row r="5201" spans="1:3">
      <c r="A5201" t="s">
        <v>14</v>
      </c>
      <c r="B5201">
        <v>5.2009892827607596</v>
      </c>
      <c r="C5201" s="1">
        <v>43738</v>
      </c>
    </row>
    <row r="5202" spans="1:3">
      <c r="A5202" t="s">
        <v>17</v>
      </c>
      <c r="B5202">
        <v>7.3655399834988797</v>
      </c>
      <c r="C5202" s="1">
        <v>43738</v>
      </c>
    </row>
    <row r="5203" spans="1:3">
      <c r="A5203" t="s">
        <v>20</v>
      </c>
      <c r="B5203">
        <v>0.81121187139179995</v>
      </c>
      <c r="C5203" s="1">
        <v>43738</v>
      </c>
    </row>
    <row r="5204" spans="1:3">
      <c r="A5204" t="s">
        <v>24</v>
      </c>
      <c r="B5204">
        <v>1.23462489694752</v>
      </c>
      <c r="C5204" s="1">
        <v>43738</v>
      </c>
    </row>
    <row r="5205" spans="1:3">
      <c r="A5205" t="s">
        <v>27</v>
      </c>
      <c r="B5205">
        <v>23.198021434418798</v>
      </c>
      <c r="C5205" s="1">
        <v>43738</v>
      </c>
    </row>
    <row r="5206" spans="1:3">
      <c r="A5206" t="s">
        <v>29</v>
      </c>
      <c r="B5206">
        <v>1.4957955482248799</v>
      </c>
      <c r="C5206" s="1">
        <v>43738</v>
      </c>
    </row>
    <row r="5207" spans="1:3">
      <c r="A5207" t="s">
        <v>32</v>
      </c>
      <c r="B5207">
        <v>7.8905193734402399</v>
      </c>
      <c r="C5207" s="1">
        <v>43738</v>
      </c>
    </row>
    <row r="5208" spans="1:3">
      <c r="A5208" t="s">
        <v>35</v>
      </c>
      <c r="B5208">
        <v>3.7427864797954999</v>
      </c>
      <c r="C5208" s="1">
        <v>43738</v>
      </c>
    </row>
    <row r="5209" spans="1:3">
      <c r="A5209" t="s">
        <v>37</v>
      </c>
      <c r="B5209">
        <v>0.19060181368474</v>
      </c>
      <c r="C5209" s="1">
        <v>43738</v>
      </c>
    </row>
    <row r="5210" spans="1:3">
      <c r="A5210" t="s">
        <v>39</v>
      </c>
      <c r="B5210">
        <v>1.25704863973396</v>
      </c>
      <c r="C5210" s="1">
        <v>43738</v>
      </c>
    </row>
    <row r="5211" spans="1:3">
      <c r="A5211" t="s">
        <v>42</v>
      </c>
      <c r="B5211">
        <v>2.2087386644643399</v>
      </c>
      <c r="C5211" s="1">
        <v>43738</v>
      </c>
    </row>
    <row r="5212" spans="1:3">
      <c r="A5212" t="s">
        <v>44</v>
      </c>
      <c r="B5212">
        <v>8.6133553173796003</v>
      </c>
      <c r="C5212" s="1">
        <v>43738</v>
      </c>
    </row>
    <row r="5213" spans="1:3">
      <c r="A5213" t="s">
        <v>47</v>
      </c>
      <c r="B5213">
        <v>8.6403957130926603</v>
      </c>
      <c r="C5213" s="1">
        <v>43738</v>
      </c>
    </row>
    <row r="5214" spans="1:3">
      <c r="A5214" t="s">
        <v>49</v>
      </c>
      <c r="B5214">
        <v>12.5975267930526</v>
      </c>
      <c r="C5214" s="1">
        <v>43738</v>
      </c>
    </row>
    <row r="5215" spans="1:3">
      <c r="A5215" t="s">
        <v>51</v>
      </c>
      <c r="B5215">
        <v>1.253091508654</v>
      </c>
      <c r="C5215" s="1">
        <v>43738</v>
      </c>
    </row>
    <row r="5216" spans="1:3">
      <c r="A5216" t="s">
        <v>53</v>
      </c>
      <c r="B5216">
        <v>0.81253091508511999</v>
      </c>
      <c r="C5216" s="1">
        <v>43738</v>
      </c>
    </row>
    <row r="5217" spans="1:3">
      <c r="A5217" t="s">
        <v>55</v>
      </c>
      <c r="B5217">
        <v>2.74954657872554</v>
      </c>
      <c r="C5217" s="1">
        <v>43738</v>
      </c>
    </row>
    <row r="5218" spans="1:3">
      <c r="A5218" t="s">
        <v>57</v>
      </c>
      <c r="B5218">
        <v>4.6555647155729396</v>
      </c>
      <c r="C5218" s="1">
        <v>43738</v>
      </c>
    </row>
    <row r="5219" spans="1:3">
      <c r="A5219" t="s">
        <v>59</v>
      </c>
      <c r="B5219">
        <v>4.2737015663567997</v>
      </c>
      <c r="C5219" s="1">
        <v>43738</v>
      </c>
    </row>
    <row r="5220" spans="1:3">
      <c r="A5220" t="s">
        <v>61</v>
      </c>
      <c r="B5220">
        <v>84.909480626394995</v>
      </c>
      <c r="C5220" s="1">
        <v>43738</v>
      </c>
    </row>
    <row r="5221" spans="1:3">
      <c r="A5221" t="s">
        <v>63</v>
      </c>
      <c r="B5221">
        <v>9.6949711459020005</v>
      </c>
      <c r="C5221" s="1">
        <v>43738</v>
      </c>
    </row>
    <row r="5222" spans="1:3">
      <c r="A5222" t="s">
        <v>65</v>
      </c>
      <c r="B5222">
        <v>0.51640560593478002</v>
      </c>
      <c r="C5222" s="1">
        <v>43738</v>
      </c>
    </row>
    <row r="5223" spans="1:3">
      <c r="A5223" t="s">
        <v>67</v>
      </c>
      <c r="B5223">
        <v>7.5218466611572996</v>
      </c>
      <c r="C5223" s="1">
        <v>43738</v>
      </c>
    </row>
    <row r="5224" spans="1:3">
      <c r="A5224" t="s">
        <v>69</v>
      </c>
      <c r="B5224">
        <v>3.4954657872979999</v>
      </c>
      <c r="C5224" s="1">
        <v>43738</v>
      </c>
    </row>
    <row r="5225" spans="1:3">
      <c r="A5225" t="s">
        <v>71</v>
      </c>
      <c r="B5225">
        <v>0.82440230832500005</v>
      </c>
      <c r="C5225" s="1">
        <v>43738</v>
      </c>
    </row>
    <row r="5226" spans="1:3">
      <c r="A5226" t="s">
        <v>73</v>
      </c>
      <c r="B5226">
        <v>1.1574608408883</v>
      </c>
      <c r="C5226" s="1">
        <v>43738</v>
      </c>
    </row>
    <row r="5227" spans="1:3">
      <c r="A5227" t="s">
        <v>75</v>
      </c>
      <c r="B5227">
        <v>0.20972794723787999</v>
      </c>
      <c r="C5227" s="1">
        <v>43738</v>
      </c>
    </row>
    <row r="5228" spans="1:3">
      <c r="A5228" t="s">
        <v>77</v>
      </c>
      <c r="B5228">
        <v>1.5234954657846</v>
      </c>
      <c r="C5228" s="1">
        <v>43738</v>
      </c>
    </row>
    <row r="5229" spans="1:3">
      <c r="A5229" t="s">
        <v>79</v>
      </c>
      <c r="B5229">
        <v>5.3737840065856801</v>
      </c>
      <c r="C5229" s="1">
        <v>43738</v>
      </c>
    </row>
    <row r="5230" spans="1:3">
      <c r="A5230" t="s">
        <v>81</v>
      </c>
      <c r="B5230">
        <v>9.4245671887714</v>
      </c>
      <c r="C5230" s="1">
        <v>43738</v>
      </c>
    </row>
    <row r="5231" spans="1:3">
      <c r="A5231" t="s">
        <v>83</v>
      </c>
      <c r="B5231">
        <v>0.31195383347018002</v>
      </c>
      <c r="C5231" s="1">
        <v>43738</v>
      </c>
    </row>
    <row r="5232" spans="1:3">
      <c r="A5232" t="s">
        <v>85</v>
      </c>
      <c r="B5232">
        <v>4.0784830997454398</v>
      </c>
      <c r="C5232" s="1">
        <v>43738</v>
      </c>
    </row>
    <row r="5233" spans="1:3">
      <c r="A5233" t="s">
        <v>87</v>
      </c>
      <c r="B5233">
        <v>5.6685902720427004</v>
      </c>
      <c r="C5233" s="1">
        <v>43738</v>
      </c>
    </row>
    <row r="5234" spans="1:3">
      <c r="A5234" t="s">
        <v>89</v>
      </c>
      <c r="B5234">
        <v>6.2496290189501602</v>
      </c>
      <c r="C5234" s="1">
        <v>43738</v>
      </c>
    </row>
    <row r="5235" spans="1:3">
      <c r="A5235" t="s">
        <v>91</v>
      </c>
      <c r="B5235">
        <v>19.389942291804001</v>
      </c>
      <c r="C5235" s="1">
        <v>43738</v>
      </c>
    </row>
    <row r="5236" spans="1:3">
      <c r="A5236" t="s">
        <v>93</v>
      </c>
      <c r="B5236">
        <v>16.290189612502001</v>
      </c>
      <c r="C5236" s="1">
        <v>43738</v>
      </c>
    </row>
    <row r="5237" spans="1:3">
      <c r="A5237" t="s">
        <v>95</v>
      </c>
      <c r="B5237">
        <v>0.29678483099699998</v>
      </c>
      <c r="C5237" s="1">
        <v>43738</v>
      </c>
    </row>
    <row r="5238" spans="1:3">
      <c r="A5238" t="s">
        <v>97</v>
      </c>
      <c r="B5238">
        <v>1.6428689200300599</v>
      </c>
      <c r="C5238" s="1">
        <v>43738</v>
      </c>
    </row>
    <row r="5239" spans="1:3">
      <c r="A5239" t="s">
        <v>99</v>
      </c>
      <c r="B5239">
        <v>4.57971970320704</v>
      </c>
      <c r="C5239" s="1">
        <v>43738</v>
      </c>
    </row>
    <row r="5240" spans="1:3">
      <c r="A5240" t="s">
        <v>101</v>
      </c>
      <c r="B5240">
        <v>6.9170651277700799</v>
      </c>
      <c r="C5240" s="1">
        <v>43738</v>
      </c>
    </row>
    <row r="5241" spans="1:3">
      <c r="A5241" t="s">
        <v>103</v>
      </c>
      <c r="B5241">
        <v>0.63643858202689996</v>
      </c>
      <c r="C5241" s="1">
        <v>43738</v>
      </c>
    </row>
    <row r="5242" spans="1:3">
      <c r="A5242" t="s">
        <v>105</v>
      </c>
      <c r="B5242">
        <v>0.26446826051065903</v>
      </c>
      <c r="C5242" s="1">
        <v>43738</v>
      </c>
    </row>
    <row r="5243" spans="1:3">
      <c r="A5243" t="s">
        <v>107</v>
      </c>
      <c r="B5243">
        <v>3.0265457543227399</v>
      </c>
      <c r="C5243" s="1">
        <v>43738</v>
      </c>
    </row>
    <row r="5244" spans="1:3">
      <c r="A5244" t="s">
        <v>109</v>
      </c>
      <c r="B5244">
        <v>2.85572959603779</v>
      </c>
      <c r="C5244" s="1">
        <v>43738</v>
      </c>
    </row>
    <row r="5245" spans="1:3">
      <c r="A5245" t="s">
        <v>111</v>
      </c>
      <c r="B5245">
        <v>6.3287716405493599</v>
      </c>
      <c r="C5245" s="1">
        <v>43738</v>
      </c>
    </row>
    <row r="5246" spans="1:3">
      <c r="A5246" t="s">
        <v>113</v>
      </c>
      <c r="B5246">
        <v>10.780544105504299</v>
      </c>
      <c r="C5246" s="1">
        <v>43738</v>
      </c>
    </row>
    <row r="5247" spans="1:3">
      <c r="A5247" t="s">
        <v>115</v>
      </c>
      <c r="B5247">
        <v>3.6326463314032802</v>
      </c>
      <c r="C5247" s="1">
        <v>43738</v>
      </c>
    </row>
    <row r="5248" spans="1:3">
      <c r="A5248" t="s">
        <v>117</v>
      </c>
      <c r="B5248">
        <v>3.9267930750136402</v>
      </c>
      <c r="C5248" s="1">
        <v>43738</v>
      </c>
    </row>
    <row r="5249" spans="1:3">
      <c r="A5249" t="s">
        <v>119</v>
      </c>
      <c r="B5249">
        <v>24.697114591877</v>
      </c>
      <c r="C5249" s="1">
        <v>43738</v>
      </c>
    </row>
    <row r="5250" spans="1:3">
      <c r="A5250" t="s">
        <v>121</v>
      </c>
      <c r="B5250">
        <v>10.7627370156445</v>
      </c>
      <c r="C5250" s="1">
        <v>43738</v>
      </c>
    </row>
    <row r="5251" spans="1:3">
      <c r="A5251" t="s">
        <v>123</v>
      </c>
      <c r="B5251">
        <v>4.91871393239028</v>
      </c>
      <c r="C5251" s="1">
        <v>43738</v>
      </c>
    </row>
    <row r="5252" spans="1:3">
      <c r="A5252" t="s">
        <v>125</v>
      </c>
      <c r="B5252">
        <v>151.36356141770301</v>
      </c>
      <c r="C5252" s="1">
        <v>43738</v>
      </c>
    </row>
    <row r="5253" spans="1:3">
      <c r="A5253" t="s">
        <v>127</v>
      </c>
      <c r="B5253">
        <v>6.3511953833358001</v>
      </c>
      <c r="C5253" s="1">
        <v>43738</v>
      </c>
    </row>
    <row r="5254" spans="1:3">
      <c r="A5254" t="s">
        <v>129</v>
      </c>
      <c r="B5254">
        <v>4.1015663643785398</v>
      </c>
      <c r="C5254" s="1">
        <v>43738</v>
      </c>
    </row>
    <row r="5255" spans="1:3">
      <c r="A5255" t="s">
        <v>131</v>
      </c>
      <c r="B5255">
        <v>2.20214344599774</v>
      </c>
      <c r="C5255" s="1">
        <v>43738</v>
      </c>
    </row>
    <row r="5256" spans="1:3">
      <c r="A5256" t="s">
        <v>134</v>
      </c>
      <c r="B5256">
        <v>1.8301731244815</v>
      </c>
      <c r="C5256" s="1">
        <v>43738</v>
      </c>
    </row>
    <row r="5257" spans="1:3">
      <c r="A5257" t="s">
        <v>136</v>
      </c>
      <c r="B5257">
        <v>8.0883759274382392</v>
      </c>
      <c r="C5257" s="1">
        <v>43738</v>
      </c>
    </row>
    <row r="5258" spans="1:3">
      <c r="A5258" t="s">
        <v>138</v>
      </c>
      <c r="B5258">
        <v>12.584336356119399</v>
      </c>
      <c r="C5258" s="1">
        <v>43738</v>
      </c>
    </row>
    <row r="5259" spans="1:3">
      <c r="A5259" t="s">
        <v>140</v>
      </c>
      <c r="B5259">
        <v>14.179060181343299</v>
      </c>
      <c r="C5259" s="1">
        <v>43738</v>
      </c>
    </row>
    <row r="5260" spans="1:3">
      <c r="A5260" t="s">
        <v>142</v>
      </c>
      <c r="B5260">
        <v>5.2662819455800998</v>
      </c>
      <c r="C5260" s="1">
        <v>43738</v>
      </c>
    </row>
    <row r="5261" spans="1:3">
      <c r="A5261" t="s">
        <v>144</v>
      </c>
      <c r="B5261">
        <v>4.5507007419540004</v>
      </c>
      <c r="C5261" s="1">
        <v>43738</v>
      </c>
    </row>
    <row r="5262" spans="1:3">
      <c r="A5262" t="s">
        <v>146</v>
      </c>
      <c r="B5262">
        <v>2.4765045342083001</v>
      </c>
      <c r="C5262" s="1">
        <v>43738</v>
      </c>
    </row>
    <row r="5263" spans="1:3">
      <c r="A5263" t="s">
        <v>148</v>
      </c>
      <c r="B5263">
        <v>11.5211871393035</v>
      </c>
      <c r="C5263" s="1">
        <v>43738</v>
      </c>
    </row>
    <row r="5264" spans="1:3">
      <c r="A5264" t="s">
        <v>150</v>
      </c>
      <c r="B5264">
        <v>5.4258862324718198</v>
      </c>
      <c r="C5264" s="1">
        <v>43738</v>
      </c>
    </row>
    <row r="5265" spans="1:3">
      <c r="A5265" t="s">
        <v>152</v>
      </c>
      <c r="B5265">
        <v>18.736356141763899</v>
      </c>
      <c r="C5265" s="1">
        <v>43738</v>
      </c>
    </row>
    <row r="5266" spans="1:3">
      <c r="A5266" t="s">
        <v>154</v>
      </c>
      <c r="B5266">
        <v>13.8868920032729</v>
      </c>
      <c r="C5266" s="1">
        <v>43738</v>
      </c>
    </row>
    <row r="5267" spans="1:3">
      <c r="A5267" t="s">
        <v>156</v>
      </c>
      <c r="B5267">
        <v>16.6898598515779</v>
      </c>
      <c r="C5267" s="1">
        <v>43738</v>
      </c>
    </row>
    <row r="5268" spans="1:3">
      <c r="A5268" t="s">
        <v>158</v>
      </c>
      <c r="B5268">
        <v>60.216323165597899</v>
      </c>
      <c r="C5268" s="1">
        <v>43738</v>
      </c>
    </row>
    <row r="5269" spans="1:3">
      <c r="A5269" t="s">
        <v>160</v>
      </c>
      <c r="B5269">
        <v>14.959274525942099</v>
      </c>
      <c r="C5269" s="1">
        <v>43738</v>
      </c>
    </row>
    <row r="5270" spans="1:3">
      <c r="A5270" t="s">
        <v>162</v>
      </c>
      <c r="B5270">
        <v>6.2839241549764804</v>
      </c>
      <c r="C5270" s="1">
        <v>43738</v>
      </c>
    </row>
    <row r="5271" spans="1:3">
      <c r="A5271" t="s">
        <v>164</v>
      </c>
      <c r="B5271">
        <v>5.0202802967759199</v>
      </c>
      <c r="C5271" s="1">
        <v>43738</v>
      </c>
    </row>
    <row r="5272" spans="1:3">
      <c r="A5272" t="s">
        <v>166</v>
      </c>
      <c r="B5272">
        <v>7.6240725473896003</v>
      </c>
      <c r="C5272" s="1">
        <v>43738</v>
      </c>
    </row>
    <row r="5273" spans="1:3">
      <c r="A5273" t="s">
        <v>168</v>
      </c>
      <c r="B5273">
        <v>9.2821104698928405</v>
      </c>
      <c r="C5273" s="1">
        <v>43738</v>
      </c>
    </row>
    <row r="5274" spans="1:3">
      <c r="A5274" t="s">
        <v>4</v>
      </c>
      <c r="B5274">
        <v>0.1593255219576</v>
      </c>
      <c r="C5274" s="1">
        <v>43769</v>
      </c>
    </row>
    <row r="5275" spans="1:3">
      <c r="A5275" t="s">
        <v>8</v>
      </c>
      <c r="B5275">
        <v>20.745510671562499</v>
      </c>
      <c r="C5275" s="1">
        <v>43769</v>
      </c>
    </row>
    <row r="5276" spans="1:3">
      <c r="A5276" t="s">
        <v>11</v>
      </c>
      <c r="B5276">
        <v>35.204301789214703</v>
      </c>
      <c r="C5276" s="1">
        <v>43769</v>
      </c>
    </row>
    <row r="5277" spans="1:3">
      <c r="A5277" t="s">
        <v>14</v>
      </c>
      <c r="B5277">
        <v>5.6560560294947999</v>
      </c>
      <c r="C5277" s="1">
        <v>43769</v>
      </c>
    </row>
    <row r="5278" spans="1:3">
      <c r="A5278" t="s">
        <v>17</v>
      </c>
      <c r="B5278">
        <v>7.8779832044618301</v>
      </c>
      <c r="C5278" s="1">
        <v>43769</v>
      </c>
    </row>
    <row r="5279" spans="1:3">
      <c r="A5279" t="s">
        <v>20</v>
      </c>
      <c r="B5279">
        <v>0.87031566369338997</v>
      </c>
      <c r="C5279" s="1">
        <v>43769</v>
      </c>
    </row>
    <row r="5280" spans="1:3">
      <c r="A5280" t="s">
        <v>24</v>
      </c>
      <c r="B5280">
        <v>1.2102101105362699</v>
      </c>
      <c r="C5280" s="1">
        <v>43769</v>
      </c>
    </row>
    <row r="5281" spans="1:3">
      <c r="A5281" t="s">
        <v>27</v>
      </c>
      <c r="B5281">
        <v>25.664686162003399</v>
      </c>
      <c r="C5281" s="1">
        <v>43769</v>
      </c>
    </row>
    <row r="5282" spans="1:3">
      <c r="A5282" t="s">
        <v>29</v>
      </c>
      <c r="B5282">
        <v>1.5839612307951401</v>
      </c>
      <c r="C5282" s="1">
        <v>43769</v>
      </c>
    </row>
    <row r="5283" spans="1:3">
      <c r="A5283" t="s">
        <v>32</v>
      </c>
      <c r="B5283">
        <v>8.7529458625456495</v>
      </c>
      <c r="C5283" s="1">
        <v>43769</v>
      </c>
    </row>
    <row r="5284" spans="1:3">
      <c r="A5284" t="s">
        <v>35</v>
      </c>
      <c r="B5284">
        <v>3.7335280645397599</v>
      </c>
      <c r="C5284" s="1">
        <v>43769</v>
      </c>
    </row>
    <row r="5285" spans="1:3">
      <c r="A5285" t="s">
        <v>37</v>
      </c>
      <c r="B5285">
        <v>0.18388820659273</v>
      </c>
      <c r="C5285" s="1">
        <v>43769</v>
      </c>
    </row>
    <row r="5286" spans="1:3">
      <c r="A5286" t="s">
        <v>39</v>
      </c>
      <c r="B5286">
        <v>1.29651143492997</v>
      </c>
      <c r="C5286" s="1">
        <v>43769</v>
      </c>
    </row>
    <row r="5287" spans="1:3">
      <c r="A5287" t="s">
        <v>42</v>
      </c>
      <c r="B5287">
        <v>2.11969329837757</v>
      </c>
      <c r="C5287" s="1">
        <v>43769</v>
      </c>
    </row>
    <row r="5288" spans="1:3">
      <c r="A5288" t="s">
        <v>44</v>
      </c>
      <c r="B5288">
        <v>8.1860125469131901</v>
      </c>
      <c r="C5288" s="1">
        <v>43769</v>
      </c>
    </row>
    <row r="5289" spans="1:3">
      <c r="A5289" t="s">
        <v>47</v>
      </c>
      <c r="B5289">
        <v>8.6301324393699996</v>
      </c>
      <c r="C5289" s="1">
        <v>43769</v>
      </c>
    </row>
    <row r="5290" spans="1:3">
      <c r="A5290" t="s">
        <v>49</v>
      </c>
      <c r="B5290">
        <v>13.478275301271401</v>
      </c>
      <c r="C5290" s="1">
        <v>43769</v>
      </c>
    </row>
    <row r="5291" spans="1:3">
      <c r="A5291" t="s">
        <v>51</v>
      </c>
      <c r="B5291">
        <v>1.2838981644416601</v>
      </c>
      <c r="C5291" s="1">
        <v>43769</v>
      </c>
    </row>
    <row r="5292" spans="1:3">
      <c r="A5292" t="s">
        <v>53</v>
      </c>
      <c r="B5292">
        <v>0.84243369735080997</v>
      </c>
      <c r="C5292" s="1">
        <v>43769</v>
      </c>
    </row>
    <row r="5293" spans="1:3">
      <c r="A5293" t="s">
        <v>55</v>
      </c>
      <c r="B5293">
        <v>2.8260364457229299</v>
      </c>
      <c r="C5293" s="1">
        <v>43769</v>
      </c>
    </row>
    <row r="5294" spans="1:3">
      <c r="A5294" t="s">
        <v>57</v>
      </c>
      <c r="B5294">
        <v>4.5899027450618597</v>
      </c>
      <c r="C5294" s="1">
        <v>43769</v>
      </c>
    </row>
    <row r="5295" spans="1:3">
      <c r="A5295" t="s">
        <v>59</v>
      </c>
      <c r="B5295">
        <v>4.4690808909106803</v>
      </c>
      <c r="C5295" s="1">
        <v>43769</v>
      </c>
    </row>
    <row r="5296" spans="1:3">
      <c r="A5296" t="s">
        <v>61</v>
      </c>
      <c r="B5296">
        <v>91.146147973894003</v>
      </c>
      <c r="C5296" s="1">
        <v>43769</v>
      </c>
    </row>
    <row r="5297" spans="1:3">
      <c r="A5297" t="s">
        <v>63</v>
      </c>
      <c r="B5297">
        <v>10.707338931892201</v>
      </c>
      <c r="C5297" s="1">
        <v>43769</v>
      </c>
    </row>
    <row r="5298" spans="1:3">
      <c r="A5298" t="s">
        <v>65</v>
      </c>
      <c r="B5298">
        <v>0.50054768148345996</v>
      </c>
      <c r="C5298" s="1">
        <v>43769</v>
      </c>
    </row>
    <row r="5299" spans="1:3">
      <c r="A5299" t="s">
        <v>67</v>
      </c>
      <c r="B5299">
        <v>7.9835363627587403</v>
      </c>
      <c r="C5299" s="1">
        <v>43769</v>
      </c>
    </row>
    <row r="5300" spans="1:3">
      <c r="A5300" t="s">
        <v>69</v>
      </c>
      <c r="B5300">
        <v>3.5562784213619301</v>
      </c>
      <c r="C5300" s="1">
        <v>43769</v>
      </c>
    </row>
    <row r="5301" spans="1:3">
      <c r="A5301" t="s">
        <v>71</v>
      </c>
      <c r="B5301">
        <v>0.74683838417625004</v>
      </c>
      <c r="C5301" s="1">
        <v>43769</v>
      </c>
    </row>
    <row r="5302" spans="1:3">
      <c r="A5302" t="s">
        <v>73</v>
      </c>
      <c r="B5302">
        <v>1.13585820028939</v>
      </c>
      <c r="C5302" s="1">
        <v>43769</v>
      </c>
    </row>
    <row r="5303" spans="1:3">
      <c r="A5303" t="s">
        <v>75</v>
      </c>
      <c r="B5303">
        <v>0.20513160952041001</v>
      </c>
      <c r="C5303" s="1">
        <v>43769</v>
      </c>
    </row>
    <row r="5304" spans="1:3">
      <c r="A5304" t="s">
        <v>77</v>
      </c>
      <c r="B5304">
        <v>1.4677863710343899</v>
      </c>
      <c r="C5304" s="1">
        <v>43769</v>
      </c>
    </row>
    <row r="5305" spans="1:3">
      <c r="A5305" t="s">
        <v>79</v>
      </c>
      <c r="B5305">
        <v>5.2311879709411997</v>
      </c>
      <c r="C5305" s="1">
        <v>43769</v>
      </c>
    </row>
    <row r="5306" spans="1:3">
      <c r="A5306" t="s">
        <v>81</v>
      </c>
      <c r="B5306">
        <v>9.3723238291558193</v>
      </c>
      <c r="C5306" s="1">
        <v>43769</v>
      </c>
    </row>
    <row r="5307" spans="1:3">
      <c r="A5307" t="s">
        <v>83</v>
      </c>
      <c r="B5307">
        <v>0.30869319879285001</v>
      </c>
      <c r="C5307" s="1">
        <v>43769</v>
      </c>
    </row>
    <row r="5308" spans="1:3">
      <c r="A5308" t="s">
        <v>85</v>
      </c>
      <c r="B5308">
        <v>3.916752414791</v>
      </c>
      <c r="C5308" s="1">
        <v>43769</v>
      </c>
    </row>
    <row r="5309" spans="1:3">
      <c r="A5309" t="s">
        <v>87</v>
      </c>
      <c r="B5309">
        <v>7.0036844027195002</v>
      </c>
      <c r="C5309" s="1">
        <v>43769</v>
      </c>
    </row>
    <row r="5310" spans="1:3">
      <c r="A5310" t="s">
        <v>89</v>
      </c>
      <c r="B5310">
        <v>5.9747070734100003</v>
      </c>
      <c r="C5310" s="1">
        <v>43769</v>
      </c>
    </row>
    <row r="5311" spans="1:3">
      <c r="A5311" t="s">
        <v>91</v>
      </c>
      <c r="B5311">
        <v>18.7473030836776</v>
      </c>
      <c r="C5311" s="1">
        <v>43769</v>
      </c>
    </row>
    <row r="5312" spans="1:3">
      <c r="A5312" t="s">
        <v>93</v>
      </c>
      <c r="B5312">
        <v>14.60483951278</v>
      </c>
      <c r="C5312" s="1">
        <v>43769</v>
      </c>
    </row>
    <row r="5313" spans="1:3">
      <c r="A5313" t="s">
        <v>95</v>
      </c>
      <c r="B5313">
        <v>0.32130646928116002</v>
      </c>
      <c r="C5313" s="1">
        <v>43769</v>
      </c>
    </row>
    <row r="5314" spans="1:3">
      <c r="A5314" t="s">
        <v>97</v>
      </c>
      <c r="B5314">
        <v>1.7193879244590999</v>
      </c>
      <c r="C5314" s="1">
        <v>43769</v>
      </c>
    </row>
    <row r="5315" spans="1:3">
      <c r="A5315" t="s">
        <v>99</v>
      </c>
      <c r="B5315">
        <v>4.44717363164151</v>
      </c>
      <c r="C5315" s="1">
        <v>43769</v>
      </c>
    </row>
    <row r="5316" spans="1:3">
      <c r="A5316" t="s">
        <v>101</v>
      </c>
      <c r="B5316">
        <v>7.2546220998027202</v>
      </c>
      <c r="C5316" s="1">
        <v>43769</v>
      </c>
    </row>
    <row r="5317" spans="1:3">
      <c r="A5317" t="s">
        <v>103</v>
      </c>
      <c r="B5317">
        <v>0.63199123709848004</v>
      </c>
      <c r="C5317" s="1">
        <v>43769</v>
      </c>
    </row>
    <row r="5318" spans="1:3">
      <c r="A5318" t="s">
        <v>105</v>
      </c>
      <c r="B5318">
        <v>0.25558469147364998</v>
      </c>
      <c r="C5318" s="1">
        <v>43769</v>
      </c>
    </row>
    <row r="5319" spans="1:3">
      <c r="A5319" t="s">
        <v>107</v>
      </c>
      <c r="B5319">
        <v>2.7105254423036702</v>
      </c>
      <c r="C5319" s="1">
        <v>43769</v>
      </c>
    </row>
    <row r="5320" spans="1:3">
      <c r="A5320" t="s">
        <v>109</v>
      </c>
      <c r="B5320">
        <v>3.47130480965121</v>
      </c>
      <c r="C5320" s="1">
        <v>43769</v>
      </c>
    </row>
    <row r="5321" spans="1:3">
      <c r="A5321" t="s">
        <v>111</v>
      </c>
      <c r="B5321">
        <v>6.48255717464985</v>
      </c>
      <c r="C5321" s="1">
        <v>43769</v>
      </c>
    </row>
    <row r="5322" spans="1:3">
      <c r="A5322" t="s">
        <v>113</v>
      </c>
      <c r="B5322">
        <v>11.551100341926</v>
      </c>
      <c r="C5322" s="1">
        <v>43769</v>
      </c>
    </row>
    <row r="5323" spans="1:3">
      <c r="A5323" t="s">
        <v>115</v>
      </c>
      <c r="B5323">
        <v>3.8165101072260099</v>
      </c>
      <c r="C5323" s="1">
        <v>43769</v>
      </c>
    </row>
    <row r="5324" spans="1:3">
      <c r="A5324" t="s">
        <v>117</v>
      </c>
      <c r="B5324">
        <v>4.3880904172489004</v>
      </c>
      <c r="C5324" s="1">
        <v>43769</v>
      </c>
    </row>
    <row r="5325" spans="1:3">
      <c r="A5325" t="s">
        <v>119</v>
      </c>
      <c r="B5325">
        <v>24.428585654149</v>
      </c>
      <c r="C5325" s="1">
        <v>43769</v>
      </c>
    </row>
    <row r="5326" spans="1:3">
      <c r="A5326" t="s">
        <v>121</v>
      </c>
      <c r="B5326">
        <v>11.502638828997201</v>
      </c>
      <c r="C5326" s="1">
        <v>43769</v>
      </c>
    </row>
    <row r="5327" spans="1:3">
      <c r="A5327" t="s">
        <v>123</v>
      </c>
      <c r="B5327">
        <v>5.28230490923593</v>
      </c>
      <c r="C5327" s="1">
        <v>43769</v>
      </c>
    </row>
    <row r="5328" spans="1:3">
      <c r="A5328" t="s">
        <v>125</v>
      </c>
      <c r="B5328">
        <v>142.43900819911801</v>
      </c>
      <c r="C5328" s="1">
        <v>43769</v>
      </c>
    </row>
    <row r="5329" spans="1:3">
      <c r="A5329" t="s">
        <v>127</v>
      </c>
      <c r="B5329">
        <v>6.2130315000049103</v>
      </c>
      <c r="C5329" s="1">
        <v>43769</v>
      </c>
    </row>
    <row r="5330" spans="1:3">
      <c r="A5330" t="s">
        <v>129</v>
      </c>
      <c r="B5330">
        <v>4.3349819099296996</v>
      </c>
      <c r="C5330" s="1">
        <v>43769</v>
      </c>
    </row>
    <row r="5331" spans="1:3">
      <c r="A5331" t="s">
        <v>131</v>
      </c>
      <c r="B5331">
        <v>2.38390812229059</v>
      </c>
      <c r="C5331" s="1">
        <v>43769</v>
      </c>
    </row>
    <row r="5332" spans="1:3">
      <c r="A5332" t="s">
        <v>134</v>
      </c>
      <c r="B5332">
        <v>1.87473030836776</v>
      </c>
      <c r="C5332" s="1">
        <v>43769</v>
      </c>
    </row>
    <row r="5333" spans="1:3">
      <c r="A5333" t="s">
        <v>136</v>
      </c>
      <c r="B5333">
        <v>8.98927872011609</v>
      </c>
      <c r="C5333" s="1">
        <v>43769</v>
      </c>
    </row>
    <row r="5334" spans="1:3">
      <c r="A5334" t="s">
        <v>138</v>
      </c>
      <c r="B5334">
        <v>13.679423772742901</v>
      </c>
      <c r="C5334" s="1">
        <v>43769</v>
      </c>
    </row>
    <row r="5335" spans="1:3">
      <c r="A5335" t="s">
        <v>140</v>
      </c>
      <c r="B5335">
        <v>16.316261161141199</v>
      </c>
      <c r="C5335" s="1">
        <v>43769</v>
      </c>
    </row>
    <row r="5336" spans="1:3">
      <c r="A5336" t="s">
        <v>142</v>
      </c>
      <c r="B5336">
        <v>5.7038536860820797</v>
      </c>
      <c r="C5336" s="1">
        <v>43769</v>
      </c>
    </row>
    <row r="5337" spans="1:3">
      <c r="A5337" t="s">
        <v>144</v>
      </c>
      <c r="B5337">
        <v>4.7425897036045601</v>
      </c>
      <c r="C5337" s="1">
        <v>43769</v>
      </c>
    </row>
    <row r="5338" spans="1:3">
      <c r="A5338" t="s">
        <v>146</v>
      </c>
      <c r="B5338">
        <v>2.5757626049811999</v>
      </c>
      <c r="C5338" s="1">
        <v>43769</v>
      </c>
    </row>
    <row r="5339" spans="1:3">
      <c r="A5339" t="s">
        <v>148</v>
      </c>
      <c r="B5339">
        <v>11.515915955826999</v>
      </c>
      <c r="C5339" s="1">
        <v>43769</v>
      </c>
    </row>
    <row r="5340" spans="1:3">
      <c r="A5340" t="s">
        <v>150</v>
      </c>
      <c r="B5340">
        <v>5.7503236299863802</v>
      </c>
      <c r="C5340" s="1">
        <v>43769</v>
      </c>
    </row>
    <row r="5341" spans="1:3">
      <c r="A5341" t="s">
        <v>152</v>
      </c>
      <c r="B5341">
        <v>21.933149666488099</v>
      </c>
      <c r="C5341" s="1">
        <v>43769</v>
      </c>
    </row>
    <row r="5342" spans="1:3">
      <c r="A5342" t="s">
        <v>154</v>
      </c>
      <c r="B5342">
        <v>14.2470209447168</v>
      </c>
      <c r="C5342" s="1">
        <v>43769</v>
      </c>
    </row>
    <row r="5343" spans="1:3">
      <c r="A5343" t="s">
        <v>156</v>
      </c>
      <c r="B5343">
        <v>18.207587878046201</v>
      </c>
      <c r="C5343" s="1">
        <v>43769</v>
      </c>
    </row>
    <row r="5344" spans="1:3">
      <c r="A5344" t="s">
        <v>158</v>
      </c>
      <c r="B5344">
        <v>74.861751917144304</v>
      </c>
      <c r="C5344" s="1">
        <v>43769</v>
      </c>
    </row>
    <row r="5345" spans="1:3">
      <c r="A5345" t="s">
        <v>160</v>
      </c>
      <c r="B5345">
        <v>15.214259634267799</v>
      </c>
      <c r="C5345" s="1">
        <v>43769</v>
      </c>
    </row>
    <row r="5346" spans="1:3">
      <c r="A5346" t="s">
        <v>162</v>
      </c>
      <c r="B5346">
        <v>6.8941481063736498</v>
      </c>
      <c r="C5346" s="1">
        <v>43769</v>
      </c>
    </row>
    <row r="5347" spans="1:3">
      <c r="A5347" t="s">
        <v>164</v>
      </c>
      <c r="B5347">
        <v>6.1698808378080603</v>
      </c>
      <c r="C5347" s="1">
        <v>43769</v>
      </c>
    </row>
    <row r="5348" spans="1:3">
      <c r="A5348" t="s">
        <v>166</v>
      </c>
      <c r="B5348">
        <v>8.0074351910523802</v>
      </c>
      <c r="C5348" s="1">
        <v>43769</v>
      </c>
    </row>
    <row r="5349" spans="1:3">
      <c r="A5349" t="s">
        <v>168</v>
      </c>
      <c r="B5349">
        <v>10.0375078833288</v>
      </c>
      <c r="C5349" s="1">
        <v>43769</v>
      </c>
    </row>
    <row r="5350" spans="1:3">
      <c r="A5350" t="s">
        <v>4</v>
      </c>
      <c r="B5350">
        <v>0.13785572920191999</v>
      </c>
      <c r="C5350" s="1">
        <v>43799</v>
      </c>
    </row>
    <row r="5351" spans="1:3">
      <c r="A5351" t="s">
        <v>8</v>
      </c>
      <c r="B5351">
        <v>21.702040537727999</v>
      </c>
      <c r="C5351" s="1">
        <v>43799</v>
      </c>
    </row>
    <row r="5352" spans="1:3">
      <c r="A5352" t="s">
        <v>11</v>
      </c>
      <c r="B5352">
        <v>39.411724561439897</v>
      </c>
      <c r="C5352" s="1">
        <v>43799</v>
      </c>
    </row>
    <row r="5353" spans="1:3">
      <c r="A5353" t="s">
        <v>14</v>
      </c>
      <c r="B5353">
        <v>5.7216952159846404</v>
      </c>
      <c r="C5353" s="1">
        <v>43799</v>
      </c>
    </row>
    <row r="5354" spans="1:3">
      <c r="A5354" t="s">
        <v>17</v>
      </c>
      <c r="B5354">
        <v>7.6059509997791999</v>
      </c>
      <c r="C5354" s="1">
        <v>43799</v>
      </c>
    </row>
    <row r="5355" spans="1:3">
      <c r="A5355" t="s">
        <v>20</v>
      </c>
      <c r="B5355">
        <v>0.87695352487359901</v>
      </c>
      <c r="C5355" s="1">
        <v>43799</v>
      </c>
    </row>
    <row r="5356" spans="1:3">
      <c r="A5356" t="s">
        <v>24</v>
      </c>
      <c r="B5356">
        <v>1.1629017948518301</v>
      </c>
      <c r="C5356" s="1">
        <v>43799</v>
      </c>
    </row>
    <row r="5357" spans="1:3">
      <c r="A5357" t="s">
        <v>27</v>
      </c>
      <c r="B5357">
        <v>26.3038285674732</v>
      </c>
      <c r="C5357" s="1">
        <v>43799</v>
      </c>
    </row>
    <row r="5358" spans="1:3">
      <c r="A5358" t="s">
        <v>29</v>
      </c>
      <c r="B5358">
        <v>1.6870265474611199</v>
      </c>
      <c r="C5358" s="1">
        <v>43799</v>
      </c>
    </row>
    <row r="5359" spans="1:3">
      <c r="A5359" t="s">
        <v>32</v>
      </c>
      <c r="B5359">
        <v>8.2658841192755208</v>
      </c>
      <c r="C5359" s="1">
        <v>43799</v>
      </c>
    </row>
    <row r="5360" spans="1:3">
      <c r="A5360" t="s">
        <v>35</v>
      </c>
      <c r="B5360">
        <v>3.7541800313849598</v>
      </c>
      <c r="C5360" s="1">
        <v>43799</v>
      </c>
    </row>
    <row r="5361" spans="1:3">
      <c r="A5361" t="s">
        <v>37</v>
      </c>
      <c r="B5361">
        <v>0.22111513000704</v>
      </c>
      <c r="C5361" s="1">
        <v>43799</v>
      </c>
    </row>
    <row r="5362" spans="1:3">
      <c r="A5362" t="s">
        <v>39</v>
      </c>
      <c r="B5362">
        <v>1.53347437384511</v>
      </c>
      <c r="C5362" s="1">
        <v>43799</v>
      </c>
    </row>
    <row r="5363" spans="1:3">
      <c r="A5363" t="s">
        <v>42</v>
      </c>
      <c r="B5363">
        <v>2.27871425646144</v>
      </c>
      <c r="C5363" s="1">
        <v>43799</v>
      </c>
    </row>
    <row r="5364" spans="1:3">
      <c r="A5364" t="s">
        <v>44</v>
      </c>
      <c r="B5364">
        <v>9.0991605814316792</v>
      </c>
      <c r="C5364" s="1">
        <v>43799</v>
      </c>
    </row>
    <row r="5365" spans="1:3">
      <c r="A5365" t="s">
        <v>47</v>
      </c>
      <c r="B5365">
        <v>8.3941854910079901</v>
      </c>
      <c r="C5365" s="1">
        <v>43799</v>
      </c>
    </row>
    <row r="5366" spans="1:3">
      <c r="A5366" t="s">
        <v>49</v>
      </c>
      <c r="B5366">
        <v>14.0530949293363</v>
      </c>
      <c r="C5366" s="1">
        <v>43799</v>
      </c>
    </row>
    <row r="5367" spans="1:3">
      <c r="A5367" t="s">
        <v>51</v>
      </c>
      <c r="B5367">
        <v>1.3444345867712</v>
      </c>
      <c r="C5367" s="1">
        <v>43799</v>
      </c>
    </row>
    <row r="5368" spans="1:3">
      <c r="A5368" t="s">
        <v>53</v>
      </c>
      <c r="B5368">
        <v>0.89742714802239998</v>
      </c>
      <c r="C5368" s="1">
        <v>43799</v>
      </c>
    </row>
    <row r="5369" spans="1:3">
      <c r="A5369" t="s">
        <v>55</v>
      </c>
      <c r="B5369">
        <v>2.8731317818815998</v>
      </c>
      <c r="C5369" s="1">
        <v>43799</v>
      </c>
    </row>
    <row r="5370" spans="1:3">
      <c r="A5370" t="s">
        <v>57</v>
      </c>
      <c r="B5370">
        <v>3.20002729815744</v>
      </c>
      <c r="C5370" s="1">
        <v>43799</v>
      </c>
    </row>
    <row r="5371" spans="1:3">
      <c r="A5371" t="s">
        <v>59</v>
      </c>
      <c r="B5371">
        <v>4.5519688800831997</v>
      </c>
      <c r="C5371" s="1">
        <v>43799</v>
      </c>
    </row>
    <row r="5372" spans="1:3">
      <c r="A5372" t="s">
        <v>61</v>
      </c>
      <c r="B5372">
        <v>96.722172933665902</v>
      </c>
      <c r="C5372" s="1">
        <v>43799</v>
      </c>
    </row>
    <row r="5373" spans="1:3">
      <c r="A5373" t="s">
        <v>63</v>
      </c>
      <c r="B5373">
        <v>13.5938033166982</v>
      </c>
      <c r="C5373" s="1">
        <v>43799</v>
      </c>
    </row>
    <row r="5374" spans="1:3">
      <c r="A5374" t="s">
        <v>65</v>
      </c>
      <c r="B5374">
        <v>0.56165972838208</v>
      </c>
      <c r="C5374" s="1">
        <v>43799</v>
      </c>
    </row>
    <row r="5375" spans="1:3">
      <c r="A5375" t="s">
        <v>67</v>
      </c>
      <c r="B5375">
        <v>8.0570531631577502</v>
      </c>
      <c r="C5375" s="1">
        <v>43799</v>
      </c>
    </row>
    <row r="5376" spans="1:3">
      <c r="A5376" t="s">
        <v>69</v>
      </c>
      <c r="B5376">
        <v>3.4873404763456</v>
      </c>
      <c r="C5376" s="1">
        <v>43799</v>
      </c>
    </row>
    <row r="5377" spans="1:3">
      <c r="A5377" t="s">
        <v>71</v>
      </c>
      <c r="B5377">
        <v>0.73022589230719903</v>
      </c>
      <c r="C5377" s="1">
        <v>43799</v>
      </c>
    </row>
    <row r="5378" spans="1:3">
      <c r="A5378" t="s">
        <v>73</v>
      </c>
      <c r="B5378">
        <v>1.3649082099199901</v>
      </c>
      <c r="C5378" s="1">
        <v>43799</v>
      </c>
    </row>
    <row r="5379" spans="1:3">
      <c r="A5379" t="s">
        <v>75</v>
      </c>
      <c r="B5379">
        <v>0.22043267590207999</v>
      </c>
      <c r="C5379" s="1">
        <v>43799</v>
      </c>
    </row>
    <row r="5380" spans="1:3">
      <c r="A5380" t="s">
        <v>77</v>
      </c>
      <c r="B5380">
        <v>1.55667781341375</v>
      </c>
      <c r="C5380" s="1">
        <v>43799</v>
      </c>
    </row>
    <row r="5381" spans="1:3">
      <c r="A5381" t="s">
        <v>79</v>
      </c>
      <c r="B5381">
        <v>5.4459837575807999</v>
      </c>
      <c r="C5381" s="1">
        <v>43799</v>
      </c>
    </row>
    <row r="5382" spans="1:3">
      <c r="A5382" t="s">
        <v>81</v>
      </c>
      <c r="B5382">
        <v>9.5912099911078297</v>
      </c>
      <c r="C5382" s="1">
        <v>43799</v>
      </c>
    </row>
    <row r="5383" spans="1:3">
      <c r="A5383" t="s">
        <v>83</v>
      </c>
      <c r="B5383">
        <v>0.28321845355839997</v>
      </c>
      <c r="C5383" s="1">
        <v>43799</v>
      </c>
    </row>
    <row r="5384" spans="1:3">
      <c r="A5384" t="s">
        <v>85</v>
      </c>
      <c r="B5384">
        <v>4.02238449463424</v>
      </c>
      <c r="C5384" s="1">
        <v>43799</v>
      </c>
    </row>
    <row r="5385" spans="1:3">
      <c r="A5385" t="s">
        <v>87</v>
      </c>
      <c r="B5385">
        <v>8.0120111922303998</v>
      </c>
      <c r="C5385" s="1">
        <v>43799</v>
      </c>
    </row>
    <row r="5386" spans="1:3">
      <c r="A5386" t="s">
        <v>89</v>
      </c>
      <c r="B5386">
        <v>6.2908619395212799</v>
      </c>
      <c r="C5386" s="1">
        <v>43799</v>
      </c>
    </row>
    <row r="5387" spans="1:3">
      <c r="A5387" t="s">
        <v>91</v>
      </c>
      <c r="B5387">
        <v>19.739302531863</v>
      </c>
      <c r="C5387" s="1">
        <v>43799</v>
      </c>
    </row>
    <row r="5388" spans="1:3">
      <c r="A5388" t="s">
        <v>93</v>
      </c>
      <c r="B5388">
        <v>14.536272435648</v>
      </c>
      <c r="C5388" s="1">
        <v>43799</v>
      </c>
    </row>
    <row r="5389" spans="1:3">
      <c r="A5389" t="s">
        <v>95</v>
      </c>
      <c r="B5389">
        <v>0.35282877226431902</v>
      </c>
      <c r="C5389" s="1">
        <v>43799</v>
      </c>
    </row>
    <row r="5390" spans="1:3">
      <c r="A5390" t="s">
        <v>97</v>
      </c>
      <c r="B5390">
        <v>2.3544666621119998</v>
      </c>
      <c r="C5390" s="1">
        <v>43799</v>
      </c>
    </row>
    <row r="5391" spans="1:3">
      <c r="A5391" t="s">
        <v>99</v>
      </c>
      <c r="B5391">
        <v>4.2510066197958398</v>
      </c>
      <c r="C5391" s="1">
        <v>43799</v>
      </c>
    </row>
    <row r="5392" spans="1:3">
      <c r="A5392" t="s">
        <v>101</v>
      </c>
      <c r="B5392">
        <v>7.3759639664076797</v>
      </c>
      <c r="C5392" s="1">
        <v>43799</v>
      </c>
    </row>
    <row r="5393" spans="1:3">
      <c r="A5393" t="s">
        <v>103</v>
      </c>
      <c r="B5393">
        <v>0.66198048181119995</v>
      </c>
      <c r="C5393" s="1">
        <v>43799</v>
      </c>
    </row>
    <row r="5394" spans="1:3">
      <c r="A5394" t="s">
        <v>105</v>
      </c>
      <c r="B5394">
        <v>0.206783593802879</v>
      </c>
      <c r="C5394" s="1">
        <v>43799</v>
      </c>
    </row>
    <row r="5395" spans="1:3">
      <c r="A5395" t="s">
        <v>107</v>
      </c>
      <c r="B5395">
        <v>2.7025182556415999</v>
      </c>
      <c r="C5395" s="1">
        <v>43799</v>
      </c>
    </row>
    <row r="5396" spans="1:3">
      <c r="A5396" t="s">
        <v>109</v>
      </c>
      <c r="B5396">
        <v>3.0724083805299198</v>
      </c>
      <c r="C5396" s="1">
        <v>43799</v>
      </c>
    </row>
    <row r="5397" spans="1:3">
      <c r="A5397" t="s">
        <v>111</v>
      </c>
      <c r="B5397">
        <v>7.1848768170188801</v>
      </c>
      <c r="C5397" s="1">
        <v>43799</v>
      </c>
    </row>
    <row r="5398" spans="1:3">
      <c r="A5398" t="s">
        <v>113</v>
      </c>
      <c r="B5398">
        <v>10.590322800769201</v>
      </c>
      <c r="C5398" s="1">
        <v>43799</v>
      </c>
    </row>
    <row r="5399" spans="1:3">
      <c r="A5399" t="s">
        <v>115</v>
      </c>
      <c r="B5399">
        <v>3.5610455196812798</v>
      </c>
      <c r="C5399" s="1">
        <v>43799</v>
      </c>
    </row>
    <row r="5400" spans="1:3">
      <c r="A5400" t="s">
        <v>117</v>
      </c>
      <c r="B5400">
        <v>4.6324984644684797</v>
      </c>
      <c r="C5400" s="1">
        <v>43799</v>
      </c>
    </row>
    <row r="5401" spans="1:3">
      <c r="A5401" t="s">
        <v>119</v>
      </c>
      <c r="B5401">
        <v>25.652084897236399</v>
      </c>
      <c r="C5401" s="1">
        <v>43799</v>
      </c>
    </row>
    <row r="5402" spans="1:3">
      <c r="A5402" t="s">
        <v>121</v>
      </c>
      <c r="B5402">
        <v>13.116767897331099</v>
      </c>
      <c r="C5402" s="1">
        <v>43799</v>
      </c>
    </row>
    <row r="5403" spans="1:3">
      <c r="A5403" t="s">
        <v>123</v>
      </c>
      <c r="B5403">
        <v>5.2146318159993497</v>
      </c>
      <c r="C5403" s="1">
        <v>43799</v>
      </c>
    </row>
    <row r="5404" spans="1:3">
      <c r="A5404" t="s">
        <v>125</v>
      </c>
      <c r="B5404">
        <v>142.96594553986</v>
      </c>
      <c r="C5404" s="1">
        <v>43799</v>
      </c>
    </row>
    <row r="5405" spans="1:3">
      <c r="A5405" t="s">
        <v>127</v>
      </c>
      <c r="B5405">
        <v>6.3038285675155201</v>
      </c>
      <c r="C5405" s="1">
        <v>43799</v>
      </c>
    </row>
    <row r="5406" spans="1:3">
      <c r="A5406" t="s">
        <v>129</v>
      </c>
      <c r="B5406">
        <v>4.2735276052595097</v>
      </c>
      <c r="C5406" s="1">
        <v>43799</v>
      </c>
    </row>
    <row r="5407" spans="1:3">
      <c r="A5407" t="s">
        <v>131</v>
      </c>
      <c r="B5407">
        <v>2.36402101958143</v>
      </c>
      <c r="C5407" s="1">
        <v>43799</v>
      </c>
    </row>
    <row r="5408" spans="1:3">
      <c r="A5408" t="s">
        <v>134</v>
      </c>
      <c r="B5408">
        <v>1.944994199136</v>
      </c>
      <c r="C5408" s="1">
        <v>43799</v>
      </c>
    </row>
    <row r="5409" spans="1:3">
      <c r="A5409" t="s">
        <v>136</v>
      </c>
      <c r="B5409">
        <v>8.7463318091673603</v>
      </c>
      <c r="C5409" s="1">
        <v>43799</v>
      </c>
    </row>
    <row r="5410" spans="1:3">
      <c r="A5410" t="s">
        <v>138</v>
      </c>
      <c r="B5410">
        <v>13.851770968373099</v>
      </c>
      <c r="C5410" s="1">
        <v>43799</v>
      </c>
    </row>
    <row r="5411" spans="1:3">
      <c r="A5411" t="s">
        <v>140</v>
      </c>
      <c r="B5411">
        <v>17.092063058723198</v>
      </c>
      <c r="C5411" s="1">
        <v>43799</v>
      </c>
    </row>
    <row r="5412" spans="1:3">
      <c r="A5412" t="s">
        <v>142</v>
      </c>
      <c r="B5412">
        <v>5.7469460178681597</v>
      </c>
      <c r="C5412" s="1">
        <v>43799</v>
      </c>
    </row>
    <row r="5413" spans="1:3">
      <c r="A5413" t="s">
        <v>144</v>
      </c>
      <c r="B5413">
        <v>4.7021087831744</v>
      </c>
      <c r="C5413" s="1">
        <v>43799</v>
      </c>
    </row>
    <row r="5414" spans="1:3">
      <c r="A5414" t="s">
        <v>146</v>
      </c>
      <c r="B5414">
        <v>2.7195796082656001</v>
      </c>
      <c r="C5414" s="1">
        <v>43799</v>
      </c>
    </row>
    <row r="5415" spans="1:3">
      <c r="A5415" t="s">
        <v>148</v>
      </c>
      <c r="B5415">
        <v>11.310994335607001</v>
      </c>
      <c r="C5415" s="1">
        <v>43799</v>
      </c>
    </row>
    <row r="5416" spans="1:3">
      <c r="A5416" t="s">
        <v>150</v>
      </c>
      <c r="B5416">
        <v>5.9257489933676704</v>
      </c>
      <c r="C5416" s="1">
        <v>43799</v>
      </c>
    </row>
    <row r="5417" spans="1:3">
      <c r="A5417" t="s">
        <v>152</v>
      </c>
      <c r="B5417">
        <v>18.704019654638699</v>
      </c>
      <c r="C5417" s="1">
        <v>43799</v>
      </c>
    </row>
    <row r="5418" spans="1:3">
      <c r="A5418" t="s">
        <v>154</v>
      </c>
      <c r="B5418">
        <v>13.9425373643328</v>
      </c>
      <c r="C5418" s="1">
        <v>43799</v>
      </c>
    </row>
    <row r="5419" spans="1:3">
      <c r="A5419" t="s">
        <v>156</v>
      </c>
      <c r="B5419">
        <v>18.016788370943999</v>
      </c>
      <c r="C5419" s="1">
        <v>43799</v>
      </c>
    </row>
    <row r="5420" spans="1:3">
      <c r="A5420" t="s">
        <v>158</v>
      </c>
      <c r="B5420">
        <v>82.746195318190004</v>
      </c>
      <c r="C5420" s="1">
        <v>43799</v>
      </c>
    </row>
    <row r="5421" spans="1:3">
      <c r="A5421" t="s">
        <v>160</v>
      </c>
      <c r="B5421">
        <v>14.945744898624</v>
      </c>
      <c r="C5421" s="1">
        <v>43799</v>
      </c>
    </row>
    <row r="5422" spans="1:3">
      <c r="A5422" t="s">
        <v>162</v>
      </c>
      <c r="B5422">
        <v>7.6844332218495897</v>
      </c>
      <c r="C5422" s="1">
        <v>43799</v>
      </c>
    </row>
    <row r="5423" spans="1:3">
      <c r="A5423" t="s">
        <v>164</v>
      </c>
      <c r="B5423">
        <v>5.2514843376671996</v>
      </c>
      <c r="C5423" s="1">
        <v>43799</v>
      </c>
    </row>
    <row r="5424" spans="1:3">
      <c r="A5424" t="s">
        <v>166</v>
      </c>
      <c r="B5424">
        <v>7.7711048931795199</v>
      </c>
      <c r="C5424" s="1">
        <v>43799</v>
      </c>
    </row>
    <row r="5425" spans="1:3">
      <c r="A5425" t="s">
        <v>168</v>
      </c>
      <c r="B5425">
        <v>10.358970859187799</v>
      </c>
      <c r="C5425" s="1">
        <v>43799</v>
      </c>
    </row>
    <row r="5426" spans="1:3">
      <c r="A5426" t="s">
        <v>4</v>
      </c>
      <c r="B5426">
        <v>0.15446776558176001</v>
      </c>
      <c r="C5426" s="1">
        <v>43830</v>
      </c>
    </row>
    <row r="5427" spans="1:3">
      <c r="A5427" t="s">
        <v>8</v>
      </c>
      <c r="B5427">
        <v>23.333929273922401</v>
      </c>
      <c r="C5427" s="1">
        <v>43830</v>
      </c>
    </row>
    <row r="5428" spans="1:3">
      <c r="A5428" t="s">
        <v>11</v>
      </c>
      <c r="B5428">
        <v>42.719633854433297</v>
      </c>
      <c r="C5428" s="1">
        <v>43830</v>
      </c>
    </row>
    <row r="5429" spans="1:3">
      <c r="A5429" t="s">
        <v>14</v>
      </c>
      <c r="B5429">
        <v>5.8611935495745504</v>
      </c>
      <c r="C5429" s="1">
        <v>43830</v>
      </c>
    </row>
    <row r="5430" spans="1:3">
      <c r="A5430" t="s">
        <v>17</v>
      </c>
      <c r="B5430">
        <v>7.8328029463750797</v>
      </c>
      <c r="C5430" s="1">
        <v>43830</v>
      </c>
    </row>
    <row r="5431" spans="1:3">
      <c r="A5431" t="s">
        <v>20</v>
      </c>
      <c r="B5431">
        <v>0.8831837522846</v>
      </c>
      <c r="C5431" s="1">
        <v>43830</v>
      </c>
    </row>
    <row r="5432" spans="1:3">
      <c r="A5432" t="s">
        <v>24</v>
      </c>
      <c r="B5432">
        <v>1.2657775235172</v>
      </c>
      <c r="C5432" s="1">
        <v>43830</v>
      </c>
    </row>
    <row r="5433" spans="1:3">
      <c r="A5433" t="s">
        <v>27</v>
      </c>
      <c r="B5433">
        <v>28.522186863254198</v>
      </c>
      <c r="C5433" s="1">
        <v>43830</v>
      </c>
    </row>
    <row r="5434" spans="1:3">
      <c r="A5434" t="s">
        <v>29</v>
      </c>
      <c r="B5434">
        <v>1.7627918618473899</v>
      </c>
      <c r="C5434" s="1">
        <v>43830</v>
      </c>
    </row>
    <row r="5435" spans="1:3">
      <c r="A5435" t="s">
        <v>32</v>
      </c>
      <c r="B5435">
        <v>8.2454321164708002</v>
      </c>
      <c r="C5435" s="1">
        <v>43830</v>
      </c>
    </row>
    <row r="5436" spans="1:3">
      <c r="A5436" t="s">
        <v>35</v>
      </c>
      <c r="B5436">
        <v>3.8459613115680802</v>
      </c>
      <c r="C5436" s="1">
        <v>43830</v>
      </c>
    </row>
    <row r="5437" spans="1:3">
      <c r="A5437" t="s">
        <v>37</v>
      </c>
      <c r="B5437">
        <v>0.18450316444487999</v>
      </c>
      <c r="C5437" s="1">
        <v>43830</v>
      </c>
    </row>
    <row r="5438" spans="1:3">
      <c r="A5438" t="s">
        <v>39</v>
      </c>
      <c r="B5438">
        <v>1.71559337791964</v>
      </c>
      <c r="C5438" s="1">
        <v>43830</v>
      </c>
    </row>
    <row r="5439" spans="1:3">
      <c r="A5439" t="s">
        <v>42</v>
      </c>
      <c r="B5439">
        <v>2.3735116387308399</v>
      </c>
      <c r="C5439" s="1">
        <v>43830</v>
      </c>
    </row>
    <row r="5440" spans="1:3">
      <c r="A5440" t="s">
        <v>44</v>
      </c>
      <c r="B5440">
        <v>9.3781957307370298</v>
      </c>
      <c r="C5440" s="1">
        <v>43830</v>
      </c>
    </row>
    <row r="5441" spans="1:3">
      <c r="A5441" t="s">
        <v>47</v>
      </c>
      <c r="B5441">
        <v>8.5472163621907207</v>
      </c>
      <c r="C5441" s="1">
        <v>43830</v>
      </c>
    </row>
    <row r="5442" spans="1:3">
      <c r="A5442" t="s">
        <v>49</v>
      </c>
      <c r="B5442">
        <v>14.1245038796543</v>
      </c>
      <c r="C5442" s="1">
        <v>43830</v>
      </c>
    </row>
    <row r="5443" spans="1:3">
      <c r="A5443" t="s">
        <v>51</v>
      </c>
      <c r="B5443">
        <v>1.3873493760583999</v>
      </c>
      <c r="C5443" s="1">
        <v>43830</v>
      </c>
    </row>
    <row r="5444" spans="1:3">
      <c r="A5444" t="s">
        <v>53</v>
      </c>
      <c r="B5444">
        <v>0.94468480709956004</v>
      </c>
      <c r="C5444" s="1">
        <v>43830</v>
      </c>
    </row>
    <row r="5445" spans="1:3">
      <c r="A5445" t="s">
        <v>55</v>
      </c>
      <c r="B5445">
        <v>2.8569385347181999</v>
      </c>
      <c r="C5445" s="1">
        <v>43830</v>
      </c>
    </row>
    <row r="5446" spans="1:3">
      <c r="A5446" t="s">
        <v>57</v>
      </c>
      <c r="B5446">
        <v>2.4900775914615201</v>
      </c>
      <c r="C5446" s="1">
        <v>43830</v>
      </c>
    </row>
    <row r="5447" spans="1:3">
      <c r="A5447" t="s">
        <v>59</v>
      </c>
      <c r="B5447">
        <v>4.8657346158254402</v>
      </c>
      <c r="C5447" s="1">
        <v>43830</v>
      </c>
    </row>
    <row r="5448" spans="1:3">
      <c r="A5448" t="s">
        <v>61</v>
      </c>
      <c r="B5448">
        <v>103.420459828254</v>
      </c>
      <c r="C5448" s="1">
        <v>43830</v>
      </c>
    </row>
    <row r="5449" spans="1:3">
      <c r="A5449" t="s">
        <v>63</v>
      </c>
      <c r="B5449">
        <v>15.5290163407774</v>
      </c>
      <c r="C5449" s="1">
        <v>43830</v>
      </c>
    </row>
    <row r="5450" spans="1:3">
      <c r="A5450" t="s">
        <v>65</v>
      </c>
      <c r="B5450">
        <v>0.54063717953615997</v>
      </c>
      <c r="C5450" s="1">
        <v>43830</v>
      </c>
    </row>
    <row r="5451" spans="1:3">
      <c r="A5451" t="s">
        <v>67</v>
      </c>
      <c r="B5451">
        <v>8.6265956306146805</v>
      </c>
      <c r="C5451" s="1">
        <v>43830</v>
      </c>
    </row>
    <row r="5452" spans="1:3">
      <c r="A5452" t="s">
        <v>69</v>
      </c>
      <c r="B5452">
        <v>3.5184324382512</v>
      </c>
      <c r="C5452" s="1">
        <v>43830</v>
      </c>
    </row>
    <row r="5453" spans="1:3">
      <c r="A5453" t="s">
        <v>71</v>
      </c>
      <c r="B5453">
        <v>0.77233882790880004</v>
      </c>
      <c r="C5453" s="1">
        <v>43830</v>
      </c>
    </row>
    <row r="5454" spans="1:3">
      <c r="A5454" t="s">
        <v>73</v>
      </c>
      <c r="B5454">
        <v>1.3916401473245601</v>
      </c>
      <c r="C5454" s="1">
        <v>43830</v>
      </c>
    </row>
    <row r="5455" spans="1:3">
      <c r="A5455" t="s">
        <v>75</v>
      </c>
      <c r="B5455">
        <v>0.21882933457416001</v>
      </c>
      <c r="C5455" s="1">
        <v>43830</v>
      </c>
    </row>
    <row r="5456" spans="1:3">
      <c r="A5456" t="s">
        <v>77</v>
      </c>
      <c r="B5456">
        <v>1.5811492115799599</v>
      </c>
      <c r="C5456" s="1">
        <v>43830</v>
      </c>
    </row>
    <row r="5457" spans="1:3">
      <c r="A5457" t="s">
        <v>79</v>
      </c>
      <c r="B5457">
        <v>5.5780026460079997</v>
      </c>
      <c r="C5457" s="1">
        <v>43830</v>
      </c>
    </row>
    <row r="5458" spans="1:3">
      <c r="A5458" t="s">
        <v>81</v>
      </c>
      <c r="B5458">
        <v>9.8766403261559592</v>
      </c>
      <c r="C5458" s="1">
        <v>43830</v>
      </c>
    </row>
    <row r="5459" spans="1:3">
      <c r="A5459" t="s">
        <v>83</v>
      </c>
      <c r="B5459">
        <v>0.3003539886312</v>
      </c>
      <c r="C5459" s="1">
        <v>43830</v>
      </c>
    </row>
    <row r="5460" spans="1:3">
      <c r="A5460" t="s">
        <v>85</v>
      </c>
      <c r="B5460">
        <v>4.0082954911378001</v>
      </c>
      <c r="C5460" s="1">
        <v>43830</v>
      </c>
    </row>
    <row r="5461" spans="1:3">
      <c r="A5461" t="s">
        <v>87</v>
      </c>
      <c r="B5461">
        <v>8.5257625058599196</v>
      </c>
      <c r="C5461" s="1">
        <v>43830</v>
      </c>
    </row>
    <row r="5462" spans="1:3">
      <c r="A5462" t="s">
        <v>89</v>
      </c>
      <c r="B5462">
        <v>6.5076697536759998</v>
      </c>
      <c r="C5462" s="1">
        <v>43830</v>
      </c>
    </row>
    <row r="5463" spans="1:3">
      <c r="A5463" t="s">
        <v>91</v>
      </c>
      <c r="B5463">
        <v>20.748739586060999</v>
      </c>
      <c r="C5463" s="1">
        <v>43830</v>
      </c>
    </row>
    <row r="5464" spans="1:3">
      <c r="A5464" t="s">
        <v>93</v>
      </c>
      <c r="B5464">
        <v>16.0882468624669</v>
      </c>
      <c r="C5464" s="1">
        <v>43830</v>
      </c>
    </row>
    <row r="5465" spans="1:3">
      <c r="A5465" t="s">
        <v>95</v>
      </c>
      <c r="B5465">
        <v>0.35970965781308001</v>
      </c>
      <c r="C5465" s="1">
        <v>43830</v>
      </c>
    </row>
    <row r="5466" spans="1:3">
      <c r="A5466" t="s">
        <v>97</v>
      </c>
      <c r="B5466">
        <v>2.4135588372150001</v>
      </c>
      <c r="C5466" s="1">
        <v>43830</v>
      </c>
    </row>
    <row r="5467" spans="1:3">
      <c r="A5467" t="s">
        <v>99</v>
      </c>
      <c r="B5467">
        <v>4.4016161905358002</v>
      </c>
      <c r="C5467" s="1">
        <v>43830</v>
      </c>
    </row>
    <row r="5468" spans="1:3">
      <c r="A5468" t="s">
        <v>101</v>
      </c>
      <c r="B5468">
        <v>7.6261307970550396</v>
      </c>
      <c r="C5468" s="1">
        <v>43830</v>
      </c>
    </row>
    <row r="5469" spans="1:3">
      <c r="A5469" t="s">
        <v>103</v>
      </c>
      <c r="B5469">
        <v>0.79021704151780003</v>
      </c>
      <c r="C5469" s="1">
        <v>43830</v>
      </c>
    </row>
    <row r="5470" spans="1:3">
      <c r="A5470" t="s">
        <v>105</v>
      </c>
      <c r="B5470">
        <v>0.17878213608999999</v>
      </c>
      <c r="C5470" s="1">
        <v>43830</v>
      </c>
    </row>
    <row r="5471" spans="1:3">
      <c r="A5471" t="s">
        <v>107</v>
      </c>
      <c r="B5471">
        <v>2.8533628919964</v>
      </c>
      <c r="C5471" s="1">
        <v>43830</v>
      </c>
    </row>
    <row r="5472" spans="1:3">
      <c r="A5472" t="s">
        <v>109</v>
      </c>
      <c r="B5472">
        <v>3.6614581471231999</v>
      </c>
      <c r="C5472" s="1">
        <v>43830</v>
      </c>
    </row>
    <row r="5473" spans="1:3">
      <c r="A5473" t="s">
        <v>111</v>
      </c>
      <c r="B5473">
        <v>7.6518754246520002</v>
      </c>
      <c r="C5473" s="1">
        <v>43830</v>
      </c>
    </row>
    <row r="5474" spans="1:3">
      <c r="A5474" t="s">
        <v>113</v>
      </c>
      <c r="B5474">
        <v>10.6904566096376</v>
      </c>
      <c r="C5474" s="1">
        <v>43830</v>
      </c>
    </row>
    <row r="5475" spans="1:3">
      <c r="A5475" t="s">
        <v>115</v>
      </c>
      <c r="B5475">
        <v>3.4755247255896</v>
      </c>
      <c r="C5475" s="1">
        <v>43830</v>
      </c>
    </row>
    <row r="5476" spans="1:3">
      <c r="A5476" t="s">
        <v>117</v>
      </c>
      <c r="B5476">
        <v>4.5689562699160398</v>
      </c>
      <c r="C5476" s="1">
        <v>43830</v>
      </c>
    </row>
    <row r="5477" spans="1:3">
      <c r="A5477" t="s">
        <v>119</v>
      </c>
      <c r="B5477">
        <v>29.8244359425338</v>
      </c>
      <c r="C5477" s="1">
        <v>43830</v>
      </c>
    </row>
    <row r="5478" spans="1:3">
      <c r="A5478" t="s">
        <v>121</v>
      </c>
      <c r="B5478">
        <v>13.94500661502</v>
      </c>
      <c r="C5478" s="1">
        <v>43830</v>
      </c>
    </row>
    <row r="5479" spans="1:3">
      <c r="A5479" t="s">
        <v>123</v>
      </c>
      <c r="B5479">
        <v>5.6566667858875999</v>
      </c>
      <c r="C5479" s="1">
        <v>43830</v>
      </c>
    </row>
    <row r="5480" spans="1:3">
      <c r="A5480" t="s">
        <v>125</v>
      </c>
      <c r="B5480">
        <v>163.82093181344399</v>
      </c>
      <c r="C5480" s="1">
        <v>43830</v>
      </c>
    </row>
    <row r="5481" spans="1:3">
      <c r="A5481" t="s">
        <v>127</v>
      </c>
      <c r="B5481">
        <v>5.8990953624256397</v>
      </c>
      <c r="C5481" s="1">
        <v>43830</v>
      </c>
    </row>
    <row r="5482" spans="1:3">
      <c r="A5482" t="s">
        <v>129</v>
      </c>
      <c r="B5482">
        <v>4.4910072585808001</v>
      </c>
      <c r="C5482" s="1">
        <v>43830</v>
      </c>
    </row>
    <row r="5483" spans="1:3">
      <c r="A5483" t="s">
        <v>131</v>
      </c>
      <c r="B5483">
        <v>2.3742267672752</v>
      </c>
      <c r="C5483" s="1">
        <v>43830</v>
      </c>
    </row>
    <row r="5484" spans="1:3">
      <c r="A5484" t="s">
        <v>134</v>
      </c>
      <c r="B5484">
        <v>2.0338255801598399</v>
      </c>
      <c r="C5484" s="1">
        <v>43830</v>
      </c>
    </row>
    <row r="5485" spans="1:3">
      <c r="A5485" t="s">
        <v>136</v>
      </c>
      <c r="B5485">
        <v>9.0048986305811205</v>
      </c>
      <c r="C5485" s="1">
        <v>43830</v>
      </c>
    </row>
    <row r="5486" spans="1:3">
      <c r="A5486" t="s">
        <v>138</v>
      </c>
      <c r="B5486">
        <v>14.6436872028597</v>
      </c>
      <c r="C5486" s="1">
        <v>43830</v>
      </c>
    </row>
    <row r="5487" spans="1:3">
      <c r="A5487" t="s">
        <v>140</v>
      </c>
      <c r="B5487">
        <v>18.349483319733199</v>
      </c>
      <c r="C5487" s="1">
        <v>43830</v>
      </c>
    </row>
    <row r="5488" spans="1:3">
      <c r="A5488" t="s">
        <v>142</v>
      </c>
      <c r="B5488">
        <v>5.9327064040105597</v>
      </c>
      <c r="C5488" s="1">
        <v>43830</v>
      </c>
    </row>
    <row r="5489" spans="1:3">
      <c r="A5489" t="s">
        <v>144</v>
      </c>
      <c r="B5489">
        <v>5.1918332320535896</v>
      </c>
      <c r="C5489" s="1">
        <v>43830</v>
      </c>
    </row>
    <row r="5490" spans="1:3">
      <c r="A5490" t="s">
        <v>146</v>
      </c>
      <c r="B5490">
        <v>3.1229663532201202</v>
      </c>
      <c r="C5490" s="1">
        <v>43830</v>
      </c>
    </row>
    <row r="5491" spans="1:3">
      <c r="A5491" t="s">
        <v>148</v>
      </c>
      <c r="B5491">
        <v>12.0370436586675</v>
      </c>
      <c r="C5491" s="1">
        <v>43830</v>
      </c>
    </row>
    <row r="5492" spans="1:3">
      <c r="A5492" t="s">
        <v>150</v>
      </c>
      <c r="B5492">
        <v>6.3624986591709201</v>
      </c>
      <c r="C5492" s="1">
        <v>43830</v>
      </c>
    </row>
    <row r="5493" spans="1:3">
      <c r="A5493" t="s">
        <v>152</v>
      </c>
      <c r="B5493">
        <v>22.633818428994001</v>
      </c>
      <c r="C5493" s="1">
        <v>43830</v>
      </c>
    </row>
    <row r="5494" spans="1:3">
      <c r="A5494" t="s">
        <v>154</v>
      </c>
      <c r="B5494">
        <v>15.068473558209501</v>
      </c>
      <c r="C5494" s="1">
        <v>43830</v>
      </c>
    </row>
    <row r="5495" spans="1:3">
      <c r="A5495" t="s">
        <v>156</v>
      </c>
      <c r="B5495">
        <v>21.702721064237199</v>
      </c>
      <c r="C5495" s="1">
        <v>43830</v>
      </c>
    </row>
    <row r="5496" spans="1:3">
      <c r="A5496" t="s">
        <v>158</v>
      </c>
      <c r="B5496">
        <v>93.490899989815802</v>
      </c>
      <c r="C5496" s="1">
        <v>43830</v>
      </c>
    </row>
    <row r="5497" spans="1:3">
      <c r="A5497" t="s">
        <v>160</v>
      </c>
      <c r="B5497">
        <v>15.3252047056348</v>
      </c>
      <c r="C5497" s="1">
        <v>43830</v>
      </c>
    </row>
    <row r="5498" spans="1:3">
      <c r="A5498" t="s">
        <v>162</v>
      </c>
      <c r="B5498">
        <v>10.2635248686547</v>
      </c>
      <c r="C5498" s="1">
        <v>43830</v>
      </c>
    </row>
    <row r="5499" spans="1:3">
      <c r="A5499" t="s">
        <v>164</v>
      </c>
      <c r="B5499">
        <v>6.8559373547793196</v>
      </c>
      <c r="C5499" s="1">
        <v>43830</v>
      </c>
    </row>
    <row r="5500" spans="1:3">
      <c r="A5500" t="s">
        <v>166</v>
      </c>
      <c r="B5500">
        <v>8.0616440805702805</v>
      </c>
      <c r="C5500" s="1">
        <v>43830</v>
      </c>
    </row>
    <row r="5501" spans="1:3">
      <c r="A5501" t="s">
        <v>168</v>
      </c>
      <c r="B5501">
        <v>11.703793756995699</v>
      </c>
      <c r="C5501" s="1">
        <v>43830</v>
      </c>
    </row>
    <row r="5502" spans="1:3">
      <c r="A5502" t="s">
        <v>4</v>
      </c>
      <c r="B5502">
        <v>0.16933897796601999</v>
      </c>
      <c r="C5502" s="1">
        <v>43861</v>
      </c>
    </row>
    <row r="5503" spans="1:3">
      <c r="A5503" t="s">
        <v>8</v>
      </c>
      <c r="B5503">
        <v>20.298676622564599</v>
      </c>
      <c r="C5503" s="1">
        <v>43861</v>
      </c>
    </row>
    <row r="5504" spans="1:3">
      <c r="A5504" t="s">
        <v>11</v>
      </c>
      <c r="B5504">
        <v>43.934797826616901</v>
      </c>
      <c r="C5504" s="1">
        <v>43861</v>
      </c>
    </row>
    <row r="5505" spans="1:3">
      <c r="A5505" t="s">
        <v>14</v>
      </c>
      <c r="B5505">
        <v>5.5168505616882397</v>
      </c>
      <c r="C5505" s="1">
        <v>43861</v>
      </c>
    </row>
    <row r="5506" spans="1:3">
      <c r="A5506" t="s">
        <v>17</v>
      </c>
      <c r="B5506">
        <v>7.3129104303514696</v>
      </c>
      <c r="C5506" s="1">
        <v>43861</v>
      </c>
    </row>
    <row r="5507" spans="1:3">
      <c r="A5507" t="s">
        <v>20</v>
      </c>
      <c r="B5507">
        <v>0.76869228974338899</v>
      </c>
      <c r="C5507" s="1">
        <v>43861</v>
      </c>
    </row>
    <row r="5508" spans="1:3">
      <c r="A5508" t="s">
        <v>24</v>
      </c>
      <c r="B5508">
        <v>1.0687022900768799</v>
      </c>
      <c r="C5508" s="1">
        <v>43861</v>
      </c>
    </row>
    <row r="5509" spans="1:3">
      <c r="A5509" t="s">
        <v>27</v>
      </c>
      <c r="B5509">
        <v>26.042868095616601</v>
      </c>
      <c r="C5509" s="1">
        <v>43861</v>
      </c>
    </row>
    <row r="5510" spans="1:3">
      <c r="A5510" t="s">
        <v>29</v>
      </c>
      <c r="B5510">
        <v>1.66938897963351</v>
      </c>
      <c r="C5510" s="1">
        <v>43861</v>
      </c>
    </row>
    <row r="5511" spans="1:3">
      <c r="A5511" t="s">
        <v>32</v>
      </c>
      <c r="B5511">
        <v>7.8169272309117401</v>
      </c>
      <c r="C5511" s="1">
        <v>43861</v>
      </c>
    </row>
    <row r="5512" spans="1:3">
      <c r="A5512" t="s">
        <v>35</v>
      </c>
      <c r="B5512">
        <v>3.3901130037685498</v>
      </c>
      <c r="C5512" s="1">
        <v>43861</v>
      </c>
    </row>
    <row r="5513" spans="1:3">
      <c r="A5513" t="s">
        <v>37</v>
      </c>
      <c r="B5513">
        <v>0.18267275575861999</v>
      </c>
      <c r="C5513" s="1">
        <v>43861</v>
      </c>
    </row>
    <row r="5514" spans="1:3">
      <c r="A5514" t="s">
        <v>39</v>
      </c>
      <c r="B5514">
        <v>1.5813860462023599</v>
      </c>
      <c r="C5514" s="1">
        <v>43861</v>
      </c>
    </row>
    <row r="5515" spans="1:3">
      <c r="A5515" t="s">
        <v>42</v>
      </c>
      <c r="B5515">
        <v>2.1760725357523198</v>
      </c>
      <c r="C5515" s="1">
        <v>43861</v>
      </c>
    </row>
    <row r="5516" spans="1:3">
      <c r="A5516" t="s">
        <v>44</v>
      </c>
      <c r="B5516">
        <v>8.1182706090245098</v>
      </c>
      <c r="C5516" s="1">
        <v>43861</v>
      </c>
    </row>
    <row r="5517" spans="1:3">
      <c r="A5517" t="s">
        <v>47</v>
      </c>
      <c r="B5517">
        <v>7.3335777859299904</v>
      </c>
      <c r="C5517" s="1">
        <v>43861</v>
      </c>
    </row>
    <row r="5518" spans="1:3">
      <c r="A5518" t="s">
        <v>49</v>
      </c>
      <c r="B5518">
        <v>12.7817593919863</v>
      </c>
      <c r="C5518" s="1">
        <v>43861</v>
      </c>
    </row>
    <row r="5519" spans="1:3">
      <c r="A5519" t="s">
        <v>51</v>
      </c>
      <c r="B5519">
        <v>1.1933731124376901</v>
      </c>
      <c r="C5519" s="1">
        <v>43861</v>
      </c>
    </row>
    <row r="5520" spans="1:3">
      <c r="A5520" t="s">
        <v>53</v>
      </c>
      <c r="B5520">
        <v>0.85402846761603002</v>
      </c>
      <c r="C5520" s="1">
        <v>43861</v>
      </c>
    </row>
    <row r="5521" spans="1:3">
      <c r="A5521" t="s">
        <v>55</v>
      </c>
      <c r="B5521">
        <v>2.8000933364459999</v>
      </c>
      <c r="C5521" s="1">
        <v>43861</v>
      </c>
    </row>
    <row r="5522" spans="1:3">
      <c r="A5522" t="s">
        <v>57</v>
      </c>
      <c r="B5522">
        <v>2.1507383579463699</v>
      </c>
      <c r="C5522" s="1">
        <v>43861</v>
      </c>
    </row>
    <row r="5523" spans="1:3">
      <c r="A5523" t="s">
        <v>59</v>
      </c>
      <c r="B5523">
        <v>4.3401446714912897</v>
      </c>
      <c r="C5523" s="1">
        <v>43861</v>
      </c>
    </row>
    <row r="5524" spans="1:3">
      <c r="A5524" t="s">
        <v>61</v>
      </c>
      <c r="B5524">
        <v>89.746324877542406</v>
      </c>
      <c r="C5524" s="1">
        <v>43861</v>
      </c>
    </row>
    <row r="5525" spans="1:3">
      <c r="A5525" t="s">
        <v>63</v>
      </c>
      <c r="B5525">
        <v>13.2744424814229</v>
      </c>
      <c r="C5525" s="1">
        <v>43861</v>
      </c>
    </row>
    <row r="5526" spans="1:3">
      <c r="A5526" t="s">
        <v>65</v>
      </c>
      <c r="B5526">
        <v>0.47934931164396999</v>
      </c>
      <c r="C5526" s="1">
        <v>43861</v>
      </c>
    </row>
    <row r="5527" spans="1:3">
      <c r="A5527" t="s">
        <v>67</v>
      </c>
      <c r="B5527">
        <v>7.7989266308917298</v>
      </c>
      <c r="C5527" s="1">
        <v>43861</v>
      </c>
    </row>
    <row r="5528" spans="1:3">
      <c r="A5528" t="s">
        <v>69</v>
      </c>
      <c r="B5528">
        <v>2.94009800326829</v>
      </c>
      <c r="C5528" s="1">
        <v>43861</v>
      </c>
    </row>
    <row r="5529" spans="1:3">
      <c r="A5529" t="s">
        <v>71</v>
      </c>
      <c r="B5529">
        <v>0.71335711190409901</v>
      </c>
      <c r="C5529" s="1">
        <v>43861</v>
      </c>
    </row>
    <row r="5530" spans="1:3">
      <c r="A5530" t="s">
        <v>73</v>
      </c>
      <c r="B5530">
        <v>1.33671122370815</v>
      </c>
      <c r="C5530" s="1">
        <v>43861</v>
      </c>
    </row>
    <row r="5531" spans="1:3">
      <c r="A5531" t="s">
        <v>75</v>
      </c>
      <c r="B5531">
        <v>0.193339777992699</v>
      </c>
      <c r="C5531" s="1">
        <v>43861</v>
      </c>
    </row>
    <row r="5532" spans="1:3">
      <c r="A5532" t="s">
        <v>77</v>
      </c>
      <c r="B5532">
        <v>1.4060468682296601</v>
      </c>
      <c r="C5532" s="1">
        <v>43861</v>
      </c>
    </row>
    <row r="5533" spans="1:3">
      <c r="A5533" t="s">
        <v>79</v>
      </c>
      <c r="B5533">
        <v>4.8668288942989903</v>
      </c>
      <c r="C5533" s="1">
        <v>43861</v>
      </c>
    </row>
    <row r="5534" spans="1:3">
      <c r="A5534" t="s">
        <v>81</v>
      </c>
      <c r="B5534">
        <v>8.6522884096181301</v>
      </c>
      <c r="C5534" s="1">
        <v>43861</v>
      </c>
    </row>
    <row r="5535" spans="1:3">
      <c r="A5535" t="s">
        <v>83</v>
      </c>
      <c r="B5535">
        <v>0.24600820027346901</v>
      </c>
      <c r="C5535" s="1">
        <v>43861</v>
      </c>
    </row>
    <row r="5536" spans="1:3">
      <c r="A5536" t="s">
        <v>85</v>
      </c>
      <c r="B5536">
        <v>3.5914530484367999</v>
      </c>
      <c r="C5536" s="1">
        <v>43861</v>
      </c>
    </row>
    <row r="5537" spans="1:3">
      <c r="A5537" t="s">
        <v>87</v>
      </c>
      <c r="B5537">
        <v>7.7362578752665199</v>
      </c>
      <c r="C5537" s="1">
        <v>43861</v>
      </c>
    </row>
    <row r="5538" spans="1:3">
      <c r="A5538" t="s">
        <v>89</v>
      </c>
      <c r="B5538">
        <v>5.8675289176336296</v>
      </c>
      <c r="C5538" s="1">
        <v>43861</v>
      </c>
    </row>
    <row r="5539" spans="1:3">
      <c r="A5539" t="s">
        <v>91</v>
      </c>
      <c r="B5539">
        <v>18.838627954274902</v>
      </c>
      <c r="C5539" s="1">
        <v>43861</v>
      </c>
    </row>
    <row r="5540" spans="1:3">
      <c r="A5540" t="s">
        <v>93</v>
      </c>
      <c r="B5540">
        <v>13.200440014673999</v>
      </c>
      <c r="C5540" s="1">
        <v>43861</v>
      </c>
    </row>
    <row r="5541" spans="1:3">
      <c r="A5541" t="s">
        <v>95</v>
      </c>
      <c r="B5541">
        <v>0.320010667022399</v>
      </c>
      <c r="C5541" s="1">
        <v>43861</v>
      </c>
    </row>
    <row r="5542" spans="1:3">
      <c r="A5542" t="s">
        <v>97</v>
      </c>
      <c r="B5542">
        <v>2.20807360245455</v>
      </c>
      <c r="C5542" s="1">
        <v>43861</v>
      </c>
    </row>
    <row r="5543" spans="1:3">
      <c r="A5543" t="s">
        <v>99</v>
      </c>
      <c r="B5543">
        <v>4.2101403380134403</v>
      </c>
      <c r="C5543" s="1">
        <v>43861</v>
      </c>
    </row>
    <row r="5544" spans="1:3">
      <c r="A5544" t="s">
        <v>101</v>
      </c>
      <c r="B5544">
        <v>6.7668922297444896</v>
      </c>
      <c r="C5544" s="1">
        <v>43861</v>
      </c>
    </row>
    <row r="5545" spans="1:3">
      <c r="A5545" t="s">
        <v>103</v>
      </c>
      <c r="B5545">
        <v>0.80002666755599905</v>
      </c>
      <c r="C5545" s="1">
        <v>43861</v>
      </c>
    </row>
    <row r="5546" spans="1:3">
      <c r="A5546" t="s">
        <v>105</v>
      </c>
      <c r="B5546">
        <v>0.15333844461489901</v>
      </c>
      <c r="C5546" s="1">
        <v>43861</v>
      </c>
    </row>
    <row r="5547" spans="1:3">
      <c r="A5547" t="s">
        <v>107</v>
      </c>
      <c r="B5547">
        <v>2.3340778025946198</v>
      </c>
      <c r="C5547" s="1">
        <v>43861</v>
      </c>
    </row>
    <row r="5548" spans="1:3">
      <c r="A5548" t="s">
        <v>109</v>
      </c>
      <c r="B5548">
        <v>3.38877962598928</v>
      </c>
      <c r="C5548" s="1">
        <v>43861</v>
      </c>
    </row>
    <row r="5549" spans="1:3">
      <c r="A5549" t="s">
        <v>111</v>
      </c>
      <c r="B5549">
        <v>6.9202306743593898</v>
      </c>
      <c r="C5549" s="1">
        <v>43861</v>
      </c>
    </row>
    <row r="5550" spans="1:3">
      <c r="A5550" t="s">
        <v>113</v>
      </c>
      <c r="B5550">
        <v>9.1869728991014004</v>
      </c>
      <c r="C5550" s="1">
        <v>43861</v>
      </c>
    </row>
    <row r="5551" spans="1:3">
      <c r="A5551" t="s">
        <v>115</v>
      </c>
      <c r="B5551">
        <v>2.9587652921779402</v>
      </c>
      <c r="C5551" s="1">
        <v>43861</v>
      </c>
    </row>
    <row r="5552" spans="1:3">
      <c r="A5552" t="s">
        <v>117</v>
      </c>
      <c r="B5552">
        <v>4.3301443381468498</v>
      </c>
      <c r="C5552" s="1">
        <v>43861</v>
      </c>
    </row>
    <row r="5553" spans="1:3">
      <c r="A5553" t="s">
        <v>119</v>
      </c>
      <c r="B5553">
        <v>23.303443448126998</v>
      </c>
      <c r="C5553" s="1">
        <v>43861</v>
      </c>
    </row>
    <row r="5554" spans="1:3">
      <c r="A5554" t="s">
        <v>121</v>
      </c>
      <c r="B5554">
        <v>12.167072235747399</v>
      </c>
      <c r="C5554" s="1">
        <v>43861</v>
      </c>
    </row>
    <row r="5555" spans="1:3">
      <c r="A5555" t="s">
        <v>123</v>
      </c>
      <c r="B5555">
        <v>4.9281642721449597</v>
      </c>
      <c r="C5555" s="1">
        <v>43861</v>
      </c>
    </row>
    <row r="5556" spans="1:3">
      <c r="A5556" t="s">
        <v>125</v>
      </c>
      <c r="B5556">
        <v>164.05346844903301</v>
      </c>
      <c r="C5556" s="1">
        <v>43861</v>
      </c>
    </row>
    <row r="5557" spans="1:3">
      <c r="A5557" t="s">
        <v>127</v>
      </c>
      <c r="B5557">
        <v>5.3861795393207696</v>
      </c>
      <c r="C5557" s="1">
        <v>43861</v>
      </c>
    </row>
    <row r="5558" spans="1:3">
      <c r="A5558" t="s">
        <v>129</v>
      </c>
      <c r="B5558">
        <v>3.8534617820613901</v>
      </c>
      <c r="C5558" s="1">
        <v>43861</v>
      </c>
    </row>
    <row r="5559" spans="1:3">
      <c r="A5559" t="s">
        <v>131</v>
      </c>
      <c r="B5559">
        <v>2.2334077802604999</v>
      </c>
      <c r="C5559" s="1">
        <v>43861</v>
      </c>
    </row>
    <row r="5560" spans="1:3">
      <c r="A5560" t="s">
        <v>134</v>
      </c>
      <c r="B5560">
        <v>1.6587219573994301</v>
      </c>
      <c r="C5560" s="1">
        <v>43861</v>
      </c>
    </row>
    <row r="5561" spans="1:3">
      <c r="A5561" t="s">
        <v>136</v>
      </c>
      <c r="B5561">
        <v>7.8042601420087703</v>
      </c>
      <c r="C5561" s="1">
        <v>43861</v>
      </c>
    </row>
    <row r="5562" spans="1:3">
      <c r="A5562" t="s">
        <v>138</v>
      </c>
      <c r="B5562">
        <v>13.800460015340899</v>
      </c>
      <c r="C5562" s="1">
        <v>43861</v>
      </c>
    </row>
    <row r="5563" spans="1:3">
      <c r="A5563" t="s">
        <v>140</v>
      </c>
      <c r="B5563">
        <v>16.285876195881599</v>
      </c>
      <c r="C5563" s="1">
        <v>43861</v>
      </c>
    </row>
    <row r="5564" spans="1:3">
      <c r="A5564" t="s">
        <v>142</v>
      </c>
      <c r="B5564">
        <v>5.6035201173401497</v>
      </c>
      <c r="C5564" s="1">
        <v>43861</v>
      </c>
    </row>
    <row r="5565" spans="1:3">
      <c r="A5565" t="s">
        <v>144</v>
      </c>
      <c r="B5565">
        <v>4.0928030934385697</v>
      </c>
      <c r="C5565" s="1">
        <v>43861</v>
      </c>
    </row>
    <row r="5566" spans="1:3">
      <c r="A5566" t="s">
        <v>146</v>
      </c>
      <c r="B5566">
        <v>2.5420847361591901</v>
      </c>
      <c r="C5566" s="1">
        <v>43861</v>
      </c>
    </row>
    <row r="5567" spans="1:3">
      <c r="A5567" t="s">
        <v>148</v>
      </c>
      <c r="B5567">
        <v>10.4990166338932</v>
      </c>
      <c r="C5567" s="1">
        <v>43861</v>
      </c>
    </row>
    <row r="5568" spans="1:3">
      <c r="A5568" t="s">
        <v>150</v>
      </c>
      <c r="B5568">
        <v>5.1601720057362002</v>
      </c>
      <c r="C5568" s="1">
        <v>43861</v>
      </c>
    </row>
    <row r="5569" spans="1:3">
      <c r="A5569" t="s">
        <v>152</v>
      </c>
      <c r="B5569">
        <v>20.252675089180102</v>
      </c>
      <c r="C5569" s="1">
        <v>43861</v>
      </c>
    </row>
    <row r="5570" spans="1:3">
      <c r="A5570" t="s">
        <v>154</v>
      </c>
      <c r="B5570">
        <v>13.133771125710901</v>
      </c>
      <c r="C5570" s="1">
        <v>43861</v>
      </c>
    </row>
    <row r="5571" spans="1:3">
      <c r="A5571" t="s">
        <v>156</v>
      </c>
      <c r="B5571">
        <v>15.9451981732807</v>
      </c>
      <c r="C5571" s="1">
        <v>43861</v>
      </c>
    </row>
    <row r="5572" spans="1:3">
      <c r="A5572" t="s">
        <v>158</v>
      </c>
      <c r="B5572">
        <v>79.969332311118393</v>
      </c>
      <c r="C5572" s="1">
        <v>43861</v>
      </c>
    </row>
    <row r="5573" spans="1:3">
      <c r="A5573" t="s">
        <v>160</v>
      </c>
      <c r="B5573">
        <v>13.0477682589487</v>
      </c>
      <c r="C5573" s="1">
        <v>43861</v>
      </c>
    </row>
    <row r="5574" spans="1:3">
      <c r="A5574" t="s">
        <v>162</v>
      </c>
      <c r="B5574">
        <v>9.4336477882644996</v>
      </c>
      <c r="C5574" s="1">
        <v>43861</v>
      </c>
    </row>
    <row r="5575" spans="1:3">
      <c r="A5575" t="s">
        <v>164</v>
      </c>
      <c r="B5575">
        <v>6.5195506516917696</v>
      </c>
      <c r="C5575" s="1">
        <v>43861</v>
      </c>
    </row>
    <row r="5576" spans="1:3">
      <c r="A5576" t="s">
        <v>166</v>
      </c>
      <c r="B5576">
        <v>6.2268742291442001</v>
      </c>
      <c r="C5576" s="1">
        <v>43861</v>
      </c>
    </row>
    <row r="5577" spans="1:3">
      <c r="A5577" t="s">
        <v>168</v>
      </c>
      <c r="B5577">
        <v>11.261042034740299</v>
      </c>
      <c r="C5577" s="1">
        <v>43861</v>
      </c>
    </row>
    <row r="5578" spans="1:3">
      <c r="A5578" t="s">
        <v>4</v>
      </c>
      <c r="B5578">
        <v>0.15128881543411901</v>
      </c>
      <c r="C5578" s="1">
        <v>43890</v>
      </c>
    </row>
    <row r="5579" spans="1:3">
      <c r="A5579" t="s">
        <v>8</v>
      </c>
      <c r="B5579">
        <v>19.431077773908299</v>
      </c>
      <c r="C5579" s="1">
        <v>43890</v>
      </c>
    </row>
    <row r="5580" spans="1:3">
      <c r="A5580" t="s">
        <v>11</v>
      </c>
      <c r="B5580">
        <v>38.641578997582798</v>
      </c>
      <c r="C5580" s="1">
        <v>43890</v>
      </c>
    </row>
    <row r="5581" spans="1:3">
      <c r="A5581" t="s">
        <v>14</v>
      </c>
      <c r="B5581">
        <v>4.9709182214067997</v>
      </c>
      <c r="C5581" s="1">
        <v>43890</v>
      </c>
    </row>
    <row r="5582" spans="1:3">
      <c r="A5582" t="s">
        <v>17</v>
      </c>
      <c r="B5582">
        <v>6.6236531799308001</v>
      </c>
      <c r="C5582" s="1">
        <v>43890</v>
      </c>
    </row>
    <row r="5583" spans="1:3">
      <c r="A5583" t="s">
        <v>20</v>
      </c>
      <c r="B5583">
        <v>0.58799224485949997</v>
      </c>
      <c r="C5583" s="1">
        <v>43890</v>
      </c>
    </row>
    <row r="5584" spans="1:3">
      <c r="A5584" t="s">
        <v>24</v>
      </c>
      <c r="B5584">
        <v>0.72529637987534001</v>
      </c>
      <c r="C5584" s="1">
        <v>43890</v>
      </c>
    </row>
    <row r="5585" spans="1:3">
      <c r="A5585" t="s">
        <v>27</v>
      </c>
      <c r="B5585">
        <v>22.461939420924601</v>
      </c>
      <c r="C5585" s="1">
        <v>43890</v>
      </c>
    </row>
    <row r="5586" spans="1:3">
      <c r="A5586" t="s">
        <v>29</v>
      </c>
      <c r="B5586">
        <v>1.4175380605801999</v>
      </c>
      <c r="C5586" s="1">
        <v>43890</v>
      </c>
    </row>
    <row r="5587" spans="1:3">
      <c r="A5587" t="s">
        <v>32</v>
      </c>
      <c r="B5587">
        <v>6.97136318851258</v>
      </c>
      <c r="C5587" s="1">
        <v>43890</v>
      </c>
    </row>
    <row r="5588" spans="1:3">
      <c r="A5588" t="s">
        <v>35</v>
      </c>
      <c r="B5588">
        <v>2.55093284175262</v>
      </c>
      <c r="C5588" s="1">
        <v>43890</v>
      </c>
    </row>
    <row r="5589" spans="1:3">
      <c r="A5589" t="s">
        <v>37</v>
      </c>
      <c r="B5589">
        <v>0.15764548835151901</v>
      </c>
      <c r="C5589" s="1">
        <v>43890</v>
      </c>
    </row>
    <row r="5590" spans="1:3">
      <c r="A5590" t="s">
        <v>39</v>
      </c>
      <c r="B5590">
        <v>1.3349013126539999</v>
      </c>
      <c r="C5590" s="1">
        <v>43890</v>
      </c>
    </row>
    <row r="5591" spans="1:3">
      <c r="A5591" t="s">
        <v>42</v>
      </c>
      <c r="B5591">
        <v>1.8116517814589901</v>
      </c>
      <c r="C5591" s="1">
        <v>43890</v>
      </c>
    </row>
    <row r="5592" spans="1:3">
      <c r="A5592" t="s">
        <v>44</v>
      </c>
      <c r="B5592">
        <v>7.1194736674880001</v>
      </c>
      <c r="C5592" s="1">
        <v>43890</v>
      </c>
    </row>
    <row r="5593" spans="1:3">
      <c r="A5593" t="s">
        <v>47</v>
      </c>
      <c r="B5593">
        <v>6.3566729174000001</v>
      </c>
      <c r="C5593" s="1">
        <v>43890</v>
      </c>
    </row>
    <row r="5594" spans="1:3">
      <c r="A5594" t="s">
        <v>49</v>
      </c>
      <c r="B5594">
        <v>10.4249435845359</v>
      </c>
      <c r="C5594" s="1">
        <v>43890</v>
      </c>
    </row>
    <row r="5595" spans="1:3">
      <c r="A5595" t="s">
        <v>51</v>
      </c>
      <c r="B5595">
        <v>0.93188824969083905</v>
      </c>
      <c r="C5595" s="1">
        <v>43890</v>
      </c>
    </row>
    <row r="5596" spans="1:3">
      <c r="A5596" t="s">
        <v>53</v>
      </c>
      <c r="B5596">
        <v>0.748180402377979</v>
      </c>
      <c r="C5596" s="1">
        <v>43890</v>
      </c>
    </row>
    <row r="5597" spans="1:3">
      <c r="A5597" t="s">
        <v>55</v>
      </c>
      <c r="B5597">
        <v>2.5000794584134098</v>
      </c>
      <c r="C5597" s="1">
        <v>43890</v>
      </c>
    </row>
    <row r="5598" spans="1:3">
      <c r="A5598" t="s">
        <v>57</v>
      </c>
      <c r="B5598">
        <v>1.6578202968579101</v>
      </c>
      <c r="C5598" s="1">
        <v>43890</v>
      </c>
    </row>
    <row r="5599" spans="1:3">
      <c r="A5599" t="s">
        <v>59</v>
      </c>
      <c r="B5599">
        <v>3.65572259479673</v>
      </c>
      <c r="C5599" s="1">
        <v>43890</v>
      </c>
    </row>
    <row r="5600" spans="1:3">
      <c r="A5600" t="s">
        <v>61</v>
      </c>
      <c r="B5600">
        <v>82.636112258908199</v>
      </c>
      <c r="C5600" s="1">
        <v>43890</v>
      </c>
    </row>
    <row r="5601" spans="1:3">
      <c r="A5601" t="s">
        <v>63</v>
      </c>
      <c r="B5601">
        <v>11.931475065959701</v>
      </c>
      <c r="C5601" s="1">
        <v>43890</v>
      </c>
    </row>
    <row r="5602" spans="1:3">
      <c r="A5602" t="s">
        <v>65</v>
      </c>
      <c r="B5602">
        <v>0.34516733941481997</v>
      </c>
      <c r="C5602" s="1">
        <v>43890</v>
      </c>
    </row>
    <row r="5603" spans="1:3">
      <c r="A5603" t="s">
        <v>67</v>
      </c>
      <c r="B5603">
        <v>6.1214760194561997</v>
      </c>
      <c r="C5603" s="1">
        <v>43890</v>
      </c>
    </row>
    <row r="5604" spans="1:3">
      <c r="A5604" t="s">
        <v>69</v>
      </c>
      <c r="B5604">
        <v>2.8560531417878199</v>
      </c>
      <c r="C5604" s="1">
        <v>43890</v>
      </c>
    </row>
    <row r="5605" spans="1:3">
      <c r="A5605" t="s">
        <v>71</v>
      </c>
      <c r="B5605">
        <v>0.58862791215124</v>
      </c>
      <c r="C5605" s="1">
        <v>43890</v>
      </c>
    </row>
    <row r="5606" spans="1:3">
      <c r="A5606" t="s">
        <v>73</v>
      </c>
      <c r="B5606">
        <v>1.1632711438842001</v>
      </c>
      <c r="C5606" s="1">
        <v>43890</v>
      </c>
    </row>
    <row r="5607" spans="1:3">
      <c r="A5607" t="s">
        <v>75</v>
      </c>
      <c r="B5607">
        <v>0.13221879668191999</v>
      </c>
      <c r="C5607" s="1">
        <v>43890</v>
      </c>
    </row>
    <row r="5608" spans="1:3">
      <c r="A5608" t="s">
        <v>77</v>
      </c>
      <c r="B5608">
        <v>1.1187744334623999</v>
      </c>
      <c r="C5608" s="1">
        <v>43890</v>
      </c>
    </row>
    <row r="5609" spans="1:3">
      <c r="A5609" t="s">
        <v>79</v>
      </c>
      <c r="B5609">
        <v>3.4071766837264001</v>
      </c>
      <c r="C5609" s="1">
        <v>43890</v>
      </c>
    </row>
    <row r="5610" spans="1:3">
      <c r="A5610" t="s">
        <v>81</v>
      </c>
      <c r="B5610">
        <v>6.2791215078077096</v>
      </c>
      <c r="C5610" s="1">
        <v>43890</v>
      </c>
    </row>
    <row r="5611" spans="1:3">
      <c r="A5611" t="s">
        <v>83</v>
      </c>
      <c r="B5611">
        <v>0.18561484918807999</v>
      </c>
      <c r="C5611" s="1">
        <v>43890</v>
      </c>
    </row>
    <row r="5612" spans="1:3">
      <c r="A5612" t="s">
        <v>85</v>
      </c>
      <c r="B5612">
        <v>2.8369831230356199</v>
      </c>
      <c r="C5612" s="1">
        <v>43890</v>
      </c>
    </row>
    <row r="5613" spans="1:3">
      <c r="A5613" t="s">
        <v>87</v>
      </c>
      <c r="B5613">
        <v>6.3566729174000001</v>
      </c>
      <c r="C5613" s="1">
        <v>43890</v>
      </c>
    </row>
    <row r="5614" spans="1:3">
      <c r="A5614" t="s">
        <v>89</v>
      </c>
      <c r="B5614">
        <v>4.62638654928372</v>
      </c>
      <c r="C5614" s="1">
        <v>43890</v>
      </c>
    </row>
    <row r="5615" spans="1:3">
      <c r="A5615" t="s">
        <v>91</v>
      </c>
      <c r="B5615">
        <v>15.891682293499899</v>
      </c>
      <c r="C5615" s="1">
        <v>43890</v>
      </c>
    </row>
    <row r="5616" spans="1:3">
      <c r="A5616" t="s">
        <v>93</v>
      </c>
      <c r="B5616">
        <v>10.297810126187899</v>
      </c>
      <c r="C5616" s="1">
        <v>43890</v>
      </c>
    </row>
    <row r="5617" spans="1:3">
      <c r="A5617" t="s">
        <v>95</v>
      </c>
      <c r="B5617">
        <v>0.27015859898950001</v>
      </c>
      <c r="C5617" s="1">
        <v>43890</v>
      </c>
    </row>
    <row r="5618" spans="1:3">
      <c r="A5618" t="s">
        <v>97</v>
      </c>
      <c r="B5618">
        <v>1.58980389664174</v>
      </c>
      <c r="C5618" s="1">
        <v>43890</v>
      </c>
    </row>
    <row r="5619" spans="1:3">
      <c r="A5619" t="s">
        <v>99</v>
      </c>
      <c r="B5619">
        <v>3.4771000858178001</v>
      </c>
      <c r="C5619" s="1">
        <v>43890</v>
      </c>
    </row>
    <row r="5620" spans="1:3">
      <c r="A5620" t="s">
        <v>101</v>
      </c>
      <c r="B5620">
        <v>6.0782506436178796</v>
      </c>
      <c r="C5620" s="1">
        <v>43890</v>
      </c>
    </row>
    <row r="5621" spans="1:3">
      <c r="A5621" t="s">
        <v>103</v>
      </c>
      <c r="B5621">
        <v>0.69732701903878003</v>
      </c>
      <c r="C5621" s="1">
        <v>43890</v>
      </c>
    </row>
    <row r="5622" spans="1:3">
      <c r="A5622" t="s">
        <v>105</v>
      </c>
      <c r="B5622">
        <v>9.4078759177519997E-2</v>
      </c>
      <c r="C5622" s="1">
        <v>43890</v>
      </c>
    </row>
    <row r="5623" spans="1:3">
      <c r="A5623" t="s">
        <v>107</v>
      </c>
      <c r="B5623">
        <v>2.0023519689809999</v>
      </c>
      <c r="C5623" s="1">
        <v>43890</v>
      </c>
    </row>
    <row r="5624" spans="1:3">
      <c r="A5624" t="s">
        <v>109</v>
      </c>
      <c r="B5624">
        <v>3.53113180561569</v>
      </c>
      <c r="C5624" s="1">
        <v>43890</v>
      </c>
    </row>
    <row r="5625" spans="1:3">
      <c r="A5625" t="s">
        <v>111</v>
      </c>
      <c r="B5625">
        <v>6.6242888472225303</v>
      </c>
      <c r="C5625" s="1">
        <v>43890</v>
      </c>
    </row>
    <row r="5626" spans="1:3">
      <c r="A5626" t="s">
        <v>113</v>
      </c>
      <c r="B5626">
        <v>7.9286781298730196</v>
      </c>
      <c r="C5626" s="1">
        <v>43890</v>
      </c>
    </row>
    <row r="5627" spans="1:3">
      <c r="A5627" t="s">
        <v>115</v>
      </c>
      <c r="B5627">
        <v>2.2725105679705</v>
      </c>
      <c r="C5627" s="1">
        <v>43890</v>
      </c>
    </row>
    <row r="5628" spans="1:3">
      <c r="A5628" t="s">
        <v>117</v>
      </c>
      <c r="B5628">
        <v>3.51142611957175</v>
      </c>
      <c r="C5628" s="1">
        <v>43890</v>
      </c>
    </row>
    <row r="5629" spans="1:3">
      <c r="A5629" t="s">
        <v>119</v>
      </c>
      <c r="B5629">
        <v>17.841273877266499</v>
      </c>
      <c r="C5629" s="1">
        <v>43890</v>
      </c>
    </row>
    <row r="5630" spans="1:3">
      <c r="A5630" t="s">
        <v>121</v>
      </c>
      <c r="B5630">
        <v>10.170676667839899</v>
      </c>
      <c r="C5630" s="1">
        <v>43890</v>
      </c>
    </row>
    <row r="5631" spans="1:3">
      <c r="A5631" t="s">
        <v>123</v>
      </c>
      <c r="B5631">
        <v>4.1305660617265199</v>
      </c>
      <c r="C5631" s="1">
        <v>43890</v>
      </c>
    </row>
    <row r="5632" spans="1:3">
      <c r="A5632" t="s">
        <v>125</v>
      </c>
      <c r="B5632">
        <v>151.34856815954299</v>
      </c>
      <c r="C5632" s="1">
        <v>43890</v>
      </c>
    </row>
    <row r="5633" spans="1:3">
      <c r="A5633" t="s">
        <v>127</v>
      </c>
      <c r="B5633">
        <v>4.6848679401237998</v>
      </c>
      <c r="C5633" s="1">
        <v>43890</v>
      </c>
    </row>
    <row r="5634" spans="1:3">
      <c r="A5634" t="s">
        <v>129</v>
      </c>
      <c r="B5634">
        <v>3.5037981120708799</v>
      </c>
      <c r="C5634" s="1">
        <v>43890</v>
      </c>
    </row>
    <row r="5635" spans="1:3">
      <c r="A5635" t="s">
        <v>131</v>
      </c>
      <c r="B5635">
        <v>1.9451419127244001</v>
      </c>
      <c r="C5635" s="1">
        <v>43890</v>
      </c>
    </row>
    <row r="5636" spans="1:3">
      <c r="A5636" t="s">
        <v>134</v>
      </c>
      <c r="B5636">
        <v>1.3546069986979301</v>
      </c>
      <c r="C5636" s="1">
        <v>43890</v>
      </c>
    </row>
    <row r="5637" spans="1:3">
      <c r="A5637" t="s">
        <v>136</v>
      </c>
      <c r="B5637">
        <v>7.1271016749888796</v>
      </c>
      <c r="C5637" s="1">
        <v>43890</v>
      </c>
    </row>
    <row r="5638" spans="1:3">
      <c r="A5638" t="s">
        <v>138</v>
      </c>
      <c r="B5638">
        <v>11.44201125132</v>
      </c>
      <c r="C5638" s="1">
        <v>43890</v>
      </c>
    </row>
    <row r="5639" spans="1:3">
      <c r="A5639" t="s">
        <v>140</v>
      </c>
      <c r="B5639">
        <v>14.969964720477</v>
      </c>
      <c r="C5639" s="1">
        <v>43890</v>
      </c>
    </row>
    <row r="5640" spans="1:3">
      <c r="A5640" t="s">
        <v>142</v>
      </c>
      <c r="B5640">
        <v>5.0135079299533798</v>
      </c>
      <c r="C5640" s="1">
        <v>43890</v>
      </c>
    </row>
    <row r="5641" spans="1:3">
      <c r="A5641" t="s">
        <v>144</v>
      </c>
      <c r="B5641">
        <v>3.5241394654065599</v>
      </c>
      <c r="C5641" s="1">
        <v>43890</v>
      </c>
    </row>
    <row r="5642" spans="1:3">
      <c r="A5642" t="s">
        <v>146</v>
      </c>
      <c r="B5642">
        <v>1.8548771572973199</v>
      </c>
      <c r="C5642" s="1">
        <v>43890</v>
      </c>
    </row>
    <row r="5643" spans="1:3">
      <c r="A5643" t="s">
        <v>148</v>
      </c>
      <c r="B5643">
        <v>9.4396592823389902</v>
      </c>
      <c r="C5643" s="1">
        <v>43890</v>
      </c>
    </row>
    <row r="5644" spans="1:3">
      <c r="A5644" t="s">
        <v>150</v>
      </c>
      <c r="B5644">
        <v>4.6403712297019997</v>
      </c>
      <c r="C5644" s="1">
        <v>43890</v>
      </c>
    </row>
    <row r="5645" spans="1:3">
      <c r="A5645" t="s">
        <v>152</v>
      </c>
      <c r="B5645">
        <v>17.6569303626619</v>
      </c>
      <c r="C5645" s="1">
        <v>43890</v>
      </c>
    </row>
    <row r="5646" spans="1:3">
      <c r="A5646" t="s">
        <v>154</v>
      </c>
      <c r="B5646">
        <v>9.6246384642353302</v>
      </c>
      <c r="C5646" s="1">
        <v>43890</v>
      </c>
    </row>
    <row r="5647" spans="1:3">
      <c r="A5647" t="s">
        <v>156</v>
      </c>
      <c r="B5647">
        <v>11.817054953446601</v>
      </c>
      <c r="C5647" s="1">
        <v>43890</v>
      </c>
    </row>
    <row r="5648" spans="1:3">
      <c r="A5648" t="s">
        <v>158</v>
      </c>
      <c r="B5648">
        <v>66.575978133097095</v>
      </c>
      <c r="C5648" s="1">
        <v>43890</v>
      </c>
    </row>
    <row r="5649" spans="1:3">
      <c r="A5649" t="s">
        <v>160</v>
      </c>
      <c r="B5649">
        <v>11.2265200394201</v>
      </c>
      <c r="C5649" s="1">
        <v>43890</v>
      </c>
    </row>
    <row r="5650" spans="1:3">
      <c r="A5650" t="s">
        <v>162</v>
      </c>
      <c r="B5650">
        <v>7.9235927915391002</v>
      </c>
      <c r="C5650" s="1">
        <v>43890</v>
      </c>
    </row>
    <row r="5651" spans="1:3">
      <c r="A5651" t="s">
        <v>164</v>
      </c>
      <c r="B5651">
        <v>5.86212376442628</v>
      </c>
      <c r="C5651" s="1">
        <v>43890</v>
      </c>
    </row>
    <row r="5652" spans="1:3">
      <c r="A5652" t="s">
        <v>166</v>
      </c>
      <c r="B5652">
        <v>5.1520833995526996</v>
      </c>
      <c r="C5652" s="1">
        <v>43890</v>
      </c>
    </row>
    <row r="5653" spans="1:3">
      <c r="A5653" t="s">
        <v>168</v>
      </c>
      <c r="B5653">
        <v>8.6762228649592608</v>
      </c>
      <c r="C5653" s="1">
        <v>43890</v>
      </c>
    </row>
    <row r="5654" spans="1:3">
      <c r="A5654" t="s">
        <v>4</v>
      </c>
      <c r="B5654">
        <v>0.11926091825229</v>
      </c>
      <c r="C5654" s="1">
        <v>43921</v>
      </c>
    </row>
    <row r="5655" spans="1:3">
      <c r="A5655" t="s">
        <v>8</v>
      </c>
      <c r="B5655">
        <v>16.983762597871799</v>
      </c>
      <c r="C5655" s="1">
        <v>43921</v>
      </c>
    </row>
    <row r="5656" spans="1:3">
      <c r="A5656" t="s">
        <v>11</v>
      </c>
      <c r="B5656">
        <v>33.519596864279698</v>
      </c>
      <c r="C5656" s="1">
        <v>43921</v>
      </c>
    </row>
    <row r="5657" spans="1:3">
      <c r="A5657" t="s">
        <v>14</v>
      </c>
      <c r="B5657">
        <v>1.84434490480302</v>
      </c>
      <c r="C5657" s="1">
        <v>43921</v>
      </c>
    </row>
    <row r="5658" spans="1:3">
      <c r="A5658" t="s">
        <v>17</v>
      </c>
      <c r="B5658">
        <v>5.4193729003000701</v>
      </c>
      <c r="C5658" s="1">
        <v>43921</v>
      </c>
    </row>
    <row r="5659" spans="1:3">
      <c r="A5659" t="s">
        <v>20</v>
      </c>
      <c r="B5659">
        <v>0.26203807390644002</v>
      </c>
      <c r="C5659" s="1">
        <v>43921</v>
      </c>
    </row>
    <row r="5660" spans="1:3">
      <c r="A5660" t="s">
        <v>24</v>
      </c>
      <c r="B5660">
        <v>0.40033594624594998</v>
      </c>
      <c r="C5660" s="1">
        <v>43921</v>
      </c>
    </row>
    <row r="5661" spans="1:3">
      <c r="A5661" t="s">
        <v>27</v>
      </c>
      <c r="B5661">
        <v>17.036394176818899</v>
      </c>
      <c r="C5661" s="1">
        <v>43921</v>
      </c>
    </row>
    <row r="5662" spans="1:3">
      <c r="A5662" t="s">
        <v>29</v>
      </c>
      <c r="B5662">
        <v>1.03359462485318</v>
      </c>
      <c r="C5662" s="1">
        <v>43921</v>
      </c>
    </row>
    <row r="5663" spans="1:3">
      <c r="A5663" t="s">
        <v>32</v>
      </c>
      <c r="B5663">
        <v>6.5515117580753301</v>
      </c>
      <c r="C5663" s="1">
        <v>43921</v>
      </c>
    </row>
    <row r="5664" spans="1:3">
      <c r="A5664" t="s">
        <v>35</v>
      </c>
      <c r="B5664">
        <v>2.4395296752358102</v>
      </c>
      <c r="C5664" s="1">
        <v>43921</v>
      </c>
    </row>
    <row r="5665" spans="1:3">
      <c r="A5665" t="s">
        <v>37</v>
      </c>
      <c r="B5665">
        <v>9.6304591264760001E-2</v>
      </c>
      <c r="C5665" s="1">
        <v>43921</v>
      </c>
    </row>
    <row r="5666" spans="1:3">
      <c r="A5666" t="s">
        <v>39</v>
      </c>
      <c r="B5666">
        <v>0.97984322507749999</v>
      </c>
      <c r="C5666" s="1">
        <v>43921</v>
      </c>
    </row>
    <row r="5667" spans="1:3">
      <c r="A5667" t="s">
        <v>42</v>
      </c>
      <c r="B5667">
        <v>1.399776035825</v>
      </c>
      <c r="C5667" s="1">
        <v>43921</v>
      </c>
    </row>
    <row r="5668" spans="1:3">
      <c r="A5668" t="s">
        <v>44</v>
      </c>
      <c r="B5668">
        <v>5.5425531914526696</v>
      </c>
      <c r="C5668" s="1">
        <v>43921</v>
      </c>
    </row>
    <row r="5669" spans="1:3">
      <c r="A5669" t="s">
        <v>47</v>
      </c>
      <c r="B5669">
        <v>5.6690929450912497</v>
      </c>
      <c r="C5669" s="1">
        <v>43921</v>
      </c>
    </row>
    <row r="5670" spans="1:3">
      <c r="A5670" t="s">
        <v>49</v>
      </c>
      <c r="B5670">
        <v>10.176371780447701</v>
      </c>
      <c r="C5670" s="1">
        <v>43921</v>
      </c>
    </row>
    <row r="5671" spans="1:3">
      <c r="A5671" t="s">
        <v>51</v>
      </c>
      <c r="B5671">
        <v>0.39641657334564001</v>
      </c>
      <c r="C5671" s="1">
        <v>43921</v>
      </c>
    </row>
    <row r="5672" spans="1:3">
      <c r="A5672" t="s">
        <v>53</v>
      </c>
      <c r="B5672">
        <v>0.3527435610279</v>
      </c>
      <c r="C5672" s="1">
        <v>43921</v>
      </c>
    </row>
    <row r="5673" spans="1:3">
      <c r="A5673" t="s">
        <v>55</v>
      </c>
      <c r="B5673">
        <v>1.7637178051394999</v>
      </c>
      <c r="C5673" s="1">
        <v>43921</v>
      </c>
    </row>
    <row r="5674" spans="1:3">
      <c r="A5674" t="s">
        <v>57</v>
      </c>
      <c r="B5674">
        <v>1.14949608061949</v>
      </c>
      <c r="C5674" s="1">
        <v>43921</v>
      </c>
    </row>
    <row r="5675" spans="1:3">
      <c r="A5675" t="s">
        <v>59</v>
      </c>
      <c r="B5675">
        <v>1.7917133258560001</v>
      </c>
      <c r="C5675" s="1">
        <v>43921</v>
      </c>
    </row>
    <row r="5676" spans="1:3">
      <c r="A5676" t="s">
        <v>61</v>
      </c>
      <c r="B5676">
        <v>49.27211646104</v>
      </c>
      <c r="C5676" s="1">
        <v>43921</v>
      </c>
    </row>
    <row r="5677" spans="1:3">
      <c r="A5677" t="s">
        <v>63</v>
      </c>
      <c r="B5677">
        <v>10.748600223893</v>
      </c>
      <c r="C5677" s="1">
        <v>43921</v>
      </c>
    </row>
    <row r="5678" spans="1:3">
      <c r="A5678" t="s">
        <v>65</v>
      </c>
      <c r="B5678">
        <v>0.13269876819620999</v>
      </c>
      <c r="C5678" s="1">
        <v>43921</v>
      </c>
    </row>
    <row r="5679" spans="1:3">
      <c r="A5679" t="s">
        <v>67</v>
      </c>
      <c r="B5679">
        <v>4.3650615901166798</v>
      </c>
      <c r="C5679" s="1">
        <v>43921</v>
      </c>
    </row>
    <row r="5680" spans="1:3">
      <c r="A5680" t="s">
        <v>69</v>
      </c>
      <c r="B5680">
        <v>1.39865621499634</v>
      </c>
      <c r="C5680" s="1">
        <v>43921</v>
      </c>
    </row>
    <row r="5681" spans="1:3">
      <c r="A5681" t="s">
        <v>71</v>
      </c>
      <c r="B5681">
        <v>0.41937290033316998</v>
      </c>
      <c r="C5681" s="1">
        <v>43921</v>
      </c>
    </row>
    <row r="5682" spans="1:3">
      <c r="A5682" t="s">
        <v>73</v>
      </c>
      <c r="B5682">
        <v>0.83986562149499999</v>
      </c>
      <c r="C5682" s="1">
        <v>43921</v>
      </c>
    </row>
    <row r="5683" spans="1:3">
      <c r="A5683" t="s">
        <v>75</v>
      </c>
      <c r="B5683">
        <v>6.326987681929E-2</v>
      </c>
      <c r="C5683" s="1">
        <v>43921</v>
      </c>
    </row>
    <row r="5684" spans="1:3">
      <c r="A5684" t="s">
        <v>77</v>
      </c>
      <c r="B5684">
        <v>0.72060470324270998</v>
      </c>
      <c r="C5684" s="1">
        <v>43921</v>
      </c>
    </row>
    <row r="5685" spans="1:3">
      <c r="A5685" t="s">
        <v>79</v>
      </c>
      <c r="B5685">
        <v>1.2877939529589999</v>
      </c>
      <c r="C5685" s="1">
        <v>43921</v>
      </c>
    </row>
    <row r="5686" spans="1:3">
      <c r="A5686" t="s">
        <v>81</v>
      </c>
      <c r="B5686">
        <v>4.4876819708549496</v>
      </c>
      <c r="C5686" s="1">
        <v>43921</v>
      </c>
    </row>
    <row r="5687" spans="1:3">
      <c r="A5687" t="s">
        <v>83</v>
      </c>
      <c r="B5687">
        <v>8.3986562149499996E-2</v>
      </c>
      <c r="C5687" s="1">
        <v>43921</v>
      </c>
    </row>
    <row r="5688" spans="1:3">
      <c r="A5688" t="s">
        <v>85</v>
      </c>
      <c r="B5688">
        <v>1.0638297872269999</v>
      </c>
      <c r="C5688" s="1">
        <v>43921</v>
      </c>
    </row>
    <row r="5689" spans="1:3">
      <c r="A5689" t="s">
        <v>87</v>
      </c>
      <c r="B5689">
        <v>5.1758118700665197</v>
      </c>
      <c r="C5689" s="1">
        <v>43921</v>
      </c>
    </row>
    <row r="5690" spans="1:3">
      <c r="A5690" t="s">
        <v>89</v>
      </c>
      <c r="B5690">
        <v>1.5375139977501799</v>
      </c>
      <c r="C5690" s="1">
        <v>43921</v>
      </c>
    </row>
    <row r="5691" spans="1:3">
      <c r="A5691" t="s">
        <v>91</v>
      </c>
      <c r="B5691">
        <v>15.0061590144583</v>
      </c>
      <c r="C5691" s="1">
        <v>43921</v>
      </c>
    </row>
    <row r="5692" spans="1:3">
      <c r="A5692" t="s">
        <v>93</v>
      </c>
      <c r="B5692">
        <v>7.4764837625484901</v>
      </c>
      <c r="C5692" s="1">
        <v>43921</v>
      </c>
    </row>
    <row r="5693" spans="1:3">
      <c r="A5693" t="s">
        <v>95</v>
      </c>
      <c r="B5693">
        <v>0.17077267637065</v>
      </c>
      <c r="C5693" s="1">
        <v>43921</v>
      </c>
    </row>
    <row r="5694" spans="1:3">
      <c r="A5694" t="s">
        <v>97</v>
      </c>
      <c r="B5694">
        <v>1.2805151175727101</v>
      </c>
      <c r="C5694" s="1">
        <v>43921</v>
      </c>
    </row>
    <row r="5695" spans="1:3">
      <c r="A5695" t="s">
        <v>99</v>
      </c>
      <c r="B5695">
        <v>3.079507278815</v>
      </c>
      <c r="C5695" s="1">
        <v>43921</v>
      </c>
    </row>
    <row r="5696" spans="1:3">
      <c r="A5696" t="s">
        <v>101</v>
      </c>
      <c r="B5696">
        <v>3.9658454646993899</v>
      </c>
      <c r="C5696" s="1">
        <v>43921</v>
      </c>
    </row>
    <row r="5697" spans="1:3">
      <c r="A5697" t="s">
        <v>103</v>
      </c>
      <c r="B5697">
        <v>0.55991041432999999</v>
      </c>
      <c r="C5697" s="1">
        <v>43921</v>
      </c>
    </row>
    <row r="5698" spans="1:3">
      <c r="A5698" t="s">
        <v>105</v>
      </c>
      <c r="B5698">
        <v>9.5184770436100005E-2</v>
      </c>
      <c r="C5698" s="1">
        <v>43921</v>
      </c>
    </row>
    <row r="5699" spans="1:3">
      <c r="A5699" t="s">
        <v>107</v>
      </c>
      <c r="B5699">
        <v>1.04983202686875</v>
      </c>
      <c r="C5699" s="1">
        <v>43921</v>
      </c>
    </row>
    <row r="5700" spans="1:3">
      <c r="A5700" t="s">
        <v>109</v>
      </c>
      <c r="B5700">
        <v>2.2144456886751498</v>
      </c>
      <c r="C5700" s="1">
        <v>43921</v>
      </c>
    </row>
    <row r="5701" spans="1:3">
      <c r="A5701" t="s">
        <v>111</v>
      </c>
      <c r="B5701">
        <v>4.1153415453255002</v>
      </c>
      <c r="C5701" s="1">
        <v>43921</v>
      </c>
    </row>
    <row r="5702" spans="1:3">
      <c r="A5702" t="s">
        <v>113</v>
      </c>
      <c r="B5702">
        <v>3.7889137737711098</v>
      </c>
      <c r="C5702" s="1">
        <v>43921</v>
      </c>
    </row>
    <row r="5703" spans="1:3">
      <c r="A5703" t="s">
        <v>115</v>
      </c>
      <c r="B5703">
        <v>1.5453527435508001</v>
      </c>
      <c r="C5703" s="1">
        <v>43921</v>
      </c>
    </row>
    <row r="5704" spans="1:3">
      <c r="A5704" t="s">
        <v>117</v>
      </c>
      <c r="B5704">
        <v>3.3930571108398002</v>
      </c>
      <c r="C5704" s="1">
        <v>43921</v>
      </c>
    </row>
    <row r="5705" spans="1:3">
      <c r="A5705" t="s">
        <v>119</v>
      </c>
      <c r="B5705">
        <v>15.6808510637259</v>
      </c>
      <c r="C5705" s="1">
        <v>43921</v>
      </c>
    </row>
    <row r="5706" spans="1:3">
      <c r="A5706" t="s">
        <v>121</v>
      </c>
      <c r="B5706">
        <v>6.87961926087271</v>
      </c>
      <c r="C5706" s="1">
        <v>43921</v>
      </c>
    </row>
    <row r="5707" spans="1:3">
      <c r="A5707" t="s">
        <v>123</v>
      </c>
      <c r="B5707">
        <v>2.86058230681197</v>
      </c>
      <c r="C5707" s="1">
        <v>43921</v>
      </c>
    </row>
    <row r="5708" spans="1:3">
      <c r="A5708" t="s">
        <v>125</v>
      </c>
      <c r="B5708">
        <v>142.984882417866</v>
      </c>
      <c r="C5708" s="1">
        <v>43921</v>
      </c>
    </row>
    <row r="5709" spans="1:3">
      <c r="A5709" t="s">
        <v>127</v>
      </c>
      <c r="B5709">
        <v>2.7094064949428698</v>
      </c>
      <c r="C5709" s="1">
        <v>43921</v>
      </c>
    </row>
    <row r="5710" spans="1:3">
      <c r="A5710" t="s">
        <v>129</v>
      </c>
      <c r="B5710">
        <v>2.2547592385069102</v>
      </c>
      <c r="C5710" s="1">
        <v>43921</v>
      </c>
    </row>
    <row r="5711" spans="1:3">
      <c r="A5711" t="s">
        <v>131</v>
      </c>
      <c r="B5711">
        <v>1.5615901455663701</v>
      </c>
      <c r="C5711" s="1">
        <v>43921</v>
      </c>
    </row>
    <row r="5712" spans="1:3">
      <c r="A5712" t="s">
        <v>134</v>
      </c>
      <c r="B5712">
        <v>0.68701007838290995</v>
      </c>
      <c r="C5712" s="1">
        <v>43921</v>
      </c>
    </row>
    <row r="5713" spans="1:3">
      <c r="A5713" t="s">
        <v>136</v>
      </c>
      <c r="B5713">
        <v>6.9988801791249999</v>
      </c>
      <c r="C5713" s="1">
        <v>43921</v>
      </c>
    </row>
    <row r="5714" spans="1:3">
      <c r="A5714" t="s">
        <v>138</v>
      </c>
      <c r="B5714">
        <v>8.1858902575045995</v>
      </c>
      <c r="C5714" s="1">
        <v>43921</v>
      </c>
    </row>
    <row r="5715" spans="1:3">
      <c r="A5715" t="s">
        <v>140</v>
      </c>
      <c r="B5715">
        <v>14.428891377284099</v>
      </c>
      <c r="C5715" s="1">
        <v>43921</v>
      </c>
    </row>
    <row r="5716" spans="1:3">
      <c r="A5716" t="s">
        <v>142</v>
      </c>
      <c r="B5716">
        <v>1.90313549830767</v>
      </c>
      <c r="C5716" s="1">
        <v>43921</v>
      </c>
    </row>
    <row r="5717" spans="1:3">
      <c r="A5717" t="s">
        <v>144</v>
      </c>
      <c r="B5717">
        <v>2.4266517357062201</v>
      </c>
      <c r="C5717" s="1">
        <v>43921</v>
      </c>
    </row>
    <row r="5718" spans="1:3">
      <c r="A5718" t="s">
        <v>146</v>
      </c>
      <c r="B5718">
        <v>1.175811870093</v>
      </c>
      <c r="C5718" s="1">
        <v>43921</v>
      </c>
    </row>
    <row r="5719" spans="1:3">
      <c r="A5719" t="s">
        <v>148</v>
      </c>
      <c r="B5719">
        <v>5.7374020156395096</v>
      </c>
      <c r="C5719" s="1">
        <v>43921</v>
      </c>
    </row>
    <row r="5720" spans="1:3">
      <c r="A5720" t="s">
        <v>150</v>
      </c>
      <c r="B5720">
        <v>3.94064949605453</v>
      </c>
      <c r="C5720" s="1">
        <v>43921</v>
      </c>
    </row>
    <row r="5721" spans="1:3">
      <c r="A5721" t="s">
        <v>152</v>
      </c>
      <c r="B5721">
        <v>17.8673012316846</v>
      </c>
      <c r="C5721" s="1">
        <v>43921</v>
      </c>
    </row>
    <row r="5722" spans="1:3">
      <c r="A5722" t="s">
        <v>154</v>
      </c>
      <c r="B5722">
        <v>10.358342665105001</v>
      </c>
      <c r="C5722" s="1">
        <v>43921</v>
      </c>
    </row>
    <row r="5723" spans="1:3">
      <c r="A5723" t="s">
        <v>156</v>
      </c>
      <c r="B5723">
        <v>2.0677491601206901</v>
      </c>
      <c r="C5723" s="1">
        <v>43921</v>
      </c>
    </row>
    <row r="5724" spans="1:3">
      <c r="A5724" t="s">
        <v>158</v>
      </c>
      <c r="B5724">
        <v>42.227883538354199</v>
      </c>
      <c r="C5724" s="1">
        <v>43921</v>
      </c>
    </row>
    <row r="5725" spans="1:3">
      <c r="A5725" t="s">
        <v>160</v>
      </c>
      <c r="B5725">
        <v>4.6282194848517797</v>
      </c>
      <c r="C5725" s="1">
        <v>43921</v>
      </c>
    </row>
    <row r="5726" spans="1:3">
      <c r="A5726" t="s">
        <v>162</v>
      </c>
      <c r="B5726">
        <v>4.2407614781354201</v>
      </c>
      <c r="C5726" s="1">
        <v>43921</v>
      </c>
    </row>
    <row r="5727" spans="1:3">
      <c r="A5727" t="s">
        <v>164</v>
      </c>
      <c r="B5727">
        <v>5.1668533034372404</v>
      </c>
      <c r="C5727" s="1">
        <v>43921</v>
      </c>
    </row>
    <row r="5728" spans="1:3">
      <c r="A5728" t="s">
        <v>166</v>
      </c>
      <c r="B5728">
        <v>3.62541993278675</v>
      </c>
      <c r="C5728" s="1">
        <v>43921</v>
      </c>
    </row>
    <row r="5729" spans="1:3">
      <c r="A5729" t="s">
        <v>168</v>
      </c>
      <c r="B5729">
        <v>5.6427771556177397</v>
      </c>
      <c r="C5729" s="1">
        <v>43921</v>
      </c>
    </row>
    <row r="5730" spans="1:3">
      <c r="A5730" t="s">
        <v>4</v>
      </c>
      <c r="B5730">
        <v>0.17261094473308</v>
      </c>
      <c r="C5730" s="1">
        <v>43951</v>
      </c>
    </row>
    <row r="5731" spans="1:3">
      <c r="A5731" t="s">
        <v>8</v>
      </c>
      <c r="B5731">
        <v>17.9613395046226</v>
      </c>
      <c r="C5731" s="1">
        <v>43951</v>
      </c>
    </row>
    <row r="5732" spans="1:3">
      <c r="A5732" t="s">
        <v>11</v>
      </c>
      <c r="B5732">
        <v>38.553226245855697</v>
      </c>
      <c r="C5732" s="1">
        <v>43951</v>
      </c>
    </row>
    <row r="5733" spans="1:3">
      <c r="A5733" t="s">
        <v>14</v>
      </c>
      <c r="B5733">
        <v>2.05717397224472</v>
      </c>
      <c r="C5733" s="1">
        <v>43951</v>
      </c>
    </row>
    <row r="5734" spans="1:3">
      <c r="A5734" t="s">
        <v>17</v>
      </c>
      <c r="B5734">
        <v>5.6727470732783196</v>
      </c>
      <c r="C5734" s="1">
        <v>43951</v>
      </c>
    </row>
    <row r="5735" spans="1:3">
      <c r="A5735" t="s">
        <v>20</v>
      </c>
      <c r="B5735">
        <v>0.29458208549083997</v>
      </c>
      <c r="C5735" s="1">
        <v>43951</v>
      </c>
    </row>
    <row r="5736" spans="1:3">
      <c r="A5736" t="s">
        <v>24</v>
      </c>
      <c r="B5736">
        <v>0.52872311462403998</v>
      </c>
      <c r="C5736" s="1">
        <v>43951</v>
      </c>
    </row>
    <row r="5737" spans="1:3">
      <c r="A5737" t="s">
        <v>27</v>
      </c>
      <c r="B5737">
        <v>17.919956439008399</v>
      </c>
      <c r="C5737" s="1">
        <v>43951</v>
      </c>
    </row>
    <row r="5738" spans="1:3">
      <c r="A5738" t="s">
        <v>29</v>
      </c>
      <c r="B5738">
        <v>0.97250204193463996</v>
      </c>
      <c r="C5738" s="1">
        <v>43951</v>
      </c>
    </row>
    <row r="5739" spans="1:3">
      <c r="A5739" t="s">
        <v>32</v>
      </c>
      <c r="B5739">
        <v>6.7095017697192798</v>
      </c>
      <c r="C5739" s="1">
        <v>43951</v>
      </c>
    </row>
    <row r="5740" spans="1:3">
      <c r="A5740" t="s">
        <v>35</v>
      </c>
      <c r="B5740">
        <v>2.4170977402843601</v>
      </c>
      <c r="C5740" s="1">
        <v>43951</v>
      </c>
    </row>
    <row r="5741" spans="1:3">
      <c r="A5741" t="s">
        <v>37</v>
      </c>
      <c r="B5741">
        <v>0.11543697250288</v>
      </c>
      <c r="C5741" s="1">
        <v>43951</v>
      </c>
    </row>
    <row r="5742" spans="1:3">
      <c r="A5742" t="s">
        <v>39</v>
      </c>
      <c r="B5742">
        <v>0.933841546426599</v>
      </c>
      <c r="C5742" s="1">
        <v>43951</v>
      </c>
    </row>
    <row r="5743" spans="1:3">
      <c r="A5743" t="s">
        <v>42</v>
      </c>
      <c r="B5743">
        <v>1.40865777294788</v>
      </c>
      <c r="C5743" s="1">
        <v>43951</v>
      </c>
    </row>
    <row r="5744" spans="1:3">
      <c r="A5744" t="s">
        <v>44</v>
      </c>
      <c r="B5744">
        <v>5.87040566298844</v>
      </c>
      <c r="C5744" s="1">
        <v>43951</v>
      </c>
    </row>
    <row r="5745" spans="1:3">
      <c r="A5745" t="s">
        <v>47</v>
      </c>
      <c r="B5745">
        <v>5.6003267084533999</v>
      </c>
      <c r="C5745" s="1">
        <v>43951</v>
      </c>
    </row>
    <row r="5746" spans="1:3">
      <c r="A5746" t="s">
        <v>49</v>
      </c>
      <c r="B5746">
        <v>9.6313640076931204</v>
      </c>
      <c r="C5746" s="1">
        <v>43951</v>
      </c>
    </row>
    <row r="5747" spans="1:3">
      <c r="A5747" t="s">
        <v>51</v>
      </c>
      <c r="B5747">
        <v>0.29458208549083997</v>
      </c>
      <c r="C5747" s="1">
        <v>43951</v>
      </c>
    </row>
    <row r="5748" spans="1:3">
      <c r="A5748" t="s">
        <v>53</v>
      </c>
      <c r="B5748">
        <v>0.35230057174227902</v>
      </c>
      <c r="C5748" s="1">
        <v>43951</v>
      </c>
    </row>
    <row r="5749" spans="1:3">
      <c r="A5749" t="s">
        <v>55</v>
      </c>
      <c r="B5749">
        <v>1.9684181867826001</v>
      </c>
      <c r="C5749" s="1">
        <v>43951</v>
      </c>
    </row>
    <row r="5750" spans="1:3">
      <c r="A5750" t="s">
        <v>57</v>
      </c>
      <c r="B5750">
        <v>1.12278791179688</v>
      </c>
      <c r="C5750" s="1">
        <v>43951</v>
      </c>
    </row>
    <row r="5751" spans="1:3">
      <c r="A5751" t="s">
        <v>59</v>
      </c>
      <c r="B5751">
        <v>1.95970596244276</v>
      </c>
      <c r="C5751" s="1">
        <v>43951</v>
      </c>
    </row>
    <row r="5752" spans="1:3">
      <c r="A5752" t="s">
        <v>61</v>
      </c>
      <c r="B5752">
        <v>49.115164715848003</v>
      </c>
      <c r="C5752" s="1">
        <v>43951</v>
      </c>
    </row>
    <row r="5753" spans="1:3">
      <c r="A5753" t="s">
        <v>63</v>
      </c>
      <c r="B5753">
        <v>10.527089572632899</v>
      </c>
      <c r="C5753" s="1">
        <v>43951</v>
      </c>
    </row>
    <row r="5754" spans="1:3">
      <c r="A5754" t="s">
        <v>65</v>
      </c>
      <c r="B5754">
        <v>0.12360468282148</v>
      </c>
      <c r="C5754" s="1">
        <v>43951</v>
      </c>
    </row>
    <row r="5755" spans="1:3">
      <c r="A5755" t="s">
        <v>67</v>
      </c>
      <c r="B5755">
        <v>5.2817860060279997</v>
      </c>
      <c r="C5755" s="1">
        <v>43951</v>
      </c>
    </row>
    <row r="5756" spans="1:3">
      <c r="A5756" t="s">
        <v>69</v>
      </c>
      <c r="B5756">
        <v>1.60577184863676</v>
      </c>
      <c r="C5756" s="1">
        <v>43951</v>
      </c>
    </row>
    <row r="5757" spans="1:3">
      <c r="A5757" t="s">
        <v>71</v>
      </c>
      <c r="B5757">
        <v>0.47644976858499999</v>
      </c>
      <c r="C5757" s="1">
        <v>43951</v>
      </c>
    </row>
    <row r="5758" spans="1:3">
      <c r="A5758" t="s">
        <v>73</v>
      </c>
      <c r="B5758">
        <v>0.84399673292199995</v>
      </c>
      <c r="C5758" s="1">
        <v>43951</v>
      </c>
    </row>
    <row r="5759" spans="1:3">
      <c r="A5759" t="s">
        <v>75</v>
      </c>
      <c r="B5759">
        <v>6.5341682548800004E-2</v>
      </c>
      <c r="C5759" s="1">
        <v>43951</v>
      </c>
    </row>
    <row r="5760" spans="1:3">
      <c r="A5760" t="s">
        <v>77</v>
      </c>
      <c r="B5760">
        <v>0.75850803158731905</v>
      </c>
      <c r="C5760" s="1">
        <v>43951</v>
      </c>
    </row>
    <row r="5761" spans="1:3">
      <c r="A5761" t="s">
        <v>79</v>
      </c>
      <c r="B5761">
        <v>2.2325074870839998</v>
      </c>
      <c r="C5761" s="1">
        <v>43951</v>
      </c>
    </row>
    <row r="5762" spans="1:3">
      <c r="A5762" t="s">
        <v>81</v>
      </c>
      <c r="B5762">
        <v>5.1565477811428</v>
      </c>
      <c r="C5762" s="1">
        <v>43951</v>
      </c>
    </row>
    <row r="5763" spans="1:3">
      <c r="A5763" t="s">
        <v>83</v>
      </c>
      <c r="B5763">
        <v>0.108902804248</v>
      </c>
      <c r="C5763" s="1">
        <v>43951</v>
      </c>
    </row>
    <row r="5764" spans="1:3">
      <c r="A5764" t="s">
        <v>85</v>
      </c>
      <c r="B5764">
        <v>1.0345766403559999</v>
      </c>
      <c r="C5764" s="1">
        <v>43951</v>
      </c>
    </row>
    <row r="5765" spans="1:3">
      <c r="A5765" t="s">
        <v>87</v>
      </c>
      <c r="B5765">
        <v>6.2967601416193597</v>
      </c>
      <c r="C5765" s="1">
        <v>43951</v>
      </c>
    </row>
    <row r="5766" spans="1:3">
      <c r="A5766" t="s">
        <v>89</v>
      </c>
      <c r="B5766">
        <v>1.23495780017232</v>
      </c>
      <c r="C5766" s="1">
        <v>43951</v>
      </c>
    </row>
    <row r="5767" spans="1:3">
      <c r="A5767" t="s">
        <v>91</v>
      </c>
      <c r="B5767">
        <v>14.9763136401849</v>
      </c>
      <c r="C5767" s="1">
        <v>43951</v>
      </c>
    </row>
    <row r="5768" spans="1:3">
      <c r="A5768" t="s">
        <v>93</v>
      </c>
      <c r="B5768">
        <v>8.1677103185999993</v>
      </c>
      <c r="C5768" s="1">
        <v>43951</v>
      </c>
    </row>
    <row r="5769" spans="1:3">
      <c r="A5769" t="s">
        <v>95</v>
      </c>
      <c r="B5769">
        <v>0.18840185134904</v>
      </c>
      <c r="C5769" s="1">
        <v>43951</v>
      </c>
    </row>
    <row r="5770" spans="1:3">
      <c r="A5770" t="s">
        <v>97</v>
      </c>
      <c r="B5770">
        <v>1.2817860059989501</v>
      </c>
      <c r="C5770" s="1">
        <v>43951</v>
      </c>
    </row>
    <row r="5771" spans="1:3">
      <c r="A5771" t="s">
        <v>99</v>
      </c>
      <c r="B5771">
        <v>3.3215355295640001</v>
      </c>
      <c r="C5771" s="1">
        <v>43951</v>
      </c>
    </row>
    <row r="5772" spans="1:3">
      <c r="A5772" t="s">
        <v>101</v>
      </c>
      <c r="B5772">
        <v>3.67546964337</v>
      </c>
      <c r="C5772" s="1">
        <v>43951</v>
      </c>
    </row>
    <row r="5773" spans="1:3">
      <c r="A5773" t="s">
        <v>103</v>
      </c>
      <c r="B5773">
        <v>0.52218894636916002</v>
      </c>
      <c r="C5773" s="1">
        <v>43951</v>
      </c>
    </row>
    <row r="5774" spans="1:3">
      <c r="A5774" t="s">
        <v>105</v>
      </c>
      <c r="B5774">
        <v>6.8064252655000004E-2</v>
      </c>
      <c r="C5774" s="1">
        <v>43951</v>
      </c>
    </row>
    <row r="5775" spans="1:3">
      <c r="A5775" t="s">
        <v>107</v>
      </c>
      <c r="B5775">
        <v>0.89844813504599996</v>
      </c>
      <c r="C5775" s="1">
        <v>43951</v>
      </c>
    </row>
    <row r="5776" spans="1:3">
      <c r="A5776" t="s">
        <v>109</v>
      </c>
      <c r="B5776">
        <v>3.7473454941736701</v>
      </c>
      <c r="C5776" s="1">
        <v>43951</v>
      </c>
    </row>
    <row r="5777" spans="1:3">
      <c r="A5777" t="s">
        <v>111</v>
      </c>
      <c r="B5777">
        <v>4.0288592431547601</v>
      </c>
      <c r="C5777" s="1">
        <v>43951</v>
      </c>
    </row>
    <row r="5778" spans="1:3">
      <c r="A5778" t="s">
        <v>113</v>
      </c>
      <c r="B5778">
        <v>3.9760413830944699</v>
      </c>
      <c r="C5778" s="1">
        <v>43951</v>
      </c>
    </row>
    <row r="5779" spans="1:3">
      <c r="A5779" t="s">
        <v>115</v>
      </c>
      <c r="B5779">
        <v>1.6602232507607599</v>
      </c>
      <c r="C5779" s="1">
        <v>43951</v>
      </c>
    </row>
    <row r="5780" spans="1:3">
      <c r="A5780" t="s">
        <v>117</v>
      </c>
      <c r="B5780">
        <v>3.1581813231920002</v>
      </c>
      <c r="C5780" s="1">
        <v>43951</v>
      </c>
    </row>
    <row r="5781" spans="1:3">
      <c r="A5781" t="s">
        <v>119</v>
      </c>
      <c r="B5781">
        <v>19.205554043155999</v>
      </c>
      <c r="C5781" s="1">
        <v>43951</v>
      </c>
    </row>
    <row r="5782" spans="1:3">
      <c r="A5782" t="s">
        <v>121</v>
      </c>
      <c r="B5782">
        <v>7.4598420909880003</v>
      </c>
      <c r="C5782" s="1">
        <v>43951</v>
      </c>
    </row>
    <row r="5783" spans="1:3">
      <c r="A5783" t="s">
        <v>123</v>
      </c>
      <c r="B5783">
        <v>3.22787911791072</v>
      </c>
      <c r="C5783" s="1">
        <v>43951</v>
      </c>
    </row>
    <row r="5784" spans="1:3">
      <c r="A5784" t="s">
        <v>125</v>
      </c>
      <c r="B5784">
        <v>157.84699156117799</v>
      </c>
      <c r="C5784" s="1">
        <v>43951</v>
      </c>
    </row>
    <row r="5785" spans="1:3">
      <c r="A5785" t="s">
        <v>127</v>
      </c>
      <c r="B5785">
        <v>2.64688265724764</v>
      </c>
      <c r="C5785" s="1">
        <v>43951</v>
      </c>
    </row>
    <row r="5786" spans="1:3">
      <c r="A5786" t="s">
        <v>129</v>
      </c>
      <c r="B5786">
        <v>2.2036482439582801</v>
      </c>
      <c r="C5786" s="1">
        <v>43951</v>
      </c>
    </row>
    <row r="5787" spans="1:3">
      <c r="A5787" t="s">
        <v>131</v>
      </c>
      <c r="B5787">
        <v>1.3231690716132001</v>
      </c>
      <c r="C5787" s="1">
        <v>43951</v>
      </c>
    </row>
    <row r="5788" spans="1:3">
      <c r="A5788" t="s">
        <v>134</v>
      </c>
      <c r="B5788">
        <v>0.76231962973599998</v>
      </c>
      <c r="C5788" s="1">
        <v>43951</v>
      </c>
    </row>
    <row r="5789" spans="1:3">
      <c r="A5789" t="s">
        <v>136</v>
      </c>
      <c r="B5789">
        <v>5.8333787095441201</v>
      </c>
      <c r="C5789" s="1">
        <v>43951</v>
      </c>
    </row>
    <row r="5790" spans="1:3">
      <c r="A5790" t="s">
        <v>138</v>
      </c>
      <c r="B5790">
        <v>8.1976585897681993</v>
      </c>
      <c r="C5790" s="1">
        <v>43951</v>
      </c>
    </row>
    <row r="5791" spans="1:3">
      <c r="A5791" t="s">
        <v>140</v>
      </c>
      <c r="B5791">
        <v>12.562482984028</v>
      </c>
      <c r="C5791" s="1">
        <v>43951</v>
      </c>
    </row>
    <row r="5792" spans="1:3">
      <c r="A5792" t="s">
        <v>142</v>
      </c>
      <c r="B5792">
        <v>2.0903893275403602</v>
      </c>
      <c r="C5792" s="1">
        <v>43951</v>
      </c>
    </row>
    <row r="5793" spans="1:3">
      <c r="A5793" t="s">
        <v>144</v>
      </c>
      <c r="B5793">
        <v>2.1775115709387598</v>
      </c>
      <c r="C5793" s="1">
        <v>43951</v>
      </c>
    </row>
    <row r="5794" spans="1:3">
      <c r="A5794" t="s">
        <v>146</v>
      </c>
      <c r="B5794">
        <v>1.2251565477899999</v>
      </c>
      <c r="C5794" s="1">
        <v>43951</v>
      </c>
    </row>
    <row r="5795" spans="1:3">
      <c r="A5795" t="s">
        <v>148</v>
      </c>
      <c r="B5795">
        <v>5.5611216989241097</v>
      </c>
      <c r="C5795" s="1">
        <v>43951</v>
      </c>
    </row>
    <row r="5796" spans="1:3">
      <c r="A5796" t="s">
        <v>150</v>
      </c>
      <c r="B5796">
        <v>4.2853253471587998</v>
      </c>
      <c r="C5796" s="1">
        <v>43951</v>
      </c>
    </row>
    <row r="5797" spans="1:3">
      <c r="A5797" t="s">
        <v>152</v>
      </c>
      <c r="B5797">
        <v>25.303566567022798</v>
      </c>
      <c r="C5797" s="1">
        <v>43951</v>
      </c>
    </row>
    <row r="5798" spans="1:3">
      <c r="A5798" t="s">
        <v>154</v>
      </c>
      <c r="B5798">
        <v>9.8339232235944003</v>
      </c>
      <c r="C5798" s="1">
        <v>43951</v>
      </c>
    </row>
    <row r="5799" spans="1:3">
      <c r="A5799" t="s">
        <v>156</v>
      </c>
      <c r="B5799">
        <v>4.7514293493402402</v>
      </c>
      <c r="C5799" s="1">
        <v>43951</v>
      </c>
    </row>
    <row r="5800" spans="1:3">
      <c r="A5800" t="s">
        <v>158</v>
      </c>
      <c r="B5800">
        <v>53.173427716149703</v>
      </c>
      <c r="C5800" s="1">
        <v>43951</v>
      </c>
    </row>
    <row r="5801" spans="1:3">
      <c r="A5801" t="s">
        <v>160</v>
      </c>
      <c r="B5801">
        <v>5.8377348217140401</v>
      </c>
      <c r="C5801" s="1">
        <v>43951</v>
      </c>
    </row>
    <row r="5802" spans="1:3">
      <c r="A5802" t="s">
        <v>162</v>
      </c>
      <c r="B5802">
        <v>6.1094473183128004</v>
      </c>
      <c r="C5802" s="1">
        <v>43951</v>
      </c>
    </row>
    <row r="5803" spans="1:3">
      <c r="A5803" t="s">
        <v>164</v>
      </c>
      <c r="B5803">
        <v>7.7222978492256704</v>
      </c>
      <c r="C5803" s="1">
        <v>43951</v>
      </c>
    </row>
    <row r="5804" spans="1:3">
      <c r="A5804" t="s">
        <v>166</v>
      </c>
      <c r="B5804">
        <v>3.7005172883470299</v>
      </c>
      <c r="C5804" s="1">
        <v>43951</v>
      </c>
    </row>
    <row r="5805" spans="1:3">
      <c r="A5805" t="s">
        <v>168</v>
      </c>
      <c r="B5805">
        <v>7.4233596515649198</v>
      </c>
      <c r="C5805" s="1">
        <v>43951</v>
      </c>
    </row>
    <row r="5806" spans="1:3">
      <c r="A5806" t="s">
        <v>4</v>
      </c>
      <c r="B5806">
        <v>0.18718625031809999</v>
      </c>
      <c r="C5806" s="1">
        <v>43982</v>
      </c>
    </row>
    <row r="5807" spans="1:3">
      <c r="A5807" t="s">
        <v>8</v>
      </c>
      <c r="B5807">
        <v>18.5995065088803</v>
      </c>
      <c r="C5807" s="1">
        <v>43982</v>
      </c>
    </row>
    <row r="5808" spans="1:3">
      <c r="A5808" t="s">
        <v>11</v>
      </c>
      <c r="B5808">
        <v>39.331801809263801</v>
      </c>
      <c r="C5808" s="1">
        <v>43982</v>
      </c>
    </row>
    <row r="5809" spans="1:3">
      <c r="A5809" t="s">
        <v>14</v>
      </c>
      <c r="B5809">
        <v>1.7725970674062499</v>
      </c>
      <c r="C5809" s="1">
        <v>43982</v>
      </c>
    </row>
    <row r="5810" spans="1:3">
      <c r="A5810" t="s">
        <v>17</v>
      </c>
      <c r="B5810">
        <v>5.7931308318144099</v>
      </c>
      <c r="C5810" s="1">
        <v>43982</v>
      </c>
    </row>
    <row r="5811" spans="1:3">
      <c r="A5811" t="s">
        <v>20</v>
      </c>
      <c r="B5811">
        <v>0.2722709095536</v>
      </c>
      <c r="C5811" s="1">
        <v>43982</v>
      </c>
    </row>
    <row r="5812" spans="1:3">
      <c r="A5812" t="s">
        <v>24</v>
      </c>
      <c r="B5812">
        <v>0.41861652343865902</v>
      </c>
      <c r="C5812" s="1">
        <v>43982</v>
      </c>
    </row>
    <row r="5813" spans="1:3">
      <c r="A5813" t="s">
        <v>27</v>
      </c>
      <c r="B5813">
        <v>20.735131455691299</v>
      </c>
      <c r="C5813" s="1">
        <v>43982</v>
      </c>
    </row>
    <row r="5814" spans="1:3">
      <c r="A5814" t="s">
        <v>29</v>
      </c>
      <c r="B5814">
        <v>1.0386000737346699</v>
      </c>
      <c r="C5814" s="1">
        <v>43982</v>
      </c>
    </row>
    <row r="5815" spans="1:3">
      <c r="A5815" t="s">
        <v>32</v>
      </c>
      <c r="B5815">
        <v>7.1601576901981101</v>
      </c>
      <c r="C5815" s="1">
        <v>43982</v>
      </c>
    </row>
    <row r="5816" spans="1:3">
      <c r="A5816" t="s">
        <v>35</v>
      </c>
      <c r="B5816">
        <v>2.4646189625216501</v>
      </c>
      <c r="C5816" s="1">
        <v>43982</v>
      </c>
    </row>
    <row r="5817" spans="1:3">
      <c r="A5817" t="s">
        <v>37</v>
      </c>
      <c r="B5817">
        <v>0.14350945857720901</v>
      </c>
      <c r="C5817" s="1">
        <v>43982</v>
      </c>
    </row>
    <row r="5818" spans="1:3">
      <c r="A5818" t="s">
        <v>39</v>
      </c>
      <c r="B5818">
        <v>1.0522136192123499</v>
      </c>
      <c r="C5818" s="1">
        <v>43982</v>
      </c>
    </row>
    <row r="5819" spans="1:3">
      <c r="A5819" t="s">
        <v>42</v>
      </c>
      <c r="B5819">
        <v>1.758416290867</v>
      </c>
      <c r="C5819" s="1">
        <v>43982</v>
      </c>
    </row>
    <row r="5820" spans="1:3">
      <c r="A5820" t="s">
        <v>44</v>
      </c>
      <c r="B5820">
        <v>7.0296945460370104</v>
      </c>
      <c r="C5820" s="1">
        <v>43982</v>
      </c>
    </row>
    <row r="5821" spans="1:3">
      <c r="A5821" t="s">
        <v>47</v>
      </c>
      <c r="B5821">
        <v>6.7784111857614997</v>
      </c>
      <c r="C5821" s="1">
        <v>43982</v>
      </c>
    </row>
    <row r="5822" spans="1:3">
      <c r="A5822" t="s">
        <v>49</v>
      </c>
      <c r="B5822">
        <v>9.9373209676448298</v>
      </c>
      <c r="C5822" s="1">
        <v>43982</v>
      </c>
    </row>
    <row r="5823" spans="1:3">
      <c r="A5823" t="s">
        <v>51</v>
      </c>
      <c r="B5823">
        <v>0.34998156498868999</v>
      </c>
      <c r="C5823" s="1">
        <v>43982</v>
      </c>
    </row>
    <row r="5824" spans="1:3">
      <c r="A5824" t="s">
        <v>53</v>
      </c>
      <c r="B5824">
        <v>0.31708216341762901</v>
      </c>
      <c r="C5824" s="1">
        <v>43982</v>
      </c>
    </row>
    <row r="5825" spans="1:3">
      <c r="A5825" t="s">
        <v>55</v>
      </c>
      <c r="B5825">
        <v>2.1730621968746702</v>
      </c>
      <c r="C5825" s="1">
        <v>43982</v>
      </c>
    </row>
    <row r="5826" spans="1:3">
      <c r="A5826" t="s">
        <v>57</v>
      </c>
      <c r="B5826">
        <v>1.01534360021029</v>
      </c>
      <c r="C5826" s="1">
        <v>43982</v>
      </c>
    </row>
    <row r="5827" spans="1:3">
      <c r="A5827" t="s">
        <v>59</v>
      </c>
      <c r="B5827">
        <v>2.11293570434824</v>
      </c>
      <c r="C5827" s="1">
        <v>43982</v>
      </c>
    </row>
    <row r="5828" spans="1:3">
      <c r="A5828" t="s">
        <v>61</v>
      </c>
      <c r="B5828">
        <v>47.974701494405799</v>
      </c>
      <c r="C5828" s="1">
        <v>43982</v>
      </c>
    </row>
    <row r="5829" spans="1:3">
      <c r="A5829" t="s">
        <v>63</v>
      </c>
      <c r="B5829">
        <v>8.7455685072862597</v>
      </c>
      <c r="C5829" s="1">
        <v>43982</v>
      </c>
    </row>
    <row r="5830" spans="1:3">
      <c r="A5830" t="s">
        <v>65</v>
      </c>
      <c r="B5830">
        <v>0.10890836382143999</v>
      </c>
      <c r="C5830" s="1">
        <v>43982</v>
      </c>
    </row>
    <row r="5831" spans="1:3">
      <c r="A5831" t="s">
        <v>67</v>
      </c>
      <c r="B5831">
        <v>5.5730451799252503</v>
      </c>
      <c r="C5831" s="1">
        <v>43982</v>
      </c>
    </row>
    <row r="5832" spans="1:3">
      <c r="A5832" t="s">
        <v>69</v>
      </c>
      <c r="B5832">
        <v>1.7771349158988099</v>
      </c>
      <c r="C5832" s="1">
        <v>43982</v>
      </c>
    </row>
    <row r="5833" spans="1:3">
      <c r="A5833" t="s">
        <v>71</v>
      </c>
      <c r="B5833">
        <v>0.33523355738786997</v>
      </c>
      <c r="C5833" s="1">
        <v>43982</v>
      </c>
    </row>
    <row r="5834" spans="1:3">
      <c r="A5834" t="s">
        <v>73</v>
      </c>
      <c r="B5834">
        <v>0.80716980061411003</v>
      </c>
      <c r="C5834" s="1">
        <v>43982</v>
      </c>
    </row>
    <row r="5835" spans="1:3">
      <c r="A5835" t="s">
        <v>75</v>
      </c>
      <c r="B5835">
        <v>5.6155875095429998E-2</v>
      </c>
      <c r="C5835" s="1">
        <v>43982</v>
      </c>
    </row>
    <row r="5836" spans="1:3">
      <c r="A5836" t="s">
        <v>77</v>
      </c>
      <c r="B5836">
        <v>0.70790436483936003</v>
      </c>
      <c r="C5836" s="1">
        <v>43982</v>
      </c>
    </row>
    <row r="5837" spans="1:3">
      <c r="A5837" t="s">
        <v>79</v>
      </c>
      <c r="B5837">
        <v>1.9569471624165</v>
      </c>
      <c r="C5837" s="1">
        <v>43982</v>
      </c>
    </row>
    <row r="5838" spans="1:3">
      <c r="A5838" t="s">
        <v>81</v>
      </c>
      <c r="B5838">
        <v>5.4340735698405904</v>
      </c>
      <c r="C5838" s="1">
        <v>43982</v>
      </c>
    </row>
    <row r="5839" spans="1:3">
      <c r="A5839" t="s">
        <v>83</v>
      </c>
      <c r="B5839">
        <v>0.12252190929912</v>
      </c>
      <c r="C5839" s="1">
        <v>43982</v>
      </c>
    </row>
    <row r="5840" spans="1:3">
      <c r="A5840" t="s">
        <v>85</v>
      </c>
      <c r="B5840">
        <v>0.96712895997685</v>
      </c>
      <c r="C5840" s="1">
        <v>43982</v>
      </c>
    </row>
    <row r="5841" spans="1:3">
      <c r="A5841" t="s">
        <v>87</v>
      </c>
      <c r="B5841">
        <v>7.9230834680097599</v>
      </c>
      <c r="C5841" s="1">
        <v>43982</v>
      </c>
    </row>
    <row r="5842" spans="1:3">
      <c r="A5842" t="s">
        <v>89</v>
      </c>
      <c r="B5842">
        <v>1.12028134660075</v>
      </c>
      <c r="C5842" s="1">
        <v>43982</v>
      </c>
    </row>
    <row r="5843" spans="1:3">
      <c r="A5843" t="s">
        <v>91</v>
      </c>
      <c r="B5843">
        <v>15.31523866239</v>
      </c>
      <c r="C5843" s="1">
        <v>43982</v>
      </c>
    </row>
    <row r="5844" spans="1:3">
      <c r="A5844" t="s">
        <v>93</v>
      </c>
      <c r="B5844">
        <v>6.6485152726619603</v>
      </c>
      <c r="C5844" s="1">
        <v>43982</v>
      </c>
    </row>
    <row r="5845" spans="1:3">
      <c r="A5845" t="s">
        <v>95</v>
      </c>
      <c r="B5845">
        <v>0.17357270484042001</v>
      </c>
      <c r="C5845" s="1">
        <v>43982</v>
      </c>
    </row>
    <row r="5846" spans="1:3">
      <c r="A5846" t="s">
        <v>97</v>
      </c>
      <c r="B5846">
        <v>0.85141382341657001</v>
      </c>
      <c r="C5846" s="1">
        <v>43982</v>
      </c>
    </row>
    <row r="5847" spans="1:3">
      <c r="A5847" t="s">
        <v>99</v>
      </c>
      <c r="B5847">
        <v>3.2899401571059999</v>
      </c>
      <c r="C5847" s="1">
        <v>43982</v>
      </c>
    </row>
    <row r="5848" spans="1:3">
      <c r="A5848" t="s">
        <v>101</v>
      </c>
      <c r="B5848">
        <v>3.2905073881675699</v>
      </c>
      <c r="C5848" s="1">
        <v>43982</v>
      </c>
    </row>
    <row r="5849" spans="1:3">
      <c r="A5849" t="s">
        <v>103</v>
      </c>
      <c r="B5849">
        <v>0.52468873195224996</v>
      </c>
      <c r="C5849" s="1">
        <v>43982</v>
      </c>
    </row>
    <row r="5850" spans="1:3">
      <c r="A5850" t="s">
        <v>105</v>
      </c>
      <c r="B5850">
        <v>3.9138943248329998E-2</v>
      </c>
      <c r="C5850" s="1">
        <v>43982</v>
      </c>
    </row>
    <row r="5851" spans="1:3">
      <c r="A5851" t="s">
        <v>107</v>
      </c>
      <c r="B5851">
        <v>0.47250347428780998</v>
      </c>
      <c r="C5851" s="1">
        <v>43982</v>
      </c>
    </row>
    <row r="5852" spans="1:3">
      <c r="A5852" t="s">
        <v>109</v>
      </c>
      <c r="B5852">
        <v>3.2559062934117899</v>
      </c>
      <c r="C5852" s="1">
        <v>43982</v>
      </c>
    </row>
    <row r="5853" spans="1:3">
      <c r="A5853" t="s">
        <v>111</v>
      </c>
      <c r="B5853">
        <v>4.1124251963824996</v>
      </c>
      <c r="C5853" s="1">
        <v>43982</v>
      </c>
    </row>
    <row r="5854" spans="1:3">
      <c r="A5854" t="s">
        <v>113</v>
      </c>
      <c r="B5854">
        <v>3.5429252105662199</v>
      </c>
      <c r="C5854" s="1">
        <v>43982</v>
      </c>
    </row>
    <row r="5855" spans="1:3">
      <c r="A5855" t="s">
        <v>115</v>
      </c>
      <c r="B5855">
        <v>1.6404322300604399</v>
      </c>
      <c r="C5855" s="1">
        <v>43982</v>
      </c>
    </row>
    <row r="5856" spans="1:3">
      <c r="A5856" t="s">
        <v>117</v>
      </c>
      <c r="B5856">
        <v>3.0227743271065299</v>
      </c>
      <c r="C5856" s="1">
        <v>43982</v>
      </c>
    </row>
    <row r="5857" spans="1:3">
      <c r="A5857" t="s">
        <v>119</v>
      </c>
      <c r="B5857">
        <v>26.904903712388201</v>
      </c>
      <c r="C5857" s="1">
        <v>43982</v>
      </c>
    </row>
    <row r="5858" spans="1:3">
      <c r="A5858" t="s">
        <v>121</v>
      </c>
      <c r="B5858">
        <v>7.8822428315767201</v>
      </c>
      <c r="C5858" s="1">
        <v>43982</v>
      </c>
    </row>
    <row r="5859" spans="1:3">
      <c r="A5859" t="s">
        <v>123</v>
      </c>
      <c r="B5859">
        <v>3.2088261153014899</v>
      </c>
      <c r="C5859" s="1">
        <v>43982</v>
      </c>
    </row>
    <row r="5860" spans="1:3">
      <c r="A5860" t="s">
        <v>125</v>
      </c>
      <c r="B5860">
        <v>158.160469666501</v>
      </c>
      <c r="C5860" s="1">
        <v>43982</v>
      </c>
    </row>
    <row r="5861" spans="1:3">
      <c r="A5861" t="s">
        <v>127</v>
      </c>
      <c r="B5861">
        <v>3.0573754218622899</v>
      </c>
      <c r="C5861" s="1">
        <v>43982</v>
      </c>
    </row>
    <row r="5862" spans="1:3">
      <c r="A5862" t="s">
        <v>129</v>
      </c>
      <c r="B5862">
        <v>2.2762982500804099</v>
      </c>
      <c r="C5862" s="1">
        <v>43982</v>
      </c>
    </row>
    <row r="5863" spans="1:3">
      <c r="A5863" t="s">
        <v>131</v>
      </c>
      <c r="B5863">
        <v>1.4492753623113499</v>
      </c>
      <c r="C5863" s="1">
        <v>43982</v>
      </c>
    </row>
    <row r="5864" spans="1:3">
      <c r="A5864" t="s">
        <v>134</v>
      </c>
      <c r="B5864">
        <v>0.96145664936114905</v>
      </c>
      <c r="C5864" s="1">
        <v>43982</v>
      </c>
    </row>
    <row r="5865" spans="1:3">
      <c r="A5865" t="s">
        <v>136</v>
      </c>
      <c r="B5865">
        <v>5.8691397940647896</v>
      </c>
      <c r="C5865" s="1">
        <v>43982</v>
      </c>
    </row>
    <row r="5866" spans="1:3">
      <c r="A5866" t="s">
        <v>138</v>
      </c>
      <c r="B5866">
        <v>8.6134036699404497</v>
      </c>
      <c r="C5866" s="1">
        <v>43982</v>
      </c>
    </row>
    <row r="5867" spans="1:3">
      <c r="A5867" t="s">
        <v>140</v>
      </c>
      <c r="B5867">
        <v>13.202870189103299</v>
      </c>
      <c r="C5867" s="1">
        <v>43982</v>
      </c>
    </row>
    <row r="5868" spans="1:3">
      <c r="A5868" t="s">
        <v>142</v>
      </c>
      <c r="B5868">
        <v>1.72494965823437</v>
      </c>
      <c r="C5868" s="1">
        <v>43982</v>
      </c>
    </row>
    <row r="5869" spans="1:3">
      <c r="A5869" t="s">
        <v>144</v>
      </c>
      <c r="B5869">
        <v>2.4748291216299099</v>
      </c>
      <c r="C5869" s="1">
        <v>43982</v>
      </c>
    </row>
    <row r="5870" spans="1:3">
      <c r="A5870" t="s">
        <v>146</v>
      </c>
      <c r="B5870">
        <v>1.4367962789568001</v>
      </c>
      <c r="C5870" s="1">
        <v>43982</v>
      </c>
    </row>
    <row r="5871" spans="1:3">
      <c r="A5871" t="s">
        <v>148</v>
      </c>
      <c r="B5871">
        <v>5.76363481661277</v>
      </c>
      <c r="C5871" s="1">
        <v>43982</v>
      </c>
    </row>
    <row r="5872" spans="1:3">
      <c r="A5872" t="s">
        <v>150</v>
      </c>
      <c r="B5872">
        <v>4.0834964122424298</v>
      </c>
      <c r="C5872" s="1">
        <v>43982</v>
      </c>
    </row>
    <row r="5873" spans="1:3">
      <c r="A5873" t="s">
        <v>152</v>
      </c>
      <c r="B5873">
        <v>24.078958563646498</v>
      </c>
      <c r="C5873" s="1">
        <v>43982</v>
      </c>
    </row>
    <row r="5874" spans="1:3">
      <c r="A5874" t="s">
        <v>154</v>
      </c>
      <c r="B5874">
        <v>8.9060948977105596</v>
      </c>
      <c r="C5874" s="1">
        <v>43982</v>
      </c>
    </row>
    <row r="5875" spans="1:3">
      <c r="A5875" t="s">
        <v>156</v>
      </c>
      <c r="B5875">
        <v>5.1334411072085002</v>
      </c>
      <c r="C5875" s="1">
        <v>43982</v>
      </c>
    </row>
    <row r="5876" spans="1:3">
      <c r="A5876" t="s">
        <v>158</v>
      </c>
      <c r="B5876">
        <v>62.959811678962097</v>
      </c>
      <c r="C5876" s="1">
        <v>43982</v>
      </c>
    </row>
    <row r="5877" spans="1:3">
      <c r="A5877" t="s">
        <v>160</v>
      </c>
      <c r="B5877">
        <v>5.6031084261884603</v>
      </c>
      <c r="C5877" s="1">
        <v>43982</v>
      </c>
    </row>
    <row r="5878" spans="1:3">
      <c r="A5878" t="s">
        <v>162</v>
      </c>
      <c r="B5878">
        <v>6.6411412688615599</v>
      </c>
      <c r="C5878" s="1">
        <v>43982</v>
      </c>
    </row>
    <row r="5879" spans="1:3">
      <c r="A5879" t="s">
        <v>164</v>
      </c>
      <c r="B5879">
        <v>7.7767378541246996</v>
      </c>
      <c r="C5879" s="1">
        <v>43982</v>
      </c>
    </row>
    <row r="5880" spans="1:3">
      <c r="A5880" t="s">
        <v>166</v>
      </c>
      <c r="B5880">
        <v>3.8168978133045299</v>
      </c>
      <c r="C5880" s="1">
        <v>43982</v>
      </c>
    </row>
    <row r="5881" spans="1:3">
      <c r="A5881" t="s">
        <v>168</v>
      </c>
      <c r="B5881">
        <v>9.5720241639937491</v>
      </c>
      <c r="C5881" s="1">
        <v>43982</v>
      </c>
    </row>
    <row r="5882" spans="1:3">
      <c r="A5882" t="s">
        <v>4</v>
      </c>
      <c r="B5882">
        <v>0.2129496402895</v>
      </c>
      <c r="C5882" s="1">
        <v>44012</v>
      </c>
    </row>
    <row r="5883" spans="1:3">
      <c r="A5883" t="s">
        <v>8</v>
      </c>
      <c r="B5883">
        <v>18.6670503598639</v>
      </c>
      <c r="C5883" s="1">
        <v>44012</v>
      </c>
    </row>
    <row r="5884" spans="1:3">
      <c r="A5884" t="s">
        <v>11</v>
      </c>
      <c r="B5884">
        <v>38.539856115421003</v>
      </c>
      <c r="C5884" s="1">
        <v>44012</v>
      </c>
    </row>
    <row r="5885" spans="1:3">
      <c r="A5885" t="s">
        <v>14</v>
      </c>
      <c r="B5885">
        <v>1.991366906491</v>
      </c>
      <c r="C5885" s="1">
        <v>44012</v>
      </c>
    </row>
    <row r="5886" spans="1:3">
      <c r="A5886" t="s">
        <v>17</v>
      </c>
      <c r="B5886">
        <v>6.3528057554473003</v>
      </c>
      <c r="C5886" s="1">
        <v>44012</v>
      </c>
    </row>
    <row r="5887" spans="1:3">
      <c r="A5887" t="s">
        <v>20</v>
      </c>
      <c r="B5887">
        <v>0.28892086331169903</v>
      </c>
      <c r="C5887" s="1">
        <v>44012</v>
      </c>
    </row>
    <row r="5888" spans="1:3">
      <c r="A5888" t="s">
        <v>24</v>
      </c>
      <c r="B5888">
        <v>0.517985611515</v>
      </c>
      <c r="C5888" s="1">
        <v>44012</v>
      </c>
    </row>
    <row r="5889" spans="1:3">
      <c r="A5889" t="s">
        <v>27</v>
      </c>
      <c r="B5889">
        <v>23.0975539570222</v>
      </c>
      <c r="C5889" s="1">
        <v>44012</v>
      </c>
    </row>
    <row r="5890" spans="1:3">
      <c r="A5890" t="s">
        <v>29</v>
      </c>
      <c r="B5890">
        <v>0.97093525180645002</v>
      </c>
      <c r="C5890" s="1">
        <v>44012</v>
      </c>
    </row>
    <row r="5891" spans="1:3">
      <c r="A5891" t="s">
        <v>32</v>
      </c>
      <c r="B5891">
        <v>7.0762589928632504</v>
      </c>
      <c r="C5891" s="1">
        <v>44012</v>
      </c>
    </row>
    <row r="5892" spans="1:3">
      <c r="A5892" t="s">
        <v>35</v>
      </c>
      <c r="B5892">
        <v>2.7625899280800001</v>
      </c>
      <c r="C5892" s="1">
        <v>44012</v>
      </c>
    </row>
    <row r="5893" spans="1:3">
      <c r="A5893" t="s">
        <v>37</v>
      </c>
      <c r="B5893">
        <v>0.15021582733934999</v>
      </c>
      <c r="C5893" s="1">
        <v>44012</v>
      </c>
    </row>
    <row r="5894" spans="1:3">
      <c r="A5894" t="s">
        <v>39</v>
      </c>
      <c r="B5894">
        <v>1.27366906475855</v>
      </c>
      <c r="C5894" s="1">
        <v>44012</v>
      </c>
    </row>
    <row r="5895" spans="1:3">
      <c r="A5895" t="s">
        <v>42</v>
      </c>
      <c r="B5895">
        <v>1.8129496403025001</v>
      </c>
      <c r="C5895" s="1">
        <v>44012</v>
      </c>
    </row>
    <row r="5896" spans="1:3">
      <c r="A5896" t="s">
        <v>44</v>
      </c>
      <c r="B5896">
        <v>7.5073381295574002</v>
      </c>
      <c r="C5896" s="1">
        <v>44012</v>
      </c>
    </row>
    <row r="5897" spans="1:3">
      <c r="A5897" t="s">
        <v>47</v>
      </c>
      <c r="B5897">
        <v>7.0215827338699999</v>
      </c>
      <c r="C5897" s="1">
        <v>44012</v>
      </c>
    </row>
    <row r="5898" spans="1:3">
      <c r="A5898" t="s">
        <v>49</v>
      </c>
      <c r="B5898">
        <v>9.8762589928859992</v>
      </c>
      <c r="C5898" s="1">
        <v>44012</v>
      </c>
    </row>
    <row r="5899" spans="1:3">
      <c r="A5899" t="s">
        <v>51</v>
      </c>
      <c r="B5899">
        <v>0.44258992806115</v>
      </c>
      <c r="C5899" s="1">
        <v>44012</v>
      </c>
    </row>
    <row r="5900" spans="1:3">
      <c r="A5900" t="s">
        <v>53</v>
      </c>
      <c r="B5900">
        <v>0.37352517985915001</v>
      </c>
      <c r="C5900" s="1">
        <v>44012</v>
      </c>
    </row>
    <row r="5901" spans="1:3">
      <c r="A5901" t="s">
        <v>55</v>
      </c>
      <c r="B5901">
        <v>2.3021582733999999</v>
      </c>
      <c r="C5901" s="1">
        <v>44012</v>
      </c>
    </row>
    <row r="5902" spans="1:3">
      <c r="A5902" t="s">
        <v>57</v>
      </c>
      <c r="B5902">
        <v>1.70532374102105</v>
      </c>
      <c r="C5902" s="1">
        <v>44012</v>
      </c>
    </row>
    <row r="5903" spans="1:3">
      <c r="A5903" t="s">
        <v>59</v>
      </c>
      <c r="B5903">
        <v>2.4932374100921999</v>
      </c>
      <c r="C5903" s="1">
        <v>44012</v>
      </c>
    </row>
    <row r="5904" spans="1:3">
      <c r="A5904" t="s">
        <v>61</v>
      </c>
      <c r="B5904">
        <v>49.421582734214503</v>
      </c>
      <c r="C5904" s="1">
        <v>44012</v>
      </c>
    </row>
    <row r="5905" spans="1:3">
      <c r="A5905" t="s">
        <v>63</v>
      </c>
      <c r="B5905">
        <v>8.4028776979100002</v>
      </c>
      <c r="C5905" s="1">
        <v>44012</v>
      </c>
    </row>
    <row r="5906" spans="1:3">
      <c r="A5906" t="s">
        <v>65</v>
      </c>
      <c r="B5906">
        <v>0.19050359712385001</v>
      </c>
      <c r="C5906" s="1">
        <v>44012</v>
      </c>
    </row>
    <row r="5907" spans="1:3">
      <c r="A5907" t="s">
        <v>67</v>
      </c>
      <c r="B5907">
        <v>6.0172661870992501</v>
      </c>
      <c r="C5907" s="1">
        <v>44012</v>
      </c>
    </row>
    <row r="5908" spans="1:3">
      <c r="A5908" t="s">
        <v>69</v>
      </c>
      <c r="B5908">
        <v>1.95741007195835</v>
      </c>
      <c r="C5908" s="1">
        <v>44012</v>
      </c>
    </row>
    <row r="5909" spans="1:3">
      <c r="A5909" t="s">
        <v>71</v>
      </c>
      <c r="B5909">
        <v>0.414388489212</v>
      </c>
      <c r="C5909" s="1">
        <v>44012</v>
      </c>
    </row>
    <row r="5910" spans="1:3">
      <c r="A5910" t="s">
        <v>73</v>
      </c>
      <c r="B5910">
        <v>0.78503597122940005</v>
      </c>
      <c r="C5910" s="1">
        <v>44012</v>
      </c>
    </row>
    <row r="5911" spans="1:3">
      <c r="A5911" t="s">
        <v>75</v>
      </c>
      <c r="B5911">
        <v>7.3669064748800001E-2</v>
      </c>
      <c r="C5911" s="1">
        <v>44012</v>
      </c>
    </row>
    <row r="5912" spans="1:3">
      <c r="A5912" t="s">
        <v>77</v>
      </c>
      <c r="B5912">
        <v>0.76834532374724995</v>
      </c>
      <c r="C5912" s="1">
        <v>44012</v>
      </c>
    </row>
    <row r="5913" spans="1:3">
      <c r="A5913" t="s">
        <v>79</v>
      </c>
      <c r="B5913">
        <v>2.2722302158457999</v>
      </c>
      <c r="C5913" s="1">
        <v>44012</v>
      </c>
    </row>
    <row r="5914" spans="1:3">
      <c r="A5914" t="s">
        <v>81</v>
      </c>
      <c r="B5914">
        <v>5.8129496403349998</v>
      </c>
      <c r="C5914" s="1">
        <v>44012</v>
      </c>
    </row>
    <row r="5915" spans="1:3">
      <c r="A5915" t="s">
        <v>83</v>
      </c>
      <c r="B5915">
        <v>0.14330935251915</v>
      </c>
      <c r="C5915" s="1">
        <v>44012</v>
      </c>
    </row>
    <row r="5916" spans="1:3">
      <c r="A5916" t="s">
        <v>85</v>
      </c>
      <c r="B5916">
        <v>1.28863309353565</v>
      </c>
      <c r="C5916" s="1">
        <v>44012</v>
      </c>
    </row>
    <row r="5917" spans="1:3">
      <c r="A5917" t="s">
        <v>87</v>
      </c>
      <c r="B5917">
        <v>8.2595683453908499</v>
      </c>
      <c r="C5917" s="1">
        <v>44012</v>
      </c>
    </row>
    <row r="5918" spans="1:3">
      <c r="A5918" t="s">
        <v>89</v>
      </c>
      <c r="B5918">
        <v>1.784172661885</v>
      </c>
      <c r="C5918" s="1">
        <v>44012</v>
      </c>
    </row>
    <row r="5919" spans="1:3">
      <c r="A5919" t="s">
        <v>91</v>
      </c>
      <c r="B5919">
        <v>15.42446043178</v>
      </c>
      <c r="C5919" s="1">
        <v>44012</v>
      </c>
    </row>
    <row r="5920" spans="1:3">
      <c r="A5920" t="s">
        <v>93</v>
      </c>
      <c r="B5920">
        <v>8.2060431655343002</v>
      </c>
      <c r="C5920" s="1">
        <v>44012</v>
      </c>
    </row>
    <row r="5921" spans="1:3">
      <c r="A5921" t="s">
        <v>95</v>
      </c>
      <c r="B5921">
        <v>0.17669064748345001</v>
      </c>
      <c r="C5921" s="1">
        <v>44012</v>
      </c>
    </row>
    <row r="5922" spans="1:3">
      <c r="A5922" t="s">
        <v>97</v>
      </c>
      <c r="B5922">
        <v>1.6034532374231001</v>
      </c>
      <c r="C5922" s="1">
        <v>44012</v>
      </c>
    </row>
    <row r="5923" spans="1:3">
      <c r="A5923" t="s">
        <v>99</v>
      </c>
      <c r="B5923">
        <v>4.1041726619038501</v>
      </c>
      <c r="C5923" s="1">
        <v>44012</v>
      </c>
    </row>
    <row r="5924" spans="1:3">
      <c r="A5924" t="s">
        <v>101</v>
      </c>
      <c r="B5924">
        <v>4.2014388489550001</v>
      </c>
      <c r="C5924" s="1">
        <v>44012</v>
      </c>
    </row>
    <row r="5925" spans="1:3">
      <c r="A5925" t="s">
        <v>103</v>
      </c>
      <c r="B5925">
        <v>0.50647482014800005</v>
      </c>
      <c r="C5925" s="1">
        <v>44012</v>
      </c>
    </row>
    <row r="5926" spans="1:3">
      <c r="A5926" t="s">
        <v>105</v>
      </c>
      <c r="B5926">
        <v>5.7553956835000003E-2</v>
      </c>
      <c r="C5926" s="1">
        <v>44012</v>
      </c>
    </row>
    <row r="5927" spans="1:3">
      <c r="A5927" t="s">
        <v>107</v>
      </c>
      <c r="B5927">
        <v>0.96690647482799996</v>
      </c>
      <c r="C5927" s="1">
        <v>44012</v>
      </c>
    </row>
    <row r="5928" spans="1:3">
      <c r="A5928" t="s">
        <v>109</v>
      </c>
      <c r="B5928">
        <v>4.1358273381631001</v>
      </c>
      <c r="C5928" s="1">
        <v>44012</v>
      </c>
    </row>
    <row r="5929" spans="1:3">
      <c r="A5929" t="s">
        <v>111</v>
      </c>
      <c r="B5929">
        <v>4.4489208633455002</v>
      </c>
      <c r="C5929" s="1">
        <v>44012</v>
      </c>
    </row>
    <row r="5930" spans="1:3">
      <c r="A5930" t="s">
        <v>113</v>
      </c>
      <c r="B5930">
        <v>3.69438848923865</v>
      </c>
      <c r="C5930" s="1">
        <v>44012</v>
      </c>
    </row>
    <row r="5931" spans="1:3">
      <c r="A5931" t="s">
        <v>115</v>
      </c>
      <c r="B5931">
        <v>1.9050359712385001</v>
      </c>
      <c r="C5931" s="1">
        <v>44012</v>
      </c>
    </row>
    <row r="5932" spans="1:3">
      <c r="A5932" t="s">
        <v>117</v>
      </c>
      <c r="B5932">
        <v>2.935251798585</v>
      </c>
      <c r="C5932" s="1">
        <v>44012</v>
      </c>
    </row>
    <row r="5933" spans="1:3">
      <c r="A5933" t="s">
        <v>119</v>
      </c>
      <c r="B5933">
        <v>26.653237410288501</v>
      </c>
      <c r="C5933" s="1">
        <v>44012</v>
      </c>
    </row>
    <row r="5934" spans="1:3">
      <c r="A5934" t="s">
        <v>121</v>
      </c>
      <c r="B5934">
        <v>5.7496402878164998</v>
      </c>
      <c r="C5934" s="1">
        <v>44012</v>
      </c>
    </row>
    <row r="5935" spans="1:3">
      <c r="A5935" t="s">
        <v>123</v>
      </c>
      <c r="B5935">
        <v>3.3922302158548998</v>
      </c>
      <c r="C5935" s="1">
        <v>44012</v>
      </c>
    </row>
    <row r="5936" spans="1:3">
      <c r="A5936" t="s">
        <v>125</v>
      </c>
      <c r="B5936">
        <v>182.04949640435601</v>
      </c>
      <c r="C5936" s="1">
        <v>44012</v>
      </c>
    </row>
    <row r="5937" spans="1:3">
      <c r="A5937" t="s">
        <v>127</v>
      </c>
      <c r="B5937">
        <v>3.0405755395930498</v>
      </c>
      <c r="C5937" s="1">
        <v>44012</v>
      </c>
    </row>
    <row r="5938" spans="1:3">
      <c r="A5938" t="s">
        <v>129</v>
      </c>
      <c r="B5938">
        <v>2.1905035971401001</v>
      </c>
      <c r="C5938" s="1">
        <v>44012</v>
      </c>
    </row>
    <row r="5939" spans="1:3">
      <c r="A5939" t="s">
        <v>131</v>
      </c>
      <c r="B5939">
        <v>1.5251798561275001</v>
      </c>
      <c r="C5939" s="1">
        <v>44012</v>
      </c>
    </row>
    <row r="5940" spans="1:3">
      <c r="A5940" t="s">
        <v>134</v>
      </c>
      <c r="B5940">
        <v>0.92086330936000005</v>
      </c>
      <c r="C5940" s="1">
        <v>44012</v>
      </c>
    </row>
    <row r="5941" spans="1:3">
      <c r="A5941" t="s">
        <v>136</v>
      </c>
      <c r="B5941">
        <v>6.1381294964527502</v>
      </c>
      <c r="C5941" s="1">
        <v>44012</v>
      </c>
    </row>
    <row r="5942" spans="1:3">
      <c r="A5942" t="s">
        <v>138</v>
      </c>
      <c r="B5942">
        <v>8.1749640288433998</v>
      </c>
      <c r="C5942" s="1">
        <v>44012</v>
      </c>
    </row>
    <row r="5943" spans="1:3">
      <c r="A5943" t="s">
        <v>140</v>
      </c>
      <c r="B5943">
        <v>12.1070503598106</v>
      </c>
      <c r="C5943" s="1">
        <v>44012</v>
      </c>
    </row>
    <row r="5944" spans="1:3">
      <c r="A5944" t="s">
        <v>142</v>
      </c>
      <c r="B5944">
        <v>1.9873381295125501</v>
      </c>
      <c r="C5944" s="1">
        <v>44012</v>
      </c>
    </row>
    <row r="5945" spans="1:3">
      <c r="A5945" t="s">
        <v>144</v>
      </c>
      <c r="B5945">
        <v>1.9648920863468999</v>
      </c>
      <c r="C5945" s="1">
        <v>44012</v>
      </c>
    </row>
    <row r="5946" spans="1:3">
      <c r="A5946" t="s">
        <v>146</v>
      </c>
      <c r="B5946">
        <v>1.56028776979685</v>
      </c>
      <c r="C5946" s="1">
        <v>44012</v>
      </c>
    </row>
    <row r="5947" spans="1:3">
      <c r="A5947" t="s">
        <v>148</v>
      </c>
      <c r="B5947">
        <v>6.0143884892574997</v>
      </c>
      <c r="C5947" s="1">
        <v>44012</v>
      </c>
    </row>
    <row r="5948" spans="1:3">
      <c r="A5948" t="s">
        <v>150</v>
      </c>
      <c r="B5948">
        <v>4.0598561151409003</v>
      </c>
      <c r="C5948" s="1">
        <v>44012</v>
      </c>
    </row>
    <row r="5949" spans="1:3">
      <c r="A5949" t="s">
        <v>152</v>
      </c>
      <c r="B5949">
        <v>29.098705036207601</v>
      </c>
      <c r="C5949" s="1">
        <v>44012</v>
      </c>
    </row>
    <row r="5950" spans="1:3">
      <c r="A5950" t="s">
        <v>154</v>
      </c>
      <c r="B5950">
        <v>10.267625899364001</v>
      </c>
      <c r="C5950" s="1">
        <v>44012</v>
      </c>
    </row>
    <row r="5951" spans="1:3">
      <c r="A5951" t="s">
        <v>156</v>
      </c>
      <c r="B5951">
        <v>7.6086330935869997</v>
      </c>
      <c r="C5951" s="1">
        <v>44012</v>
      </c>
    </row>
    <row r="5952" spans="1:3">
      <c r="A5952" t="s">
        <v>158</v>
      </c>
      <c r="B5952">
        <v>72.177266187636803</v>
      </c>
      <c r="C5952" s="1">
        <v>44012</v>
      </c>
    </row>
    <row r="5953" spans="1:3">
      <c r="A5953" t="s">
        <v>160</v>
      </c>
      <c r="B5953">
        <v>5.8446043165942498</v>
      </c>
      <c r="C5953" s="1">
        <v>44012</v>
      </c>
    </row>
    <row r="5954" spans="1:3">
      <c r="A5954" t="s">
        <v>162</v>
      </c>
      <c r="B5954">
        <v>6.6762589928600002</v>
      </c>
      <c r="C5954" s="1">
        <v>44012</v>
      </c>
    </row>
    <row r="5955" spans="1:3">
      <c r="A5955" t="s">
        <v>164</v>
      </c>
      <c r="B5955">
        <v>9.3364028777737005</v>
      </c>
      <c r="C5955" s="1">
        <v>44012</v>
      </c>
    </row>
    <row r="5956" spans="1:3">
      <c r="A5956" t="s">
        <v>166</v>
      </c>
      <c r="B5956">
        <v>3.9712230216150002</v>
      </c>
      <c r="C5956" s="1">
        <v>44012</v>
      </c>
    </row>
    <row r="5957" spans="1:3">
      <c r="A5957" t="s">
        <v>168</v>
      </c>
      <c r="B5957">
        <v>9.7352517986402507</v>
      </c>
      <c r="C5957" s="1">
        <v>44012</v>
      </c>
    </row>
    <row r="5958" spans="1:3">
      <c r="A5958" t="s">
        <v>4</v>
      </c>
      <c r="B5958">
        <v>0.33648975996627001</v>
      </c>
      <c r="C5958" s="1">
        <v>44043</v>
      </c>
    </row>
    <row r="5959" spans="1:3">
      <c r="A5959" t="s">
        <v>8</v>
      </c>
      <c r="B5959">
        <v>18.0700286281362</v>
      </c>
      <c r="C5959" s="1">
        <v>44043</v>
      </c>
    </row>
    <row r="5960" spans="1:3">
      <c r="A5960" t="s">
        <v>11</v>
      </c>
      <c r="B5960">
        <v>33.839829699923698</v>
      </c>
      <c r="C5960" s="1">
        <v>44043</v>
      </c>
    </row>
    <row r="5961" spans="1:3">
      <c r="A5961" t="s">
        <v>14</v>
      </c>
      <c r="B5961">
        <v>1.9790060926463</v>
      </c>
      <c r="C5961" s="1">
        <v>44043</v>
      </c>
    </row>
    <row r="5962" spans="1:3">
      <c r="A5962" t="s">
        <v>17</v>
      </c>
      <c r="B5962">
        <v>6.2564780151494599</v>
      </c>
      <c r="C5962" s="1">
        <v>44043</v>
      </c>
    </row>
    <row r="5963" spans="1:3">
      <c r="A5963" t="s">
        <v>20</v>
      </c>
      <c r="B5963">
        <v>0.24429274021983999</v>
      </c>
      <c r="C5963" s="1">
        <v>44043</v>
      </c>
    </row>
    <row r="5964" spans="1:3">
      <c r="A5964" t="s">
        <v>24</v>
      </c>
      <c r="B5964">
        <v>0.52205828378710994</v>
      </c>
      <c r="C5964" s="1">
        <v>44043</v>
      </c>
    </row>
    <row r="5965" spans="1:3">
      <c r="A5965" t="s">
        <v>27</v>
      </c>
      <c r="B5965">
        <v>24.5555310872418</v>
      </c>
      <c r="C5965" s="1">
        <v>44043</v>
      </c>
    </row>
    <row r="5966" spans="1:3">
      <c r="A5966" t="s">
        <v>29</v>
      </c>
      <c r="B5966">
        <v>1.0200396388506301</v>
      </c>
      <c r="C5966" s="1">
        <v>44043</v>
      </c>
    </row>
    <row r="5967" spans="1:3">
      <c r="A5967" t="s">
        <v>32</v>
      </c>
      <c r="B5967">
        <v>7.5419511121235701</v>
      </c>
      <c r="C5967" s="1">
        <v>44043</v>
      </c>
    </row>
    <row r="5968" spans="1:3">
      <c r="A5968" t="s">
        <v>35</v>
      </c>
      <c r="B5968">
        <v>2.5697717096202402</v>
      </c>
      <c r="C5968" s="1">
        <v>44043</v>
      </c>
    </row>
    <row r="5969" spans="1:3">
      <c r="A5969" t="s">
        <v>37</v>
      </c>
      <c r="B5969">
        <v>0.16149159509725</v>
      </c>
      <c r="C5969" s="1">
        <v>44043</v>
      </c>
    </row>
    <row r="5970" spans="1:3">
      <c r="A5970" t="s">
        <v>39</v>
      </c>
      <c r="B5970">
        <v>1.4857226748946999</v>
      </c>
      <c r="C5970" s="1">
        <v>44043</v>
      </c>
    </row>
    <row r="5971" spans="1:3">
      <c r="A5971" t="s">
        <v>42</v>
      </c>
      <c r="B5971">
        <v>1.996623357566</v>
      </c>
      <c r="C5971" s="1">
        <v>44043</v>
      </c>
    </row>
    <row r="5972" spans="1:3">
      <c r="A5972" t="s">
        <v>44</v>
      </c>
      <c r="B5972">
        <v>7.8895984732056501</v>
      </c>
      <c r="C5972" s="1">
        <v>44043</v>
      </c>
    </row>
    <row r="5973" spans="1:3">
      <c r="A5973" t="s">
        <v>47</v>
      </c>
      <c r="B5973">
        <v>6.8120091022839997</v>
      </c>
      <c r="C5973" s="1">
        <v>44043</v>
      </c>
    </row>
    <row r="5974" spans="1:3">
      <c r="A5974" t="s">
        <v>49</v>
      </c>
      <c r="B5974">
        <v>9.6894957058350002</v>
      </c>
      <c r="C5974" s="1">
        <v>44043</v>
      </c>
    </row>
    <row r="5975" spans="1:3">
      <c r="A5975" t="s">
        <v>51</v>
      </c>
      <c r="B5975">
        <v>0.34529839242611998</v>
      </c>
      <c r="C5975" s="1">
        <v>44043</v>
      </c>
    </row>
    <row r="5976" spans="1:3">
      <c r="A5976" t="s">
        <v>53</v>
      </c>
      <c r="B5976">
        <v>0.38112016442951002</v>
      </c>
      <c r="C5976" s="1">
        <v>44043</v>
      </c>
    </row>
    <row r="5977" spans="1:3">
      <c r="A5977" t="s">
        <v>55</v>
      </c>
      <c r="B5977">
        <v>2.3078617044806999</v>
      </c>
      <c r="C5977" s="1">
        <v>44043</v>
      </c>
    </row>
    <row r="5978" spans="1:3">
      <c r="A5978" t="s">
        <v>57</v>
      </c>
      <c r="B5978">
        <v>1.7000660647510499</v>
      </c>
      <c r="C5978" s="1">
        <v>44043</v>
      </c>
    </row>
    <row r="5979" spans="1:3">
      <c r="A5979" t="s">
        <v>59</v>
      </c>
      <c r="B5979">
        <v>2.5768186155881199</v>
      </c>
      <c r="C5979" s="1">
        <v>44043</v>
      </c>
    </row>
    <row r="5980" spans="1:3">
      <c r="A5980" t="s">
        <v>61</v>
      </c>
      <c r="B5980">
        <v>51.919254202683803</v>
      </c>
      <c r="C5980" s="1">
        <v>44043</v>
      </c>
    </row>
    <row r="5981" spans="1:3">
      <c r="A5981" t="s">
        <v>63</v>
      </c>
      <c r="B5981">
        <v>8.04463040449901</v>
      </c>
      <c r="C5981" s="1">
        <v>44043</v>
      </c>
    </row>
    <row r="5982" spans="1:3">
      <c r="A5982" t="s">
        <v>65</v>
      </c>
      <c r="B5982">
        <v>0.18674300814882</v>
      </c>
      <c r="C5982" s="1">
        <v>44043</v>
      </c>
    </row>
    <row r="5983" spans="1:3">
      <c r="A5983" t="s">
        <v>67</v>
      </c>
      <c r="B5983">
        <v>6.5084049035011704</v>
      </c>
      <c r="C5983" s="1">
        <v>44043</v>
      </c>
    </row>
    <row r="5984" spans="1:3">
      <c r="A5984" t="s">
        <v>69</v>
      </c>
      <c r="B5984">
        <v>1.91617118109937</v>
      </c>
      <c r="C5984" s="1">
        <v>44043</v>
      </c>
    </row>
    <row r="5985" spans="1:3">
      <c r="A5985" t="s">
        <v>71</v>
      </c>
      <c r="B5985">
        <v>0.43455920135260001</v>
      </c>
      <c r="C5985" s="1">
        <v>44043</v>
      </c>
    </row>
    <row r="5986" spans="1:3">
      <c r="A5986" t="s">
        <v>73</v>
      </c>
      <c r="B5986">
        <v>0.7986493430264</v>
      </c>
      <c r="C5986" s="1">
        <v>44043</v>
      </c>
    </row>
    <row r="5987" spans="1:3">
      <c r="A5987" t="s">
        <v>75</v>
      </c>
      <c r="B5987">
        <v>7.3405270498749994E-2</v>
      </c>
      <c r="C5987" s="1">
        <v>44043</v>
      </c>
    </row>
    <row r="5988" spans="1:3">
      <c r="A5988" t="s">
        <v>77</v>
      </c>
      <c r="B5988">
        <v>0.78044483594270997</v>
      </c>
      <c r="C5988" s="1">
        <v>44043</v>
      </c>
    </row>
    <row r="5989" spans="1:3">
      <c r="A5989" t="s">
        <v>79</v>
      </c>
      <c r="B5989">
        <v>2.4564339719701702</v>
      </c>
      <c r="C5989" s="1">
        <v>44043</v>
      </c>
    </row>
    <row r="5990" spans="1:3">
      <c r="A5990" t="s">
        <v>81</v>
      </c>
      <c r="B5990">
        <v>6.5653673934082004</v>
      </c>
      <c r="C5990" s="1">
        <v>44043</v>
      </c>
    </row>
    <row r="5991" spans="1:3">
      <c r="A5991" t="s">
        <v>83</v>
      </c>
      <c r="B5991">
        <v>0.1526829626374</v>
      </c>
      <c r="C5991" s="1">
        <v>44043</v>
      </c>
    </row>
    <row r="5992" spans="1:3">
      <c r="A5992" t="s">
        <v>85</v>
      </c>
      <c r="B5992">
        <v>1.1656756955201499</v>
      </c>
      <c r="C5992" s="1">
        <v>44043</v>
      </c>
    </row>
    <row r="5993" spans="1:3">
      <c r="A5993" t="s">
        <v>87</v>
      </c>
      <c r="B5993">
        <v>7.7774352198835599</v>
      </c>
      <c r="C5993" s="1">
        <v>44043</v>
      </c>
    </row>
    <row r="5994" spans="1:3">
      <c r="A5994" t="s">
        <v>89</v>
      </c>
      <c r="B5994">
        <v>1.3764956323925599</v>
      </c>
      <c r="C5994" s="1">
        <v>44043</v>
      </c>
    </row>
    <row r="5995" spans="1:3">
      <c r="A5995" t="s">
        <v>91</v>
      </c>
      <c r="B5995">
        <v>15.579534610654701</v>
      </c>
      <c r="C5995" s="1">
        <v>44043</v>
      </c>
    </row>
    <row r="5996" spans="1:3">
      <c r="A5996" t="s">
        <v>93</v>
      </c>
      <c r="B5996">
        <v>9.3894149600361096</v>
      </c>
      <c r="C5996" s="1">
        <v>44043</v>
      </c>
    </row>
    <row r="5997" spans="1:3">
      <c r="A5997" t="s">
        <v>95</v>
      </c>
      <c r="B5997">
        <v>0.21962856933225999</v>
      </c>
      <c r="C5997" s="1">
        <v>44043</v>
      </c>
    </row>
    <row r="5998" spans="1:3">
      <c r="A5998" t="s">
        <v>97</v>
      </c>
      <c r="B5998">
        <v>1.60199662336472</v>
      </c>
      <c r="C5998" s="1">
        <v>44043</v>
      </c>
    </row>
    <row r="5999" spans="1:3">
      <c r="A5999" t="s">
        <v>99</v>
      </c>
      <c r="B5999">
        <v>4.2281435807280001</v>
      </c>
      <c r="C5999" s="1">
        <v>44043</v>
      </c>
    </row>
    <row r="6000" spans="1:3">
      <c r="A6000" t="s">
        <v>101</v>
      </c>
      <c r="B6000">
        <v>4.1095206636020203</v>
      </c>
      <c r="C6000" s="1">
        <v>44043</v>
      </c>
    </row>
    <row r="6001" spans="1:3">
      <c r="A6001" t="s">
        <v>103</v>
      </c>
      <c r="B6001">
        <v>0.54261175952676</v>
      </c>
      <c r="C6001" s="1">
        <v>44043</v>
      </c>
    </row>
    <row r="6002" spans="1:3">
      <c r="A6002" t="s">
        <v>105</v>
      </c>
      <c r="B6002">
        <v>4.5804888791220001E-2</v>
      </c>
      <c r="C6002" s="1">
        <v>44043</v>
      </c>
    </row>
    <row r="6003" spans="1:3">
      <c r="A6003" t="s">
        <v>107</v>
      </c>
      <c r="B6003">
        <v>0.56610144608636004</v>
      </c>
      <c r="C6003" s="1">
        <v>44043</v>
      </c>
    </row>
    <row r="6004" spans="1:3">
      <c r="A6004" t="s">
        <v>109</v>
      </c>
      <c r="B6004">
        <v>6.4584893195620197</v>
      </c>
      <c r="C6004" s="1">
        <v>44043</v>
      </c>
    </row>
    <row r="6005" spans="1:3">
      <c r="A6005" t="s">
        <v>111</v>
      </c>
      <c r="B6005">
        <v>5.1031344050731002</v>
      </c>
      <c r="C6005" s="1">
        <v>44043</v>
      </c>
    </row>
    <row r="6006" spans="1:3">
      <c r="A6006" t="s">
        <v>113</v>
      </c>
      <c r="B6006">
        <v>4.0883799456983798</v>
      </c>
      <c r="C6006" s="1">
        <v>44043</v>
      </c>
    </row>
    <row r="6007" spans="1:3">
      <c r="A6007" t="s">
        <v>115</v>
      </c>
      <c r="B6007">
        <v>1.8633193863402699</v>
      </c>
      <c r="C6007" s="1">
        <v>44043</v>
      </c>
    </row>
    <row r="6008" spans="1:3">
      <c r="A6008" t="s">
        <v>117</v>
      </c>
      <c r="B6008">
        <v>2.6449387066109602</v>
      </c>
      <c r="C6008" s="1">
        <v>44043</v>
      </c>
    </row>
    <row r="6009" spans="1:3">
      <c r="A6009" t="s">
        <v>119</v>
      </c>
      <c r="B6009">
        <v>32.298319019449998</v>
      </c>
      <c r="C6009" s="1">
        <v>44043</v>
      </c>
    </row>
    <row r="6010" spans="1:3">
      <c r="A6010" t="s">
        <v>121</v>
      </c>
      <c r="B6010">
        <v>5.42787932175957</v>
      </c>
      <c r="C6010" s="1">
        <v>44043</v>
      </c>
    </row>
    <row r="6011" spans="1:3">
      <c r="A6011" t="s">
        <v>123</v>
      </c>
      <c r="B6011">
        <v>3.5710195992231899</v>
      </c>
      <c r="C6011" s="1">
        <v>44043</v>
      </c>
    </row>
    <row r="6012" spans="1:3">
      <c r="A6012" t="s">
        <v>125</v>
      </c>
      <c r="B6012">
        <v>184.828011452048</v>
      </c>
      <c r="C6012" s="1">
        <v>44043</v>
      </c>
    </row>
    <row r="6013" spans="1:3">
      <c r="A6013" t="s">
        <v>127</v>
      </c>
      <c r="B6013">
        <v>3.47295015783686</v>
      </c>
      <c r="C6013" s="1">
        <v>44043</v>
      </c>
    </row>
    <row r="6014" spans="1:3">
      <c r="A6014" t="s">
        <v>129</v>
      </c>
      <c r="B6014">
        <v>2.2796740806091802</v>
      </c>
      <c r="C6014" s="1">
        <v>44043</v>
      </c>
    </row>
    <row r="6015" spans="1:3">
      <c r="A6015" t="s">
        <v>131</v>
      </c>
      <c r="B6015">
        <v>1.3183586581575499</v>
      </c>
      <c r="C6015" s="1">
        <v>44043</v>
      </c>
    </row>
    <row r="6016" spans="1:3">
      <c r="A6016" t="s">
        <v>134</v>
      </c>
      <c r="B6016">
        <v>1.1157601115810001</v>
      </c>
      <c r="C6016" s="1">
        <v>44043</v>
      </c>
    </row>
    <row r="6017" spans="1:3">
      <c r="A6017" t="s">
        <v>136</v>
      </c>
      <c r="B6017">
        <v>6.1407913088434301</v>
      </c>
      <c r="C6017" s="1">
        <v>44043</v>
      </c>
    </row>
    <row r="6018" spans="1:3">
      <c r="A6018" t="s">
        <v>138</v>
      </c>
      <c r="B6018">
        <v>7.7468986273560798</v>
      </c>
      <c r="C6018" s="1">
        <v>44043</v>
      </c>
    </row>
    <row r="6019" spans="1:3">
      <c r="A6019" t="s">
        <v>140</v>
      </c>
      <c r="B6019">
        <v>13.404976877399699</v>
      </c>
      <c r="C6019" s="1">
        <v>44043</v>
      </c>
    </row>
    <row r="6020" spans="1:3">
      <c r="A6020" t="s">
        <v>142</v>
      </c>
      <c r="B6020">
        <v>1.95199295310276</v>
      </c>
      <c r="C6020" s="1">
        <v>44043</v>
      </c>
    </row>
    <row r="6021" spans="1:3">
      <c r="A6021" t="s">
        <v>144</v>
      </c>
      <c r="B6021">
        <v>1.8597959333563301</v>
      </c>
      <c r="C6021" s="1">
        <v>44043</v>
      </c>
    </row>
    <row r="6022" spans="1:3">
      <c r="A6022" t="s">
        <v>146</v>
      </c>
      <c r="B6022">
        <v>1.4387433017755</v>
      </c>
      <c r="C6022" s="1">
        <v>44043</v>
      </c>
    </row>
    <row r="6023" spans="1:3">
      <c r="A6023" t="s">
        <v>148</v>
      </c>
      <c r="B6023">
        <v>6.3780371430953897</v>
      </c>
      <c r="C6023" s="1">
        <v>44043</v>
      </c>
    </row>
    <row r="6024" spans="1:3">
      <c r="A6024" t="s">
        <v>150</v>
      </c>
      <c r="B6024">
        <v>4.1476914042613702</v>
      </c>
      <c r="C6024" s="1">
        <v>44043</v>
      </c>
    </row>
    <row r="6025" spans="1:3">
      <c r="A6025" t="s">
        <v>152</v>
      </c>
      <c r="B6025">
        <v>32.576084563017197</v>
      </c>
      <c r="C6025" s="1">
        <v>44043</v>
      </c>
    </row>
    <row r="6026" spans="1:3">
      <c r="A6026" t="s">
        <v>154</v>
      </c>
      <c r="B6026">
        <v>10.3548410776356</v>
      </c>
      <c r="C6026" s="1">
        <v>44043</v>
      </c>
    </row>
    <row r="6027" spans="1:3">
      <c r="A6027" t="s">
        <v>156</v>
      </c>
      <c r="B6027">
        <v>8.0005872421997601</v>
      </c>
      <c r="C6027" s="1">
        <v>44043</v>
      </c>
    </row>
    <row r="6028" spans="1:3">
      <c r="A6028" t="s">
        <v>158</v>
      </c>
      <c r="B6028">
        <v>76.583425090263802</v>
      </c>
      <c r="C6028" s="1">
        <v>44043</v>
      </c>
    </row>
    <row r="6029" spans="1:3">
      <c r="A6029" t="s">
        <v>160</v>
      </c>
      <c r="B6029">
        <v>6.1648682375670196</v>
      </c>
      <c r="C6029" s="1">
        <v>44043</v>
      </c>
    </row>
    <row r="6030" spans="1:3">
      <c r="A6030" t="s">
        <v>162</v>
      </c>
      <c r="B6030">
        <v>8.8603097702811198</v>
      </c>
      <c r="C6030" s="1">
        <v>44043</v>
      </c>
    </row>
    <row r="6031" spans="1:3">
      <c r="A6031" t="s">
        <v>164</v>
      </c>
      <c r="B6031">
        <v>13.068487117433399</v>
      </c>
      <c r="C6031" s="1">
        <v>44043</v>
      </c>
    </row>
    <row r="6032" spans="1:3">
      <c r="A6032" t="s">
        <v>166</v>
      </c>
      <c r="B6032">
        <v>3.8881303677777899</v>
      </c>
      <c r="C6032" s="1">
        <v>44043</v>
      </c>
    </row>
    <row r="6033" spans="1:3">
      <c r="A6033" t="s">
        <v>168</v>
      </c>
      <c r="B6033">
        <v>11.4007193717018</v>
      </c>
      <c r="C6033" s="1">
        <v>44043</v>
      </c>
    </row>
    <row r="6034" spans="1:3">
      <c r="A6034" t="s">
        <v>4</v>
      </c>
      <c r="B6034">
        <v>0.32229026783772002</v>
      </c>
      <c r="C6034" s="1">
        <v>44074</v>
      </c>
    </row>
    <row r="6035" spans="1:3">
      <c r="A6035" t="s">
        <v>8</v>
      </c>
      <c r="B6035">
        <v>18.980889839907899</v>
      </c>
      <c r="C6035" s="1">
        <v>44074</v>
      </c>
    </row>
    <row r="6036" spans="1:3">
      <c r="A6036" t="s">
        <v>11</v>
      </c>
      <c r="B6036">
        <v>33.747214638861003</v>
      </c>
      <c r="C6036" s="1">
        <v>44074</v>
      </c>
    </row>
    <row r="6037" spans="1:3">
      <c r="A6037" t="s">
        <v>14</v>
      </c>
      <c r="B6037">
        <v>1.84815170073242</v>
      </c>
      <c r="C6037" s="1">
        <v>44074</v>
      </c>
    </row>
    <row r="6038" spans="1:3">
      <c r="A6038" t="s">
        <v>17</v>
      </c>
      <c r="B6038">
        <v>6.6529919575072203</v>
      </c>
      <c r="C6038" s="1">
        <v>44074</v>
      </c>
    </row>
    <row r="6039" spans="1:3">
      <c r="A6039" t="s">
        <v>20</v>
      </c>
      <c r="B6039">
        <v>0.2331587102489</v>
      </c>
      <c r="C6039" s="1">
        <v>44074</v>
      </c>
    </row>
    <row r="6040" spans="1:3">
      <c r="A6040" t="s">
        <v>24</v>
      </c>
      <c r="B6040">
        <v>0.48402567697240001</v>
      </c>
      <c r="C6040" s="1">
        <v>44074</v>
      </c>
    </row>
    <row r="6041" spans="1:3">
      <c r="A6041" t="s">
        <v>27</v>
      </c>
      <c r="B6041">
        <v>23.874271379055699</v>
      </c>
      <c r="C6041" s="1">
        <v>44074</v>
      </c>
    </row>
    <row r="6042" spans="1:3">
      <c r="A6042" t="s">
        <v>29</v>
      </c>
      <c r="B6042">
        <v>0.97631520696628005</v>
      </c>
      <c r="C6042" s="1">
        <v>44074</v>
      </c>
    </row>
    <row r="6043" spans="1:3">
      <c r="A6043" t="s">
        <v>32</v>
      </c>
      <c r="B6043">
        <v>7.5478491846903397</v>
      </c>
      <c r="C6043" s="1">
        <v>44074</v>
      </c>
    </row>
    <row r="6044" spans="1:3">
      <c r="A6044" t="s">
        <v>35</v>
      </c>
      <c r="B6044">
        <v>2.3782188445387802</v>
      </c>
      <c r="C6044" s="1">
        <v>44074</v>
      </c>
    </row>
    <row r="6045" spans="1:3">
      <c r="A6045" t="s">
        <v>37</v>
      </c>
      <c r="B6045">
        <v>0.18888806906239999</v>
      </c>
      <c r="C6045" s="1">
        <v>44074</v>
      </c>
    </row>
    <row r="6046" spans="1:3">
      <c r="A6046" t="s">
        <v>39</v>
      </c>
      <c r="B6046">
        <v>1.4379104257375199</v>
      </c>
      <c r="C6046" s="1">
        <v>44074</v>
      </c>
    </row>
    <row r="6047" spans="1:3">
      <c r="A6047" t="s">
        <v>42</v>
      </c>
      <c r="B6047">
        <v>2.1928724267713</v>
      </c>
      <c r="C6047" s="1">
        <v>44074</v>
      </c>
    </row>
    <row r="6048" spans="1:3">
      <c r="A6048" t="s">
        <v>44</v>
      </c>
      <c r="B6048">
        <v>8.0973954106187591</v>
      </c>
      <c r="C6048" s="1">
        <v>44074</v>
      </c>
    </row>
    <row r="6049" spans="1:3">
      <c r="A6049" t="s">
        <v>47</v>
      </c>
      <c r="B6049">
        <v>7.0006640596252003</v>
      </c>
      <c r="C6049" s="1">
        <v>44074</v>
      </c>
    </row>
    <row r="6050" spans="1:3">
      <c r="A6050" t="s">
        <v>49</v>
      </c>
      <c r="B6050">
        <v>9.5423891389461204</v>
      </c>
      <c r="C6050" s="1">
        <v>44074</v>
      </c>
    </row>
    <row r="6051" spans="1:3">
      <c r="A6051" t="s">
        <v>51</v>
      </c>
      <c r="B6051">
        <v>0.29395705747835998</v>
      </c>
      <c r="C6051" s="1">
        <v>44074</v>
      </c>
    </row>
    <row r="6052" spans="1:3">
      <c r="A6052" t="s">
        <v>53</v>
      </c>
      <c r="B6052">
        <v>0.32347081826936003</v>
      </c>
      <c r="C6052" s="1">
        <v>44074</v>
      </c>
    </row>
    <row r="6053" spans="1:3">
      <c r="A6053" t="s">
        <v>55</v>
      </c>
      <c r="B6053">
        <v>2.5269681989254198</v>
      </c>
      <c r="C6053" s="1">
        <v>44074</v>
      </c>
    </row>
    <row r="6054" spans="1:3">
      <c r="A6054" t="s">
        <v>57</v>
      </c>
      <c r="B6054">
        <v>1.3399247399114</v>
      </c>
      <c r="C6054" s="1">
        <v>44074</v>
      </c>
    </row>
    <row r="6055" spans="1:3">
      <c r="A6055" t="s">
        <v>59</v>
      </c>
      <c r="B6055">
        <v>2.31151774515111</v>
      </c>
      <c r="C6055" s="1">
        <v>44074</v>
      </c>
    </row>
    <row r="6056" spans="1:3">
      <c r="A6056" t="s">
        <v>61</v>
      </c>
      <c r="B6056">
        <v>49.287980520970002</v>
      </c>
      <c r="C6056" s="1">
        <v>44074</v>
      </c>
    </row>
    <row r="6057" spans="1:3">
      <c r="A6057" t="s">
        <v>63</v>
      </c>
      <c r="B6057">
        <v>7.8671880764489597</v>
      </c>
      <c r="C6057" s="1">
        <v>44074</v>
      </c>
    </row>
    <row r="6058" spans="1:3">
      <c r="A6058" t="s">
        <v>65</v>
      </c>
      <c r="B6058">
        <v>0.14579797830753999</v>
      </c>
      <c r="C6058" s="1">
        <v>44074</v>
      </c>
    </row>
    <row r="6059" spans="1:3">
      <c r="A6059" t="s">
        <v>67</v>
      </c>
      <c r="B6059">
        <v>7.1441009370694601</v>
      </c>
      <c r="C6059" s="1">
        <v>44074</v>
      </c>
    </row>
    <row r="6060" spans="1:3">
      <c r="A6060" t="s">
        <v>69</v>
      </c>
      <c r="B6060">
        <v>1.7944366560928</v>
      </c>
      <c r="C6060" s="1">
        <v>44074</v>
      </c>
    </row>
    <row r="6061" spans="1:3">
      <c r="A6061" t="s">
        <v>71</v>
      </c>
      <c r="B6061">
        <v>0.48166457610912</v>
      </c>
      <c r="C6061" s="1">
        <v>44074</v>
      </c>
    </row>
    <row r="6062" spans="1:3">
      <c r="A6062" t="s">
        <v>73</v>
      </c>
      <c r="B6062">
        <v>0.73784401977500003</v>
      </c>
      <c r="C6062" s="1">
        <v>44074</v>
      </c>
    </row>
    <row r="6063" spans="1:3">
      <c r="A6063" t="s">
        <v>75</v>
      </c>
      <c r="B6063">
        <v>6.2569172876920001E-2</v>
      </c>
      <c r="C6063" s="1">
        <v>44074</v>
      </c>
    </row>
    <row r="6064" spans="1:3">
      <c r="A6064" t="s">
        <v>77</v>
      </c>
      <c r="B6064">
        <v>0.72072603851621997</v>
      </c>
      <c r="C6064" s="1">
        <v>44074</v>
      </c>
    </row>
    <row r="6065" spans="1:3">
      <c r="A6065" t="s">
        <v>79</v>
      </c>
      <c r="B6065">
        <v>2.7016896628081399</v>
      </c>
      <c r="C6065" s="1">
        <v>44074</v>
      </c>
    </row>
    <row r="6066" spans="1:3">
      <c r="A6066" t="s">
        <v>81</v>
      </c>
      <c r="B6066">
        <v>6.5408396665014203</v>
      </c>
      <c r="C6066" s="1">
        <v>44074</v>
      </c>
    </row>
    <row r="6067" spans="1:3">
      <c r="A6067" t="s">
        <v>83</v>
      </c>
      <c r="B6067">
        <v>0.16232568435049999</v>
      </c>
      <c r="C6067" s="1">
        <v>44074</v>
      </c>
    </row>
    <row r="6068" spans="1:3">
      <c r="A6068" t="s">
        <v>85</v>
      </c>
      <c r="B6068">
        <v>1.1008632775042999</v>
      </c>
      <c r="C6068" s="1">
        <v>44074</v>
      </c>
    </row>
    <row r="6069" spans="1:3">
      <c r="A6069" t="s">
        <v>87</v>
      </c>
      <c r="B6069">
        <v>8.0200693573463404</v>
      </c>
      <c r="C6069" s="1">
        <v>44074</v>
      </c>
    </row>
    <row r="6070" spans="1:3">
      <c r="A6070" t="s">
        <v>89</v>
      </c>
      <c r="B6070">
        <v>1.7708256474599999</v>
      </c>
      <c r="C6070" s="1">
        <v>44074</v>
      </c>
    </row>
    <row r="6071" spans="1:3">
      <c r="A6071" t="s">
        <v>91</v>
      </c>
      <c r="B6071">
        <v>14.4499372832736</v>
      </c>
      <c r="C6071" s="1">
        <v>44074</v>
      </c>
    </row>
    <row r="6072" spans="1:3">
      <c r="A6072" t="s">
        <v>93</v>
      </c>
      <c r="B6072">
        <v>10.558843060588099</v>
      </c>
      <c r="C6072" s="1">
        <v>44074</v>
      </c>
    </row>
    <row r="6073" spans="1:3">
      <c r="A6073" t="s">
        <v>95</v>
      </c>
      <c r="B6073">
        <v>0.21308935291101999</v>
      </c>
      <c r="C6073" s="1">
        <v>44074</v>
      </c>
    </row>
    <row r="6074" spans="1:3">
      <c r="A6074" t="s">
        <v>97</v>
      </c>
      <c r="B6074">
        <v>1.4668339113127</v>
      </c>
      <c r="C6074" s="1">
        <v>44074</v>
      </c>
    </row>
    <row r="6075" spans="1:3">
      <c r="A6075" t="s">
        <v>99</v>
      </c>
      <c r="B6075">
        <v>3.71401165793944</v>
      </c>
      <c r="C6075" s="1">
        <v>44074</v>
      </c>
    </row>
    <row r="6076" spans="1:3">
      <c r="A6076" t="s">
        <v>101</v>
      </c>
      <c r="B6076">
        <v>4.1909540323219998</v>
      </c>
      <c r="C6076" s="1">
        <v>44074</v>
      </c>
    </row>
    <row r="6077" spans="1:3">
      <c r="A6077" t="s">
        <v>103</v>
      </c>
      <c r="B6077">
        <v>0.50173393344700001</v>
      </c>
      <c r="C6077" s="1">
        <v>44074</v>
      </c>
    </row>
    <row r="6078" spans="1:3">
      <c r="A6078" t="s">
        <v>105</v>
      </c>
      <c r="B6078">
        <v>4.7222017265599998E-2</v>
      </c>
      <c r="C6078" s="1">
        <v>44074</v>
      </c>
    </row>
    <row r="6079" spans="1:3">
      <c r="A6079" t="s">
        <v>107</v>
      </c>
      <c r="B6079">
        <v>0.73666346934336002</v>
      </c>
      <c r="C6079" s="1">
        <v>44074</v>
      </c>
    </row>
    <row r="6080" spans="1:3">
      <c r="A6080" t="s">
        <v>109</v>
      </c>
      <c r="B6080">
        <v>6.5290341621850203</v>
      </c>
      <c r="C6080" s="1">
        <v>44074</v>
      </c>
    </row>
    <row r="6081" spans="1:3">
      <c r="A6081" t="s">
        <v>111</v>
      </c>
      <c r="B6081">
        <v>4.9630340146145597</v>
      </c>
      <c r="C6081" s="1">
        <v>44074</v>
      </c>
    </row>
    <row r="6082" spans="1:3">
      <c r="A6082" t="s">
        <v>113</v>
      </c>
      <c r="B6082">
        <v>4.5079318232173398</v>
      </c>
      <c r="C6082" s="1">
        <v>44074</v>
      </c>
    </row>
    <row r="6083" spans="1:3">
      <c r="A6083" t="s">
        <v>115</v>
      </c>
      <c r="B6083">
        <v>1.8764849110917801</v>
      </c>
      <c r="C6083" s="1">
        <v>44074</v>
      </c>
    </row>
    <row r="6084" spans="1:3">
      <c r="A6084" t="s">
        <v>117</v>
      </c>
      <c r="B6084">
        <v>2.46321847561686</v>
      </c>
      <c r="C6084" s="1">
        <v>44074</v>
      </c>
    </row>
    <row r="6085" spans="1:3">
      <c r="A6085" t="s">
        <v>119</v>
      </c>
      <c r="B6085">
        <v>31.343613960041999</v>
      </c>
      <c r="C6085" s="1">
        <v>44074</v>
      </c>
    </row>
    <row r="6086" spans="1:3">
      <c r="A6086" t="s">
        <v>121</v>
      </c>
      <c r="B6086">
        <v>5.1896996974894396</v>
      </c>
      <c r="C6086" s="1">
        <v>44074</v>
      </c>
    </row>
    <row r="6087" spans="1:3">
      <c r="A6087" t="s">
        <v>123</v>
      </c>
      <c r="B6087">
        <v>3.2453331365783602</v>
      </c>
      <c r="C6087" s="1">
        <v>44074</v>
      </c>
    </row>
    <row r="6088" spans="1:3">
      <c r="A6088" t="s">
        <v>125</v>
      </c>
      <c r="B6088">
        <v>182.55736737273</v>
      </c>
      <c r="C6088" s="1">
        <v>44074</v>
      </c>
    </row>
    <row r="6089" spans="1:3">
      <c r="A6089" t="s">
        <v>127</v>
      </c>
      <c r="B6089">
        <v>3.6048107430127398</v>
      </c>
      <c r="C6089" s="1">
        <v>44074</v>
      </c>
    </row>
    <row r="6090" spans="1:3">
      <c r="A6090" t="s">
        <v>129</v>
      </c>
      <c r="B6090">
        <v>2.2341916918787001</v>
      </c>
      <c r="C6090" s="1">
        <v>44074</v>
      </c>
    </row>
    <row r="6091" spans="1:3">
      <c r="A6091" t="s">
        <v>131</v>
      </c>
      <c r="B6091">
        <v>1.2779458422503001</v>
      </c>
      <c r="C6091" s="1">
        <v>44074</v>
      </c>
    </row>
    <row r="6092" spans="1:3">
      <c r="A6092" t="s">
        <v>134</v>
      </c>
      <c r="B6092">
        <v>1.06485648933928</v>
      </c>
      <c r="C6092" s="1">
        <v>44074</v>
      </c>
    </row>
    <row r="6093" spans="1:3">
      <c r="A6093" t="s">
        <v>136</v>
      </c>
      <c r="B6093">
        <v>6.5225411348110001</v>
      </c>
      <c r="C6093" s="1">
        <v>44074</v>
      </c>
    </row>
    <row r="6094" spans="1:3">
      <c r="A6094" t="s">
        <v>138</v>
      </c>
      <c r="B6094">
        <v>8.0342359625260205</v>
      </c>
      <c r="C6094" s="1">
        <v>44074</v>
      </c>
    </row>
    <row r="6095" spans="1:3">
      <c r="A6095" t="s">
        <v>140</v>
      </c>
      <c r="B6095">
        <v>13.576329963859999</v>
      </c>
      <c r="C6095" s="1">
        <v>44074</v>
      </c>
    </row>
    <row r="6096" spans="1:3">
      <c r="A6096" t="s">
        <v>142</v>
      </c>
      <c r="B6096">
        <v>1.85582527853808</v>
      </c>
      <c r="C6096" s="1">
        <v>44074</v>
      </c>
    </row>
    <row r="6097" spans="1:3">
      <c r="A6097" t="s">
        <v>144</v>
      </c>
      <c r="B6097">
        <v>1.8416586733583999</v>
      </c>
      <c r="C6097" s="1">
        <v>44074</v>
      </c>
    </row>
    <row r="6098" spans="1:3">
      <c r="A6098" t="s">
        <v>146</v>
      </c>
      <c r="B6098">
        <v>1.31572345606278</v>
      </c>
      <c r="C6098" s="1">
        <v>44074</v>
      </c>
    </row>
    <row r="6099" spans="1:3">
      <c r="A6099" t="s">
        <v>148</v>
      </c>
      <c r="B6099">
        <v>6.2327160038433798</v>
      </c>
      <c r="C6099" s="1">
        <v>44074</v>
      </c>
    </row>
    <row r="6100" spans="1:3">
      <c r="A6100" t="s">
        <v>150</v>
      </c>
      <c r="B6100">
        <v>4.0770309156687397</v>
      </c>
      <c r="C6100" s="1">
        <v>44074</v>
      </c>
    </row>
    <row r="6101" spans="1:3">
      <c r="A6101" t="s">
        <v>152</v>
      </c>
      <c r="B6101">
        <v>29.1985538257521</v>
      </c>
      <c r="C6101" s="1">
        <v>44074</v>
      </c>
    </row>
    <row r="6102" spans="1:3">
      <c r="A6102" t="s">
        <v>154</v>
      </c>
      <c r="B6102">
        <v>10.1781155463842</v>
      </c>
      <c r="C6102" s="1">
        <v>44074</v>
      </c>
    </row>
    <row r="6103" spans="1:3">
      <c r="A6103" t="s">
        <v>156</v>
      </c>
      <c r="B6103">
        <v>8.1794436656177396</v>
      </c>
      <c r="C6103" s="1">
        <v>44074</v>
      </c>
    </row>
    <row r="6104" spans="1:3">
      <c r="A6104" t="s">
        <v>158</v>
      </c>
      <c r="B6104">
        <v>74.620821958316895</v>
      </c>
      <c r="C6104" s="1">
        <v>44074</v>
      </c>
    </row>
    <row r="6105" spans="1:3">
      <c r="A6105" t="s">
        <v>160</v>
      </c>
      <c r="B6105">
        <v>5.6660517966561796</v>
      </c>
      <c r="C6105" s="1">
        <v>44074</v>
      </c>
    </row>
    <row r="6106" spans="1:3">
      <c r="A6106" t="s">
        <v>162</v>
      </c>
      <c r="B6106">
        <v>9.2301335497773405</v>
      </c>
      <c r="C6106" s="1">
        <v>44074</v>
      </c>
    </row>
    <row r="6107" spans="1:3">
      <c r="A6107" t="s">
        <v>164</v>
      </c>
      <c r="B6107">
        <v>12.9311591529687</v>
      </c>
      <c r="C6107" s="1">
        <v>44074</v>
      </c>
    </row>
    <row r="6108" spans="1:3">
      <c r="A6108" t="s">
        <v>166</v>
      </c>
      <c r="B6108">
        <v>3.5298457906035998</v>
      </c>
      <c r="C6108" s="1">
        <v>44074</v>
      </c>
    </row>
    <row r="6109" spans="1:3">
      <c r="A6109" t="s">
        <v>168</v>
      </c>
      <c r="B6109">
        <v>12.564007968728699</v>
      </c>
      <c r="C6109" s="1">
        <v>44074</v>
      </c>
    </row>
    <row r="6110" spans="1:3">
      <c r="A6110" t="s">
        <v>4</v>
      </c>
      <c r="B6110">
        <v>0.27757793764847</v>
      </c>
      <c r="C6110" s="1">
        <v>44104</v>
      </c>
    </row>
    <row r="6111" spans="1:3">
      <c r="A6111" t="s">
        <v>8</v>
      </c>
      <c r="B6111">
        <v>21.3129496401795</v>
      </c>
      <c r="C6111" s="1">
        <v>44104</v>
      </c>
    </row>
    <row r="6112" spans="1:3">
      <c r="A6112" t="s">
        <v>11</v>
      </c>
      <c r="B6112">
        <v>35.464628297181903</v>
      </c>
      <c r="C6112" s="1">
        <v>44104</v>
      </c>
    </row>
    <row r="6113" spans="1:3">
      <c r="A6113" t="s">
        <v>14</v>
      </c>
      <c r="B6113">
        <v>1.85971223020638</v>
      </c>
      <c r="C6113" s="1">
        <v>44104</v>
      </c>
    </row>
    <row r="6114" spans="1:3">
      <c r="A6114" t="s">
        <v>17</v>
      </c>
      <c r="B6114">
        <v>6.7338129496060803</v>
      </c>
      <c r="C6114" s="1">
        <v>44104</v>
      </c>
    </row>
    <row r="6115" spans="1:3">
      <c r="A6115" t="s">
        <v>20</v>
      </c>
      <c r="B6115">
        <v>0.179856115107</v>
      </c>
      <c r="C6115" s="1">
        <v>44104</v>
      </c>
    </row>
    <row r="6116" spans="1:3">
      <c r="A6116" t="s">
        <v>24</v>
      </c>
      <c r="B6116">
        <v>0.48561151078890002</v>
      </c>
      <c r="C6116" s="1">
        <v>44104</v>
      </c>
    </row>
    <row r="6117" spans="1:3">
      <c r="A6117" t="s">
        <v>27</v>
      </c>
      <c r="B6117">
        <v>24.4190647480773</v>
      </c>
      <c r="C6117" s="1">
        <v>44104</v>
      </c>
    </row>
    <row r="6118" spans="1:3">
      <c r="A6118" t="s">
        <v>29</v>
      </c>
      <c r="B6118">
        <v>1.02278177457514</v>
      </c>
      <c r="C6118" s="1">
        <v>44104</v>
      </c>
    </row>
    <row r="6119" spans="1:3">
      <c r="A6119" t="s">
        <v>32</v>
      </c>
      <c r="B6119">
        <v>7.3902877697466298</v>
      </c>
      <c r="C6119" s="1">
        <v>44104</v>
      </c>
    </row>
    <row r="6120" spans="1:3">
      <c r="A6120" t="s">
        <v>35</v>
      </c>
      <c r="B6120">
        <v>2.3249400479498199</v>
      </c>
      <c r="C6120" s="1">
        <v>44104</v>
      </c>
    </row>
    <row r="6121" spans="1:3">
      <c r="A6121" t="s">
        <v>37</v>
      </c>
      <c r="B6121">
        <v>0.21882494004684999</v>
      </c>
      <c r="C6121" s="1">
        <v>44104</v>
      </c>
    </row>
    <row r="6122" spans="1:3">
      <c r="A6122" t="s">
        <v>39</v>
      </c>
      <c r="B6122">
        <v>1.1390887290109999</v>
      </c>
      <c r="C6122" s="1">
        <v>44104</v>
      </c>
    </row>
    <row r="6123" spans="1:3">
      <c r="A6123" t="s">
        <v>42</v>
      </c>
      <c r="B6123">
        <v>2.17266187049256</v>
      </c>
      <c r="C6123" s="1">
        <v>44104</v>
      </c>
    </row>
    <row r="6124" spans="1:3">
      <c r="A6124" t="s">
        <v>44</v>
      </c>
      <c r="B6124">
        <v>7.46282973617312</v>
      </c>
      <c r="C6124" s="1">
        <v>44104</v>
      </c>
    </row>
    <row r="6125" spans="1:3">
      <c r="A6125" t="s">
        <v>47</v>
      </c>
      <c r="B6125">
        <v>7.0293764987652496</v>
      </c>
      <c r="C6125" s="1">
        <v>44104</v>
      </c>
    </row>
    <row r="6126" spans="1:3">
      <c r="A6126" t="s">
        <v>49</v>
      </c>
      <c r="B6126">
        <v>11.3699040766808</v>
      </c>
      <c r="C6126" s="1">
        <v>44104</v>
      </c>
    </row>
    <row r="6127" spans="1:3">
      <c r="A6127" t="s">
        <v>51</v>
      </c>
      <c r="B6127">
        <v>0.29256594724071999</v>
      </c>
      <c r="C6127" s="1">
        <v>44104</v>
      </c>
    </row>
    <row r="6128" spans="1:3">
      <c r="A6128" t="s">
        <v>53</v>
      </c>
      <c r="B6128">
        <v>0.34772182254020001</v>
      </c>
      <c r="C6128" s="1">
        <v>44104</v>
      </c>
    </row>
    <row r="6129" spans="1:3">
      <c r="A6129" t="s">
        <v>55</v>
      </c>
      <c r="B6129">
        <v>2.4172661870380798</v>
      </c>
      <c r="C6129" s="1">
        <v>44104</v>
      </c>
    </row>
    <row r="6130" spans="1:3">
      <c r="A6130" t="s">
        <v>57</v>
      </c>
      <c r="B6130">
        <v>1.57254196641887</v>
      </c>
      <c r="C6130" s="1">
        <v>44104</v>
      </c>
    </row>
    <row r="6131" spans="1:3">
      <c r="A6131" t="s">
        <v>59</v>
      </c>
      <c r="B6131">
        <v>2.21043165466503</v>
      </c>
      <c r="C6131" s="1">
        <v>44104</v>
      </c>
    </row>
    <row r="6132" spans="1:3">
      <c r="A6132" t="s">
        <v>61</v>
      </c>
      <c r="B6132">
        <v>62.193045563233198</v>
      </c>
      <c r="C6132" s="1">
        <v>44104</v>
      </c>
    </row>
    <row r="6133" spans="1:3">
      <c r="A6133" t="s">
        <v>63</v>
      </c>
      <c r="B6133">
        <v>7.8854916066745702</v>
      </c>
      <c r="C6133" s="1">
        <v>44104</v>
      </c>
    </row>
    <row r="6134" spans="1:3">
      <c r="A6134" t="s">
        <v>65</v>
      </c>
      <c r="B6134">
        <v>0.14448441246929</v>
      </c>
      <c r="C6134" s="1">
        <v>44104</v>
      </c>
    </row>
    <row r="6135" spans="1:3">
      <c r="A6135" t="s">
        <v>67</v>
      </c>
      <c r="B6135">
        <v>7.6690647481624801</v>
      </c>
      <c r="C6135" s="1">
        <v>44104</v>
      </c>
    </row>
    <row r="6136" spans="1:3">
      <c r="A6136" t="s">
        <v>69</v>
      </c>
      <c r="B6136">
        <v>1.8687050359617301</v>
      </c>
      <c r="C6136" s="1">
        <v>44104</v>
      </c>
    </row>
    <row r="6137" spans="1:3">
      <c r="A6137" t="s">
        <v>71</v>
      </c>
      <c r="B6137">
        <v>0.52517985611244</v>
      </c>
      <c r="C6137" s="1">
        <v>44104</v>
      </c>
    </row>
    <row r="6138" spans="1:3">
      <c r="A6138" t="s">
        <v>73</v>
      </c>
      <c r="B6138">
        <v>0.77458033572747997</v>
      </c>
      <c r="C6138" s="1">
        <v>44104</v>
      </c>
    </row>
    <row r="6139" spans="1:3">
      <c r="A6139" t="s">
        <v>75</v>
      </c>
      <c r="B6139">
        <v>6.9544364508039996E-2</v>
      </c>
      <c r="C6139" s="1">
        <v>44104</v>
      </c>
    </row>
    <row r="6140" spans="1:3">
      <c r="A6140" t="s">
        <v>77</v>
      </c>
      <c r="B6140">
        <v>0.73441247002025001</v>
      </c>
      <c r="C6140" s="1">
        <v>44104</v>
      </c>
    </row>
    <row r="6141" spans="1:3">
      <c r="A6141" t="s">
        <v>79</v>
      </c>
      <c r="B6141">
        <v>2.79856115106492</v>
      </c>
      <c r="C6141" s="1">
        <v>44104</v>
      </c>
    </row>
    <row r="6142" spans="1:3">
      <c r="A6142" t="s">
        <v>81</v>
      </c>
      <c r="B6142">
        <v>6.6696642685512497</v>
      </c>
      <c r="C6142" s="1">
        <v>44104</v>
      </c>
    </row>
    <row r="6143" spans="1:3">
      <c r="A6143" t="s">
        <v>83</v>
      </c>
      <c r="B6143">
        <v>0.14688249400405001</v>
      </c>
      <c r="C6143" s="1">
        <v>44104</v>
      </c>
    </row>
    <row r="6144" spans="1:3">
      <c r="A6144" t="s">
        <v>85</v>
      </c>
      <c r="B6144">
        <v>0.98261390886791</v>
      </c>
      <c r="C6144" s="1">
        <v>44104</v>
      </c>
    </row>
    <row r="6145" spans="1:3">
      <c r="A6145" t="s">
        <v>87</v>
      </c>
      <c r="B6145">
        <v>7.15107913665432</v>
      </c>
      <c r="C6145" s="1">
        <v>44104</v>
      </c>
    </row>
    <row r="6146" spans="1:3">
      <c r="A6146" t="s">
        <v>89</v>
      </c>
      <c r="B6146">
        <v>2.0683453237305001</v>
      </c>
      <c r="C6146" s="1">
        <v>44104</v>
      </c>
    </row>
    <row r="6147" spans="1:3">
      <c r="A6147" t="s">
        <v>91</v>
      </c>
      <c r="B6147">
        <v>14.568345323667</v>
      </c>
      <c r="C6147" s="1">
        <v>44104</v>
      </c>
    </row>
    <row r="6148" spans="1:3">
      <c r="A6148" t="s">
        <v>93</v>
      </c>
      <c r="B6148">
        <v>12.176858513127501</v>
      </c>
      <c r="C6148" s="1">
        <v>44104</v>
      </c>
    </row>
    <row r="6149" spans="1:3">
      <c r="A6149" t="s">
        <v>95</v>
      </c>
      <c r="B6149">
        <v>0.20863309352411999</v>
      </c>
      <c r="C6149" s="1">
        <v>44104</v>
      </c>
    </row>
    <row r="6150" spans="1:3">
      <c r="A6150" t="s">
        <v>97</v>
      </c>
      <c r="B6150">
        <v>1.8585131894389999</v>
      </c>
      <c r="C6150" s="1">
        <v>44104</v>
      </c>
    </row>
    <row r="6151" spans="1:3">
      <c r="A6151" t="s">
        <v>99</v>
      </c>
      <c r="B6151">
        <v>3.7170263788779998</v>
      </c>
      <c r="C6151" s="1">
        <v>44104</v>
      </c>
    </row>
    <row r="6152" spans="1:3">
      <c r="A6152" t="s">
        <v>101</v>
      </c>
      <c r="B6152">
        <v>4.2865707433834999</v>
      </c>
      <c r="C6152" s="1">
        <v>44104</v>
      </c>
    </row>
    <row r="6153" spans="1:3">
      <c r="A6153" t="s">
        <v>107</v>
      </c>
      <c r="B6153">
        <v>0.81534772181839998</v>
      </c>
      <c r="C6153" s="1">
        <v>44104</v>
      </c>
    </row>
    <row r="6154" spans="1:3">
      <c r="A6154" t="s">
        <v>109</v>
      </c>
      <c r="B6154">
        <v>5.3441247002126602</v>
      </c>
      <c r="C6154" s="1">
        <v>44104</v>
      </c>
    </row>
    <row r="6155" spans="1:3">
      <c r="A6155" t="s">
        <v>111</v>
      </c>
      <c r="B6155">
        <v>4.6019184652044398</v>
      </c>
      <c r="C6155" s="1">
        <v>44104</v>
      </c>
    </row>
    <row r="6156" spans="1:3">
      <c r="A6156" t="s">
        <v>113</v>
      </c>
      <c r="B6156">
        <v>4.9160671462580003</v>
      </c>
      <c r="C6156" s="1">
        <v>44104</v>
      </c>
    </row>
    <row r="6157" spans="1:3">
      <c r="A6157" t="s">
        <v>115</v>
      </c>
      <c r="B6157">
        <v>2.1133093525072502</v>
      </c>
      <c r="C6157" s="1">
        <v>44104</v>
      </c>
    </row>
    <row r="6158" spans="1:3">
      <c r="A6158" t="s">
        <v>117</v>
      </c>
      <c r="B6158">
        <v>2.8147482014245502</v>
      </c>
      <c r="C6158" s="1">
        <v>44104</v>
      </c>
    </row>
    <row r="6159" spans="1:3">
      <c r="A6159" t="s">
        <v>119</v>
      </c>
      <c r="B6159">
        <v>29.7146282972111</v>
      </c>
      <c r="C6159" s="1">
        <v>44104</v>
      </c>
    </row>
    <row r="6160" spans="1:3">
      <c r="A6160" t="s">
        <v>121</v>
      </c>
      <c r="B6160">
        <v>5.6366906474533804</v>
      </c>
      <c r="C6160" s="1">
        <v>44104</v>
      </c>
    </row>
    <row r="6161" spans="1:3">
      <c r="A6161" t="s">
        <v>123</v>
      </c>
      <c r="B6161">
        <v>3.1169064748043098</v>
      </c>
      <c r="C6161" s="1">
        <v>44104</v>
      </c>
    </row>
    <row r="6162" spans="1:3">
      <c r="A6162" t="s">
        <v>125</v>
      </c>
      <c r="B6162">
        <v>177.45803357224</v>
      </c>
      <c r="C6162" s="1">
        <v>44104</v>
      </c>
    </row>
    <row r="6163" spans="1:3">
      <c r="A6163" t="s">
        <v>127</v>
      </c>
      <c r="B6163">
        <v>3.3657074340356599</v>
      </c>
      <c r="C6163" s="1">
        <v>44104</v>
      </c>
    </row>
    <row r="6164" spans="1:3">
      <c r="A6164" t="s">
        <v>129</v>
      </c>
      <c r="B6164">
        <v>2.47182254195386</v>
      </c>
      <c r="C6164" s="1">
        <v>44104</v>
      </c>
    </row>
    <row r="6165" spans="1:3">
      <c r="A6165" t="s">
        <v>131</v>
      </c>
      <c r="B6165">
        <v>1.32314148680383</v>
      </c>
      <c r="C6165" s="1">
        <v>44104</v>
      </c>
    </row>
    <row r="6166" spans="1:3">
      <c r="A6166" t="s">
        <v>134</v>
      </c>
      <c r="B6166">
        <v>1.20803357313535</v>
      </c>
      <c r="C6166" s="1">
        <v>44104</v>
      </c>
    </row>
    <row r="6167" spans="1:3">
      <c r="A6167" t="s">
        <v>136</v>
      </c>
      <c r="B6167">
        <v>8.1924460431238497</v>
      </c>
      <c r="C6167" s="1">
        <v>44104</v>
      </c>
    </row>
    <row r="6168" spans="1:3">
      <c r="A6168" t="s">
        <v>138</v>
      </c>
      <c r="B6168">
        <v>8.2799760191425893</v>
      </c>
      <c r="C6168" s="1">
        <v>44104</v>
      </c>
    </row>
    <row r="6169" spans="1:3">
      <c r="A6169" t="s">
        <v>140</v>
      </c>
      <c r="B6169">
        <v>13.3291366905797</v>
      </c>
      <c r="C6169" s="1">
        <v>44104</v>
      </c>
    </row>
    <row r="6170" spans="1:3">
      <c r="A6170" t="s">
        <v>142</v>
      </c>
      <c r="B6170">
        <v>1.89148681054195</v>
      </c>
      <c r="C6170" s="1">
        <v>44104</v>
      </c>
    </row>
    <row r="6171" spans="1:3">
      <c r="A6171" t="s">
        <v>144</v>
      </c>
      <c r="B6171">
        <v>1.71642685850447</v>
      </c>
      <c r="C6171" s="1">
        <v>44104</v>
      </c>
    </row>
    <row r="6172" spans="1:3">
      <c r="A6172" t="s">
        <v>146</v>
      </c>
      <c r="B6172">
        <v>1.5911270983132599</v>
      </c>
      <c r="C6172" s="1">
        <v>44104</v>
      </c>
    </row>
    <row r="6173" spans="1:3">
      <c r="A6173" t="s">
        <v>148</v>
      </c>
      <c r="B6173">
        <v>6.4772182253867596</v>
      </c>
      <c r="C6173" s="1">
        <v>44104</v>
      </c>
    </row>
    <row r="6174" spans="1:3">
      <c r="A6174" t="s">
        <v>150</v>
      </c>
      <c r="B6174">
        <v>4.45503597120039</v>
      </c>
      <c r="C6174" s="1">
        <v>44104</v>
      </c>
    </row>
    <row r="6175" spans="1:3">
      <c r="A6175" t="s">
        <v>152</v>
      </c>
      <c r="B6175">
        <v>25.965227817613901</v>
      </c>
      <c r="C6175" s="1">
        <v>44104</v>
      </c>
    </row>
    <row r="6176" spans="1:3">
      <c r="A6176" t="s">
        <v>154</v>
      </c>
      <c r="B6176">
        <v>11.4370503596541</v>
      </c>
      <c r="C6176" s="1">
        <v>44104</v>
      </c>
    </row>
    <row r="6177" spans="1:3">
      <c r="A6177" t="s">
        <v>156</v>
      </c>
      <c r="B6177">
        <v>7.7679856114713299</v>
      </c>
      <c r="C6177" s="1">
        <v>44104</v>
      </c>
    </row>
    <row r="6178" spans="1:3">
      <c r="A6178" t="s">
        <v>158</v>
      </c>
      <c r="B6178">
        <v>69.7272182250654</v>
      </c>
      <c r="C6178" s="1">
        <v>44104</v>
      </c>
    </row>
    <row r="6179" spans="1:3">
      <c r="A6179" t="s">
        <v>160</v>
      </c>
      <c r="B6179">
        <v>6.0413669064441304</v>
      </c>
      <c r="C6179" s="1">
        <v>44104</v>
      </c>
    </row>
    <row r="6180" spans="1:3">
      <c r="A6180" t="s">
        <v>162</v>
      </c>
      <c r="B6180">
        <v>8.7212230215384299</v>
      </c>
      <c r="C6180" s="1">
        <v>44104</v>
      </c>
    </row>
    <row r="6181" spans="1:3">
      <c r="A6181" t="s">
        <v>164</v>
      </c>
      <c r="B6181">
        <v>12.1870503596503</v>
      </c>
      <c r="C6181" s="1">
        <v>44104</v>
      </c>
    </row>
    <row r="6182" spans="1:3">
      <c r="A6182" t="s">
        <v>166</v>
      </c>
      <c r="B6182">
        <v>3.6846522781587399</v>
      </c>
      <c r="C6182" s="1">
        <v>44104</v>
      </c>
    </row>
    <row r="6183" spans="1:3">
      <c r="A6183" t="s">
        <v>168</v>
      </c>
      <c r="B6183">
        <v>11.6007194244015</v>
      </c>
      <c r="C6183" s="1">
        <v>44104</v>
      </c>
    </row>
    <row r="6184" spans="1:3">
      <c r="A6184" t="s">
        <v>4</v>
      </c>
      <c r="B6184">
        <v>0.25848142164600002</v>
      </c>
      <c r="C6184" s="1">
        <v>44135</v>
      </c>
    </row>
    <row r="6185" spans="1:3">
      <c r="A6185" t="s">
        <v>8</v>
      </c>
      <c r="B6185">
        <v>18.7491345486795</v>
      </c>
      <c r="C6185" s="1">
        <v>44135</v>
      </c>
    </row>
    <row r="6186" spans="1:3">
      <c r="A6186" t="s">
        <v>11</v>
      </c>
      <c r="B6186">
        <v>31.513808754297699</v>
      </c>
      <c r="C6186" s="1">
        <v>44135</v>
      </c>
    </row>
    <row r="6187" spans="1:3">
      <c r="A6187" t="s">
        <v>14</v>
      </c>
      <c r="B6187">
        <v>1.8309100699925001</v>
      </c>
      <c r="C6187" s="1">
        <v>44135</v>
      </c>
    </row>
    <row r="6188" spans="1:3">
      <c r="A6188" t="s">
        <v>17</v>
      </c>
      <c r="B6188">
        <v>6.2306331255811997</v>
      </c>
      <c r="C6188" s="1">
        <v>44135</v>
      </c>
    </row>
    <row r="6189" spans="1:3">
      <c r="A6189" t="s">
        <v>20</v>
      </c>
      <c r="B6189">
        <v>0.190783906453</v>
      </c>
      <c r="C6189" s="1">
        <v>44135</v>
      </c>
    </row>
    <row r="6190" spans="1:3">
      <c r="A6190" t="s">
        <v>24</v>
      </c>
      <c r="B6190">
        <v>0.612354796518499</v>
      </c>
      <c r="C6190" s="1">
        <v>44135</v>
      </c>
    </row>
    <row r="6191" spans="1:3">
      <c r="A6191" t="s">
        <v>27</v>
      </c>
      <c r="B6191">
        <v>23.1310100775355</v>
      </c>
      <c r="C6191" s="1">
        <v>44135</v>
      </c>
    </row>
    <row r="6192" spans="1:3">
      <c r="A6192" t="s">
        <v>29</v>
      </c>
      <c r="B6192">
        <v>1.0025386568126999</v>
      </c>
      <c r="C6192" s="1">
        <v>44135</v>
      </c>
    </row>
    <row r="6193" spans="1:3">
      <c r="A6193" t="s">
        <v>32</v>
      </c>
      <c r="B6193">
        <v>7.5408877605438898</v>
      </c>
      <c r="C6193" s="1">
        <v>44135</v>
      </c>
    </row>
    <row r="6194" spans="1:3">
      <c r="A6194" t="s">
        <v>35</v>
      </c>
      <c r="B6194">
        <v>2.4863451034519999</v>
      </c>
      <c r="C6194" s="1">
        <v>44135</v>
      </c>
    </row>
    <row r="6195" spans="1:3">
      <c r="A6195" t="s">
        <v>37</v>
      </c>
      <c r="B6195">
        <v>0.217247480573899</v>
      </c>
      <c r="C6195" s="1">
        <v>44135</v>
      </c>
    </row>
    <row r="6196" spans="1:3">
      <c r="A6196" t="s">
        <v>39</v>
      </c>
      <c r="B6196">
        <v>1.2314793445562999</v>
      </c>
      <c r="C6196" s="1">
        <v>44135</v>
      </c>
    </row>
    <row r="6197" spans="1:3">
      <c r="A6197" t="s">
        <v>42</v>
      </c>
      <c r="B6197">
        <v>2.3380260019837</v>
      </c>
      <c r="C6197" s="1">
        <v>44135</v>
      </c>
    </row>
    <row r="6198" spans="1:3">
      <c r="A6198" t="s">
        <v>44</v>
      </c>
      <c r="B6198">
        <v>6.7100546195388997</v>
      </c>
      <c r="C6198" s="1">
        <v>44135</v>
      </c>
    </row>
    <row r="6199" spans="1:3">
      <c r="A6199" t="s">
        <v>47</v>
      </c>
      <c r="B6199">
        <v>6.6897453649810004</v>
      </c>
      <c r="C6199" s="1">
        <v>44135</v>
      </c>
    </row>
    <row r="6200" spans="1:3">
      <c r="A6200" t="s">
        <v>49</v>
      </c>
      <c r="B6200">
        <v>10.6254327255195</v>
      </c>
      <c r="C6200" s="1">
        <v>44135</v>
      </c>
    </row>
    <row r="6201" spans="1:3">
      <c r="A6201" t="s">
        <v>51</v>
      </c>
      <c r="B6201">
        <v>0.29540733902399902</v>
      </c>
      <c r="C6201" s="1">
        <v>44135</v>
      </c>
    </row>
    <row r="6202" spans="1:3">
      <c r="A6202" t="s">
        <v>53</v>
      </c>
      <c r="B6202">
        <v>0.38341410877490001</v>
      </c>
      <c r="C6202" s="1">
        <v>44135</v>
      </c>
    </row>
    <row r="6203" spans="1:3">
      <c r="A6203" t="s">
        <v>55</v>
      </c>
      <c r="B6203">
        <v>2.3097161319939001</v>
      </c>
      <c r="C6203" s="1">
        <v>44135</v>
      </c>
    </row>
    <row r="6204" spans="1:3">
      <c r="A6204" t="s">
        <v>57</v>
      </c>
      <c r="B6204">
        <v>1.5767366720406</v>
      </c>
      <c r="C6204" s="1">
        <v>44135</v>
      </c>
    </row>
    <row r="6205" spans="1:3">
      <c r="A6205" t="s">
        <v>59</v>
      </c>
      <c r="B6205">
        <v>1.8918378336661901</v>
      </c>
      <c r="C6205" s="1">
        <v>44135</v>
      </c>
    </row>
    <row r="6206" spans="1:3">
      <c r="A6206" t="s">
        <v>61</v>
      </c>
      <c r="B6206">
        <v>70.159243018200002</v>
      </c>
      <c r="C6206" s="1">
        <v>44135</v>
      </c>
    </row>
    <row r="6207" spans="1:3">
      <c r="A6207" t="s">
        <v>63</v>
      </c>
      <c r="B6207">
        <v>7.0897761365759999</v>
      </c>
      <c r="C6207" s="1">
        <v>44135</v>
      </c>
    </row>
    <row r="6208" spans="1:3">
      <c r="A6208" t="s">
        <v>65</v>
      </c>
      <c r="B6208">
        <v>0.1224709593037</v>
      </c>
      <c r="C6208" s="1">
        <v>44135</v>
      </c>
    </row>
    <row r="6209" spans="1:3">
      <c r="A6209" t="s">
        <v>67</v>
      </c>
      <c r="B6209">
        <v>6.5851219324099999</v>
      </c>
      <c r="C6209" s="1">
        <v>44135</v>
      </c>
    </row>
    <row r="6210" spans="1:3">
      <c r="A6210" t="s">
        <v>69</v>
      </c>
      <c r="B6210">
        <v>1.9244557273501</v>
      </c>
      <c r="C6210" s="1">
        <v>44135</v>
      </c>
    </row>
    <row r="6211" spans="1:3">
      <c r="A6211" t="s">
        <v>71</v>
      </c>
      <c r="B6211">
        <v>0.49973074851559901</v>
      </c>
      <c r="C6211" s="1">
        <v>44135</v>
      </c>
    </row>
    <row r="6212" spans="1:3">
      <c r="A6212" t="s">
        <v>73</v>
      </c>
      <c r="B6212">
        <v>0.79390722362699995</v>
      </c>
      <c r="C6212" s="1">
        <v>44135</v>
      </c>
    </row>
    <row r="6213" spans="1:3">
      <c r="A6213" t="s">
        <v>75</v>
      </c>
      <c r="B6213">
        <v>7.4467266712300001E-2</v>
      </c>
      <c r="C6213" s="1">
        <v>44135</v>
      </c>
    </row>
    <row r="6214" spans="1:3">
      <c r="A6214" t="s">
        <v>77</v>
      </c>
      <c r="B6214">
        <v>0.65297330563429901</v>
      </c>
      <c r="C6214" s="1">
        <v>44135</v>
      </c>
    </row>
    <row r="6215" spans="1:3">
      <c r="A6215" t="s">
        <v>79</v>
      </c>
      <c r="B6215">
        <v>2.6648203707789899</v>
      </c>
      <c r="C6215" s="1">
        <v>44135</v>
      </c>
    </row>
    <row r="6216" spans="1:3">
      <c r="A6216" t="s">
        <v>81</v>
      </c>
      <c r="B6216">
        <v>5.2164012615987998</v>
      </c>
      <c r="C6216" s="1">
        <v>44135</v>
      </c>
    </row>
    <row r="6217" spans="1:3">
      <c r="A6217" t="s">
        <v>83</v>
      </c>
      <c r="B6217">
        <v>0.14154934994899901</v>
      </c>
      <c r="C6217" s="1">
        <v>44135</v>
      </c>
    </row>
    <row r="6218" spans="1:3">
      <c r="A6218" t="s">
        <v>85</v>
      </c>
      <c r="B6218">
        <v>1.2364028002067</v>
      </c>
      <c r="C6218" s="1">
        <v>44135</v>
      </c>
    </row>
    <row r="6219" spans="1:3">
      <c r="A6219" t="s">
        <v>87</v>
      </c>
      <c r="B6219">
        <v>6.4958842987464998</v>
      </c>
      <c r="C6219" s="1">
        <v>44135</v>
      </c>
    </row>
    <row r="6220" spans="1:3">
      <c r="A6220" t="s">
        <v>89</v>
      </c>
      <c r="B6220">
        <v>2.4309562273849998</v>
      </c>
      <c r="C6220" s="1">
        <v>44135</v>
      </c>
    </row>
    <row r="6221" spans="1:3">
      <c r="A6221" t="s">
        <v>91</v>
      </c>
      <c r="B6221">
        <v>15.07808292935</v>
      </c>
      <c r="C6221" s="1">
        <v>44135</v>
      </c>
    </row>
    <row r="6222" spans="1:3">
      <c r="A6222" t="s">
        <v>93</v>
      </c>
      <c r="B6222">
        <v>13.5302715592555</v>
      </c>
      <c r="C6222" s="1">
        <v>44135</v>
      </c>
    </row>
    <row r="6223" spans="1:3">
      <c r="A6223" t="s">
        <v>95</v>
      </c>
      <c r="B6223">
        <v>0.23140241556879901</v>
      </c>
      <c r="C6223" s="1">
        <v>44135</v>
      </c>
    </row>
    <row r="6224" spans="1:3">
      <c r="A6224" t="s">
        <v>97</v>
      </c>
      <c r="B6224">
        <v>2.33925686589629</v>
      </c>
      <c r="C6224" s="1">
        <v>44135</v>
      </c>
    </row>
    <row r="6225" spans="1:3">
      <c r="A6225" t="s">
        <v>99</v>
      </c>
      <c r="B6225">
        <v>3.6556658204219898</v>
      </c>
      <c r="C6225" s="1">
        <v>44135</v>
      </c>
    </row>
    <row r="6226" spans="1:3">
      <c r="A6226" t="s">
        <v>101</v>
      </c>
      <c r="B6226">
        <v>4.8686822062893</v>
      </c>
      <c r="C6226" s="1">
        <v>44135</v>
      </c>
    </row>
    <row r="6227" spans="1:3">
      <c r="A6227" t="s">
        <v>107</v>
      </c>
      <c r="B6227">
        <v>0.83083314100499905</v>
      </c>
      <c r="C6227" s="1">
        <v>44135</v>
      </c>
    </row>
    <row r="6228" spans="1:3">
      <c r="A6228" t="s">
        <v>109</v>
      </c>
      <c r="B6228">
        <v>4.9080698514924999</v>
      </c>
      <c r="C6228" s="1">
        <v>44135</v>
      </c>
    </row>
    <row r="6229" spans="1:3">
      <c r="A6229" t="s">
        <v>111</v>
      </c>
      <c r="B6229">
        <v>4.6938995307000999</v>
      </c>
      <c r="C6229" s="1">
        <v>44135</v>
      </c>
    </row>
    <row r="6230" spans="1:3">
      <c r="A6230" t="s">
        <v>113</v>
      </c>
      <c r="B6230">
        <v>5.2945611200488996</v>
      </c>
      <c r="C6230" s="1">
        <v>44135</v>
      </c>
    </row>
    <row r="6231" spans="1:3">
      <c r="A6231" t="s">
        <v>115</v>
      </c>
      <c r="B6231">
        <v>2.1497038233559</v>
      </c>
      <c r="C6231" s="1">
        <v>44135</v>
      </c>
    </row>
    <row r="6232" spans="1:3">
      <c r="A6232" t="s">
        <v>117</v>
      </c>
      <c r="B6232">
        <v>3.1534733440811999</v>
      </c>
      <c r="C6232" s="1">
        <v>44135</v>
      </c>
    </row>
    <row r="6233" spans="1:3">
      <c r="A6233" t="s">
        <v>119</v>
      </c>
      <c r="B6233">
        <v>29.559812293045301</v>
      </c>
      <c r="C6233" s="1">
        <v>44135</v>
      </c>
    </row>
    <row r="6234" spans="1:3">
      <c r="A6234" t="s">
        <v>121</v>
      </c>
      <c r="B6234">
        <v>5.3154858065630997</v>
      </c>
      <c r="C6234" s="1">
        <v>44135</v>
      </c>
    </row>
    <row r="6235" spans="1:3">
      <c r="A6235" t="s">
        <v>123</v>
      </c>
      <c r="B6235">
        <v>2.9091468574301</v>
      </c>
      <c r="C6235" s="1">
        <v>44135</v>
      </c>
    </row>
    <row r="6236" spans="1:3">
      <c r="A6236" t="s">
        <v>125</v>
      </c>
      <c r="B6236">
        <v>194.55773520903099</v>
      </c>
      <c r="C6236" s="1">
        <v>44135</v>
      </c>
    </row>
    <row r="6237" spans="1:3">
      <c r="A6237" t="s">
        <v>127</v>
      </c>
      <c r="B6237">
        <v>3.55658127545769</v>
      </c>
      <c r="C6237" s="1">
        <v>44135</v>
      </c>
    </row>
    <row r="6238" spans="1:3">
      <c r="A6238" t="s">
        <v>129</v>
      </c>
      <c r="B6238">
        <v>2.3140241556880001</v>
      </c>
      <c r="C6238" s="1">
        <v>44135</v>
      </c>
    </row>
    <row r="6239" spans="1:3">
      <c r="A6239" t="s">
        <v>131</v>
      </c>
      <c r="B6239">
        <v>1.3545657358162999</v>
      </c>
      <c r="C6239" s="1">
        <v>44135</v>
      </c>
    </row>
    <row r="6240" spans="1:3">
      <c r="A6240" t="s">
        <v>134</v>
      </c>
      <c r="B6240">
        <v>1.1231633202475</v>
      </c>
      <c r="C6240" s="1">
        <v>44135</v>
      </c>
    </row>
    <row r="6241" spans="1:3">
      <c r="A6241" t="s">
        <v>136</v>
      </c>
      <c r="B6241">
        <v>7.9335333486632997</v>
      </c>
      <c r="C6241" s="1">
        <v>44135</v>
      </c>
    </row>
    <row r="6242" spans="1:3">
      <c r="A6242" t="s">
        <v>138</v>
      </c>
      <c r="B6242">
        <v>8.2012462496537992</v>
      </c>
      <c r="C6242" s="1">
        <v>44135</v>
      </c>
    </row>
    <row r="6243" spans="1:3">
      <c r="A6243" t="s">
        <v>140</v>
      </c>
      <c r="B6243">
        <v>14.521117008898401</v>
      </c>
      <c r="C6243" s="1">
        <v>44135</v>
      </c>
    </row>
    <row r="6244" spans="1:3">
      <c r="A6244" t="s">
        <v>142</v>
      </c>
      <c r="B6244">
        <v>1.8346026617303</v>
      </c>
      <c r="C6244" s="1">
        <v>44135</v>
      </c>
    </row>
    <row r="6245" spans="1:3">
      <c r="A6245" t="s">
        <v>144</v>
      </c>
      <c r="B6245">
        <v>2.0616970536050001</v>
      </c>
      <c r="C6245" s="1">
        <v>44135</v>
      </c>
    </row>
    <row r="6246" spans="1:3">
      <c r="A6246" t="s">
        <v>146</v>
      </c>
      <c r="B6246">
        <v>1.4265712747033901</v>
      </c>
      <c r="C6246" s="1">
        <v>44135</v>
      </c>
    </row>
    <row r="6247" spans="1:3">
      <c r="A6247" t="s">
        <v>148</v>
      </c>
      <c r="B6247">
        <v>6.5278867604740896</v>
      </c>
      <c r="C6247" s="1">
        <v>44135</v>
      </c>
    </row>
    <row r="6248" spans="1:3">
      <c r="A6248" t="s">
        <v>150</v>
      </c>
      <c r="B6248">
        <v>4.5265020385865</v>
      </c>
      <c r="C6248" s="1">
        <v>44135</v>
      </c>
    </row>
    <row r="6249" spans="1:3">
      <c r="A6249" t="s">
        <v>152</v>
      </c>
      <c r="B6249">
        <v>22.698976844212801</v>
      </c>
      <c r="C6249" s="1">
        <v>44135</v>
      </c>
    </row>
    <row r="6250" spans="1:3">
      <c r="A6250" t="s">
        <v>154</v>
      </c>
      <c r="B6250">
        <v>12.4003384874887</v>
      </c>
      <c r="C6250" s="1">
        <v>44135</v>
      </c>
    </row>
    <row r="6251" spans="1:3">
      <c r="A6251" t="s">
        <v>156</v>
      </c>
      <c r="B6251">
        <v>5.1714747287889002</v>
      </c>
      <c r="C6251" s="1">
        <v>44135</v>
      </c>
    </row>
    <row r="6252" spans="1:3">
      <c r="A6252" t="s">
        <v>158</v>
      </c>
      <c r="B6252">
        <v>65.568736056158301</v>
      </c>
      <c r="C6252" s="1">
        <v>44135</v>
      </c>
    </row>
    <row r="6253" spans="1:3">
      <c r="A6253" t="s">
        <v>160</v>
      </c>
      <c r="B6253">
        <v>5.9069159165674003</v>
      </c>
      <c r="C6253" s="1">
        <v>44135</v>
      </c>
    </row>
    <row r="6254" spans="1:3">
      <c r="A6254" t="s">
        <v>162</v>
      </c>
      <c r="B6254">
        <v>8.7865220400951003</v>
      </c>
      <c r="C6254" s="1">
        <v>44135</v>
      </c>
    </row>
    <row r="6255" spans="1:3">
      <c r="A6255" t="s">
        <v>164</v>
      </c>
      <c r="B6255">
        <v>10.6254327255195</v>
      </c>
      <c r="C6255" s="1">
        <v>44135</v>
      </c>
    </row>
    <row r="6256" spans="1:3">
      <c r="A6256" t="s">
        <v>166</v>
      </c>
      <c r="B6256">
        <v>3.4987306715655002</v>
      </c>
      <c r="C6256" s="1">
        <v>44135</v>
      </c>
    </row>
    <row r="6257" spans="1:3">
      <c r="A6257" t="s">
        <v>168</v>
      </c>
      <c r="B6257">
        <v>14.004769597562801</v>
      </c>
      <c r="C6257" s="1">
        <v>44135</v>
      </c>
    </row>
    <row r="6258" spans="1:3">
      <c r="A6258" t="s">
        <v>4</v>
      </c>
      <c r="B6258">
        <v>0.26750666343744001</v>
      </c>
      <c r="C6258" s="1">
        <v>44165</v>
      </c>
    </row>
    <row r="6259" spans="1:3">
      <c r="A6259" t="s">
        <v>8</v>
      </c>
      <c r="B6259">
        <v>22.258622082350001</v>
      </c>
      <c r="C6259" s="1">
        <v>44165</v>
      </c>
    </row>
    <row r="6260" spans="1:3">
      <c r="A6260" t="s">
        <v>11</v>
      </c>
      <c r="B6260">
        <v>35.186818512437704</v>
      </c>
      <c r="C6260" s="1">
        <v>44165</v>
      </c>
    </row>
    <row r="6261" spans="1:3">
      <c r="A6261" t="s">
        <v>14</v>
      </c>
      <c r="B6261">
        <v>2.47928277200351</v>
      </c>
      <c r="C6261" s="1">
        <v>44165</v>
      </c>
    </row>
    <row r="6262" spans="1:3">
      <c r="A6262" t="s">
        <v>17</v>
      </c>
      <c r="B6262">
        <v>8.3889831193436795</v>
      </c>
      <c r="C6262" s="1">
        <v>44165</v>
      </c>
    </row>
    <row r="6263" spans="1:3">
      <c r="A6263" t="s">
        <v>20</v>
      </c>
      <c r="B6263">
        <v>0.24230676036000001</v>
      </c>
      <c r="C6263" s="1">
        <v>44165</v>
      </c>
    </row>
    <row r="6264" spans="1:3">
      <c r="A6264" t="s">
        <v>24</v>
      </c>
      <c r="B6264">
        <v>0.61384379291199997</v>
      </c>
      <c r="C6264" s="1">
        <v>44165</v>
      </c>
    </row>
    <row r="6265" spans="1:3">
      <c r="A6265" t="s">
        <v>27</v>
      </c>
      <c r="B6265">
        <v>30.013730716592001</v>
      </c>
      <c r="C6265" s="1">
        <v>44165</v>
      </c>
    </row>
    <row r="6266" spans="1:3">
      <c r="A6266" t="s">
        <v>29</v>
      </c>
      <c r="B6266">
        <v>1.02285760439968</v>
      </c>
      <c r="C6266" s="1">
        <v>44165</v>
      </c>
    </row>
    <row r="6267" spans="1:3">
      <c r="A6267" t="s">
        <v>32</v>
      </c>
      <c r="B6267">
        <v>7.9625232211100796</v>
      </c>
      <c r="C6267" s="1">
        <v>44165</v>
      </c>
    </row>
    <row r="6268" spans="1:3">
      <c r="A6268" t="s">
        <v>35</v>
      </c>
      <c r="B6268">
        <v>2.7429125272752</v>
      </c>
      <c r="C6268" s="1">
        <v>44165</v>
      </c>
    </row>
    <row r="6269" spans="1:3">
      <c r="A6269" t="s">
        <v>37</v>
      </c>
      <c r="B6269">
        <v>0.25522978757920001</v>
      </c>
      <c r="C6269" s="1">
        <v>44165</v>
      </c>
    </row>
    <row r="6270" spans="1:3">
      <c r="A6270" t="s">
        <v>39</v>
      </c>
      <c r="B6270">
        <v>1.6153784024</v>
      </c>
      <c r="C6270" s="1">
        <v>44165</v>
      </c>
    </row>
    <row r="6271" spans="1:3">
      <c r="A6271" t="s">
        <v>42</v>
      </c>
      <c r="B6271">
        <v>2.6847589047887999</v>
      </c>
      <c r="C6271" s="1">
        <v>44165</v>
      </c>
    </row>
    <row r="6272" spans="1:3">
      <c r="A6272" t="s">
        <v>44</v>
      </c>
      <c r="B6272">
        <v>7.7079395848918404</v>
      </c>
      <c r="C6272" s="1">
        <v>44165</v>
      </c>
    </row>
    <row r="6273" spans="1:3">
      <c r="A6273" t="s">
        <v>47</v>
      </c>
      <c r="B6273">
        <v>7.8216622244208001</v>
      </c>
      <c r="C6273" s="1">
        <v>44165</v>
      </c>
    </row>
    <row r="6274" spans="1:3">
      <c r="A6274" t="s">
        <v>49</v>
      </c>
      <c r="B6274">
        <v>12.3369679348092</v>
      </c>
      <c r="C6274" s="1">
        <v>44165</v>
      </c>
    </row>
    <row r="6275" spans="1:3">
      <c r="A6275" t="s">
        <v>51</v>
      </c>
      <c r="B6275">
        <v>0.44972134722815998</v>
      </c>
      <c r="C6275" s="1">
        <v>44165</v>
      </c>
    </row>
    <row r="6276" spans="1:3">
      <c r="A6276" t="s">
        <v>53</v>
      </c>
      <c r="B6276">
        <v>0.42645989823359998</v>
      </c>
      <c r="C6276" s="1">
        <v>44165</v>
      </c>
    </row>
    <row r="6277" spans="1:3">
      <c r="A6277" t="s">
        <v>55</v>
      </c>
      <c r="B6277">
        <v>2.7267587432511999</v>
      </c>
      <c r="C6277" s="1">
        <v>44165</v>
      </c>
    </row>
    <row r="6278" spans="1:3">
      <c r="A6278" t="s">
        <v>57</v>
      </c>
      <c r="B6278">
        <v>2.0256845166096</v>
      </c>
      <c r="C6278" s="1">
        <v>44165</v>
      </c>
    </row>
    <row r="6279" spans="1:3">
      <c r="A6279" t="s">
        <v>59</v>
      </c>
      <c r="B6279">
        <v>2.4476213553164801</v>
      </c>
      <c r="C6279" s="1">
        <v>44165</v>
      </c>
    </row>
    <row r="6280" spans="1:3">
      <c r="A6280" t="s">
        <v>61</v>
      </c>
      <c r="B6280">
        <v>83.710201115089902</v>
      </c>
      <c r="C6280" s="1">
        <v>44165</v>
      </c>
    </row>
    <row r="6281" spans="1:3">
      <c r="A6281" t="s">
        <v>63</v>
      </c>
      <c r="B6281">
        <v>8.6855665940243192</v>
      </c>
      <c r="C6281" s="1">
        <v>44165</v>
      </c>
    </row>
    <row r="6282" spans="1:3">
      <c r="A6282" t="s">
        <v>65</v>
      </c>
      <c r="B6282">
        <v>0.15313787254752001</v>
      </c>
      <c r="C6282" s="1">
        <v>44165</v>
      </c>
    </row>
    <row r="6283" spans="1:3">
      <c r="A6283" t="s">
        <v>67</v>
      </c>
      <c r="B6283">
        <v>7.9605847670271999</v>
      </c>
      <c r="C6283" s="1">
        <v>44165</v>
      </c>
    </row>
    <row r="6284" spans="1:3">
      <c r="A6284" t="s">
        <v>69</v>
      </c>
      <c r="B6284">
        <v>2.3216218399292798</v>
      </c>
      <c r="C6284" s="1">
        <v>44165</v>
      </c>
    </row>
    <row r="6285" spans="1:3">
      <c r="A6285" t="s">
        <v>71</v>
      </c>
      <c r="B6285">
        <v>0.61384379291199997</v>
      </c>
      <c r="C6285" s="1">
        <v>44165</v>
      </c>
    </row>
    <row r="6286" spans="1:3">
      <c r="A6286" t="s">
        <v>73</v>
      </c>
      <c r="B6286">
        <v>0.79476617398079996</v>
      </c>
      <c r="C6286" s="1">
        <v>44165</v>
      </c>
    </row>
    <row r="6287" spans="1:3">
      <c r="A6287" t="s">
        <v>75</v>
      </c>
      <c r="B6287">
        <v>9.0461190534399993E-2</v>
      </c>
      <c r="C6287" s="1">
        <v>44165</v>
      </c>
    </row>
    <row r="6288" spans="1:3">
      <c r="A6288" t="s">
        <v>77</v>
      </c>
      <c r="B6288">
        <v>0.76698166545951996</v>
      </c>
      <c r="C6288" s="1">
        <v>44165</v>
      </c>
    </row>
    <row r="6289" spans="1:3">
      <c r="A6289" t="s">
        <v>79</v>
      </c>
      <c r="B6289">
        <v>3.036911396512</v>
      </c>
      <c r="C6289" s="1">
        <v>44165</v>
      </c>
    </row>
    <row r="6290" spans="1:3">
      <c r="A6290" t="s">
        <v>81</v>
      </c>
      <c r="B6290">
        <v>6.5312979565836802</v>
      </c>
      <c r="C6290" s="1">
        <v>44165</v>
      </c>
    </row>
    <row r="6291" spans="1:3">
      <c r="A6291" t="s">
        <v>83</v>
      </c>
      <c r="B6291">
        <v>0.18350698651264</v>
      </c>
      <c r="C6291" s="1">
        <v>44165</v>
      </c>
    </row>
    <row r="6292" spans="1:3">
      <c r="A6292" t="s">
        <v>85</v>
      </c>
      <c r="B6292">
        <v>1.81956223246336</v>
      </c>
      <c r="C6292" s="1">
        <v>44165</v>
      </c>
    </row>
    <row r="6293" spans="1:3">
      <c r="A6293" t="s">
        <v>87</v>
      </c>
      <c r="B6293">
        <v>7.9786770051340801</v>
      </c>
      <c r="C6293" s="1">
        <v>44165</v>
      </c>
    </row>
    <row r="6294" spans="1:3">
      <c r="A6294" t="s">
        <v>89</v>
      </c>
      <c r="B6294">
        <v>3.5732170261088001</v>
      </c>
      <c r="C6294" s="1">
        <v>44165</v>
      </c>
    </row>
    <row r="6295" spans="1:3">
      <c r="A6295" t="s">
        <v>91</v>
      </c>
      <c r="B6295">
        <v>15.8604313061241</v>
      </c>
      <c r="C6295" s="1">
        <v>44165</v>
      </c>
    </row>
    <row r="6296" spans="1:3">
      <c r="A6296" t="s">
        <v>93</v>
      </c>
      <c r="B6296">
        <v>16.799935384960001</v>
      </c>
      <c r="C6296" s="1">
        <v>44165</v>
      </c>
    </row>
    <row r="6297" spans="1:3">
      <c r="A6297" t="s">
        <v>95</v>
      </c>
      <c r="B6297">
        <v>0.27138357160319998</v>
      </c>
      <c r="C6297" s="1">
        <v>44165</v>
      </c>
    </row>
    <row r="6298" spans="1:3">
      <c r="A6298" t="s">
        <v>97</v>
      </c>
      <c r="B6298">
        <v>3.0485421210092798</v>
      </c>
      <c r="C6298" s="1">
        <v>44165</v>
      </c>
    </row>
    <row r="6299" spans="1:3">
      <c r="A6299" t="s">
        <v>99</v>
      </c>
      <c r="B6299">
        <v>4.2064453598495897</v>
      </c>
      <c r="C6299" s="1">
        <v>44165</v>
      </c>
    </row>
    <row r="6300" spans="1:3">
      <c r="A6300" t="s">
        <v>101</v>
      </c>
      <c r="B6300">
        <v>5.524594136208</v>
      </c>
      <c r="C6300" s="1">
        <v>44165</v>
      </c>
    </row>
    <row r="6301" spans="1:3">
      <c r="A6301" t="s">
        <v>107</v>
      </c>
      <c r="B6301">
        <v>0.87359664001792003</v>
      </c>
      <c r="C6301" s="1">
        <v>44165</v>
      </c>
    </row>
    <row r="6302" spans="1:3">
      <c r="A6302" t="s">
        <v>109</v>
      </c>
      <c r="B6302">
        <v>4.0881996607939204</v>
      </c>
      <c r="C6302" s="1">
        <v>44165</v>
      </c>
    </row>
    <row r="6303" spans="1:3">
      <c r="A6303" t="s">
        <v>111</v>
      </c>
      <c r="B6303">
        <v>5.5103788062668801</v>
      </c>
      <c r="C6303" s="1">
        <v>44165</v>
      </c>
    </row>
    <row r="6304" spans="1:3">
      <c r="A6304" t="s">
        <v>113</v>
      </c>
      <c r="B6304">
        <v>6.3452063646271997</v>
      </c>
      <c r="C6304" s="1">
        <v>44165</v>
      </c>
    </row>
    <row r="6305" spans="1:3">
      <c r="A6305" t="s">
        <v>115</v>
      </c>
      <c r="B6305">
        <v>2.2608836119990401</v>
      </c>
      <c r="C6305" s="1">
        <v>44165</v>
      </c>
    </row>
    <row r="6306" spans="1:3">
      <c r="A6306" t="s">
        <v>117</v>
      </c>
      <c r="B6306">
        <v>3.2675874323747198</v>
      </c>
      <c r="C6306" s="1">
        <v>44165</v>
      </c>
    </row>
    <row r="6307" spans="1:3">
      <c r="A6307" t="s">
        <v>119</v>
      </c>
      <c r="B6307">
        <v>34.052822873952898</v>
      </c>
      <c r="C6307" s="1">
        <v>44165</v>
      </c>
    </row>
    <row r="6308" spans="1:3">
      <c r="A6308" t="s">
        <v>121</v>
      </c>
      <c r="B6308">
        <v>5.95622324532928</v>
      </c>
      <c r="C6308" s="1">
        <v>44165</v>
      </c>
    </row>
    <row r="6309" spans="1:3">
      <c r="A6309" t="s">
        <v>123</v>
      </c>
      <c r="B6309">
        <v>3.5829092965232001</v>
      </c>
      <c r="C6309" s="1">
        <v>44165</v>
      </c>
    </row>
    <row r="6310" spans="1:3">
      <c r="A6310" t="s">
        <v>125</v>
      </c>
      <c r="B6310">
        <v>202.17753008757899</v>
      </c>
      <c r="C6310" s="1">
        <v>44165</v>
      </c>
    </row>
    <row r="6311" spans="1:3">
      <c r="A6311" t="s">
        <v>127</v>
      </c>
      <c r="B6311">
        <v>4.2801066149990401</v>
      </c>
      <c r="C6311" s="1">
        <v>44165</v>
      </c>
    </row>
    <row r="6312" spans="1:3">
      <c r="A6312" t="s">
        <v>129</v>
      </c>
      <c r="B6312">
        <v>2.9380502382851201</v>
      </c>
      <c r="C6312" s="1">
        <v>44165</v>
      </c>
    </row>
    <row r="6313" spans="1:3">
      <c r="A6313" t="s">
        <v>131</v>
      </c>
      <c r="B6313">
        <v>1.6483321218089599</v>
      </c>
      <c r="C6313" s="1">
        <v>44165</v>
      </c>
    </row>
    <row r="6314" spans="1:3">
      <c r="A6314" t="s">
        <v>134</v>
      </c>
      <c r="B6314">
        <v>1.5572247799136001</v>
      </c>
      <c r="C6314" s="1">
        <v>44165</v>
      </c>
    </row>
    <row r="6315" spans="1:3">
      <c r="A6315" t="s">
        <v>136</v>
      </c>
      <c r="B6315">
        <v>8.2558759389859198</v>
      </c>
      <c r="C6315" s="1">
        <v>44165</v>
      </c>
    </row>
    <row r="6316" spans="1:3">
      <c r="A6316" t="s">
        <v>138</v>
      </c>
      <c r="B6316">
        <v>10.5419594540624</v>
      </c>
      <c r="C6316" s="1">
        <v>44165</v>
      </c>
    </row>
    <row r="6317" spans="1:3">
      <c r="A6317" t="s">
        <v>140</v>
      </c>
      <c r="B6317">
        <v>15.1703416526188</v>
      </c>
      <c r="C6317" s="1">
        <v>44165</v>
      </c>
    </row>
    <row r="6318" spans="1:3">
      <c r="A6318" t="s">
        <v>142</v>
      </c>
      <c r="B6318">
        <v>2.43340602537535</v>
      </c>
      <c r="C6318" s="1">
        <v>44165</v>
      </c>
    </row>
    <row r="6319" spans="1:3">
      <c r="A6319" t="s">
        <v>144</v>
      </c>
      <c r="B6319">
        <v>2.39592924643968</v>
      </c>
      <c r="C6319" s="1">
        <v>44165</v>
      </c>
    </row>
    <row r="6320" spans="1:3">
      <c r="A6320" t="s">
        <v>146</v>
      </c>
      <c r="B6320">
        <v>1.873838946784</v>
      </c>
      <c r="C6320" s="1">
        <v>44165</v>
      </c>
    </row>
    <row r="6321" spans="1:3">
      <c r="A6321" t="s">
        <v>148</v>
      </c>
      <c r="B6321">
        <v>7.8274775866694402</v>
      </c>
      <c r="C6321" s="1">
        <v>44165</v>
      </c>
    </row>
    <row r="6322" spans="1:3">
      <c r="A6322" t="s">
        <v>150</v>
      </c>
      <c r="B6322">
        <v>4.6089976577276799</v>
      </c>
      <c r="C6322" s="1">
        <v>44165</v>
      </c>
    </row>
    <row r="6323" spans="1:3">
      <c r="A6323" t="s">
        <v>152</v>
      </c>
      <c r="B6323">
        <v>21.087795816290502</v>
      </c>
      <c r="C6323" s="1">
        <v>44165</v>
      </c>
    </row>
    <row r="6324" spans="1:3">
      <c r="A6324" t="s">
        <v>154</v>
      </c>
      <c r="B6324">
        <v>12.729181810911999</v>
      </c>
      <c r="C6324" s="1">
        <v>44165</v>
      </c>
    </row>
    <row r="6325" spans="1:3">
      <c r="A6325" t="s">
        <v>156</v>
      </c>
      <c r="B6325">
        <v>7.8048622890358397</v>
      </c>
      <c r="C6325" s="1">
        <v>44165</v>
      </c>
    </row>
    <row r="6326" spans="1:3">
      <c r="A6326" t="s">
        <v>158</v>
      </c>
      <c r="B6326">
        <v>72.768920119954203</v>
      </c>
      <c r="C6326" s="1">
        <v>44165</v>
      </c>
    </row>
    <row r="6327" spans="1:3">
      <c r="A6327" t="s">
        <v>160</v>
      </c>
      <c r="B6327">
        <v>7.9153541717599998</v>
      </c>
      <c r="C6327" s="1">
        <v>44165</v>
      </c>
    </row>
    <row r="6328" spans="1:3">
      <c r="A6328" t="s">
        <v>162</v>
      </c>
      <c r="B6328">
        <v>10.5141749455411</v>
      </c>
      <c r="C6328" s="1">
        <v>44165</v>
      </c>
    </row>
    <row r="6329" spans="1:3">
      <c r="A6329" t="s">
        <v>164</v>
      </c>
      <c r="B6329">
        <v>8.4994750020678396</v>
      </c>
      <c r="C6329" s="1">
        <v>44165</v>
      </c>
    </row>
    <row r="6330" spans="1:3">
      <c r="A6330" t="s">
        <v>166</v>
      </c>
      <c r="B6330">
        <v>4.5301671916905599</v>
      </c>
      <c r="C6330" s="1">
        <v>44165</v>
      </c>
    </row>
    <row r="6331" spans="1:3">
      <c r="A6331" t="s">
        <v>168</v>
      </c>
      <c r="B6331">
        <v>15.4972942412646</v>
      </c>
      <c r="C6331" s="1">
        <v>44165</v>
      </c>
    </row>
    <row r="6332" spans="1:3">
      <c r="A6332" t="s">
        <v>4</v>
      </c>
      <c r="B6332">
        <v>0.3267806995152</v>
      </c>
      <c r="C6332" s="1">
        <v>44196</v>
      </c>
    </row>
    <row r="6333" spans="1:3">
      <c r="A6333" t="s">
        <v>8</v>
      </c>
      <c r="B6333">
        <v>23.359373670344802</v>
      </c>
      <c r="C6333" s="1">
        <v>44196</v>
      </c>
    </row>
    <row r="6334" spans="1:3">
      <c r="A6334" t="s">
        <v>11</v>
      </c>
      <c r="B6334">
        <v>37.133860948034503</v>
      </c>
      <c r="C6334" s="1">
        <v>44196</v>
      </c>
    </row>
    <row r="6335" spans="1:3">
      <c r="A6335" t="s">
        <v>14</v>
      </c>
      <c r="B6335">
        <v>2.56318611182235</v>
      </c>
      <c r="C6335" s="1">
        <v>44196</v>
      </c>
    </row>
    <row r="6336" spans="1:3">
      <c r="A6336" t="s">
        <v>17</v>
      </c>
      <c r="B6336">
        <v>8.9251978555089</v>
      </c>
      <c r="C6336" s="1">
        <v>44196</v>
      </c>
    </row>
    <row r="6337" spans="1:3">
      <c r="A6337" t="s">
        <v>20</v>
      </c>
      <c r="B6337">
        <v>0.33835418262303002</v>
      </c>
      <c r="C6337" s="1">
        <v>44196</v>
      </c>
    </row>
    <row r="6338" spans="1:3">
      <c r="A6338" t="s">
        <v>24</v>
      </c>
      <c r="B6338">
        <v>0.64539188154252003</v>
      </c>
      <c r="C6338" s="1">
        <v>44196</v>
      </c>
    </row>
    <row r="6339" spans="1:3">
      <c r="A6339" t="s">
        <v>27</v>
      </c>
      <c r="B6339">
        <v>33.018466513515001</v>
      </c>
      <c r="C6339" s="1">
        <v>44196</v>
      </c>
    </row>
    <row r="6340" spans="1:3">
      <c r="A6340" t="s">
        <v>29</v>
      </c>
      <c r="B6340">
        <v>1.14509403455118</v>
      </c>
      <c r="C6340" s="1">
        <v>44196</v>
      </c>
    </row>
    <row r="6341" spans="1:3">
      <c r="A6341" t="s">
        <v>32</v>
      </c>
      <c r="B6341">
        <v>8.4683856693116102</v>
      </c>
      <c r="C6341" s="1">
        <v>44196</v>
      </c>
    </row>
    <row r="6342" spans="1:3">
      <c r="A6342" t="s">
        <v>35</v>
      </c>
      <c r="B6342">
        <v>3.1316483703540001</v>
      </c>
      <c r="C6342" s="1">
        <v>44196</v>
      </c>
    </row>
    <row r="6343" spans="1:3">
      <c r="A6343" t="s">
        <v>37</v>
      </c>
      <c r="B6343">
        <v>0.26278614586013999</v>
      </c>
      <c r="C6343" s="1">
        <v>44196</v>
      </c>
    </row>
    <row r="6344" spans="1:3">
      <c r="A6344" t="s">
        <v>39</v>
      </c>
      <c r="B6344">
        <v>1.4637052165785001</v>
      </c>
      <c r="C6344" s="1">
        <v>44196</v>
      </c>
    </row>
    <row r="6345" spans="1:3">
      <c r="A6345" t="s">
        <v>42</v>
      </c>
      <c r="B6345">
        <v>2.9287720194049802</v>
      </c>
      <c r="C6345" s="1">
        <v>44196</v>
      </c>
    </row>
    <row r="6346" spans="1:3">
      <c r="A6346" t="s">
        <v>44</v>
      </c>
      <c r="B6346">
        <v>9.4562164922211007</v>
      </c>
      <c r="C6346" s="1">
        <v>44196</v>
      </c>
    </row>
    <row r="6347" spans="1:3">
      <c r="A6347" t="s">
        <v>47</v>
      </c>
      <c r="B6347">
        <v>7.6589226448875003</v>
      </c>
      <c r="C6347" s="1">
        <v>44196</v>
      </c>
    </row>
    <row r="6348" spans="1:3">
      <c r="A6348" t="s">
        <v>49</v>
      </c>
      <c r="B6348">
        <v>12.9037528721064</v>
      </c>
      <c r="C6348" s="1">
        <v>44196</v>
      </c>
    </row>
    <row r="6349" spans="1:3">
      <c r="A6349" t="s">
        <v>51</v>
      </c>
      <c r="B6349">
        <v>0.54463449919200002</v>
      </c>
      <c r="C6349" s="1">
        <v>44196</v>
      </c>
    </row>
    <row r="6350" spans="1:3">
      <c r="A6350" t="s">
        <v>53</v>
      </c>
      <c r="B6350">
        <v>0.45340822057733998</v>
      </c>
      <c r="C6350" s="1">
        <v>44196</v>
      </c>
    </row>
    <row r="6351" spans="1:3">
      <c r="A6351" t="s">
        <v>55</v>
      </c>
      <c r="B6351">
        <v>2.9389839162648301</v>
      </c>
      <c r="C6351" s="1">
        <v>44196</v>
      </c>
    </row>
    <row r="6352" spans="1:3">
      <c r="A6352" t="s">
        <v>57</v>
      </c>
      <c r="B6352">
        <v>2.0907156837732899</v>
      </c>
      <c r="C6352" s="1">
        <v>44196</v>
      </c>
    </row>
    <row r="6353" spans="1:3">
      <c r="A6353" t="s">
        <v>59</v>
      </c>
      <c r="B6353">
        <v>2.8797549144776999</v>
      </c>
      <c r="C6353" s="1">
        <v>44196</v>
      </c>
    </row>
    <row r="6354" spans="1:3">
      <c r="A6354" t="s">
        <v>61</v>
      </c>
      <c r="B6354">
        <v>97.533826908427301</v>
      </c>
      <c r="C6354" s="1">
        <v>44196</v>
      </c>
    </row>
    <row r="6355" spans="1:3">
      <c r="A6355" t="s">
        <v>63</v>
      </c>
      <c r="B6355">
        <v>9.4970640796605004</v>
      </c>
      <c r="C6355" s="1">
        <v>44196</v>
      </c>
    </row>
    <row r="6356" spans="1:3">
      <c r="A6356" t="s">
        <v>65</v>
      </c>
      <c r="B6356">
        <v>0.22670411028866999</v>
      </c>
      <c r="C6356" s="1">
        <v>44196</v>
      </c>
    </row>
    <row r="6357" spans="1:3">
      <c r="A6357" t="s">
        <v>67</v>
      </c>
      <c r="B6357">
        <v>10.4528976257424</v>
      </c>
      <c r="C6357" s="1">
        <v>44196</v>
      </c>
    </row>
    <row r="6358" spans="1:3">
      <c r="A6358" t="s">
        <v>69</v>
      </c>
      <c r="B6358">
        <v>2.5087226619031502</v>
      </c>
      <c r="C6358" s="1">
        <v>44196</v>
      </c>
    </row>
    <row r="6359" spans="1:3">
      <c r="A6359" t="s">
        <v>71</v>
      </c>
      <c r="B6359">
        <v>0.64675346779050003</v>
      </c>
      <c r="C6359" s="1">
        <v>44196</v>
      </c>
    </row>
    <row r="6360" spans="1:3">
      <c r="A6360" t="s">
        <v>73</v>
      </c>
      <c r="B6360">
        <v>0.85099140498750003</v>
      </c>
      <c r="C6360" s="1">
        <v>44196</v>
      </c>
    </row>
    <row r="6361" spans="1:3">
      <c r="A6361" t="s">
        <v>75</v>
      </c>
      <c r="B6361">
        <v>0.11777721045027</v>
      </c>
      <c r="C6361" s="1">
        <v>44196</v>
      </c>
    </row>
    <row r="6362" spans="1:3">
      <c r="A6362" t="s">
        <v>77</v>
      </c>
      <c r="B6362">
        <v>0.85575695685542996</v>
      </c>
      <c r="C6362" s="1">
        <v>44196</v>
      </c>
    </row>
    <row r="6363" spans="1:3">
      <c r="A6363" t="s">
        <v>79</v>
      </c>
      <c r="B6363">
        <v>3.3324823419310499</v>
      </c>
      <c r="C6363" s="1">
        <v>44196</v>
      </c>
    </row>
    <row r="6364" spans="1:3">
      <c r="A6364" t="s">
        <v>81</v>
      </c>
      <c r="B6364">
        <v>6.2047485320448601</v>
      </c>
      <c r="C6364" s="1">
        <v>44196</v>
      </c>
    </row>
    <row r="6365" spans="1:3">
      <c r="A6365" t="s">
        <v>83</v>
      </c>
      <c r="B6365">
        <v>0.21513062718084</v>
      </c>
      <c r="C6365" s="1">
        <v>44196</v>
      </c>
    </row>
    <row r="6366" spans="1:3">
      <c r="A6366" t="s">
        <v>85</v>
      </c>
      <c r="B6366">
        <v>2.0097013020184802</v>
      </c>
      <c r="C6366" s="1">
        <v>44196</v>
      </c>
    </row>
    <row r="6367" spans="1:3">
      <c r="A6367" t="s">
        <v>87</v>
      </c>
      <c r="B6367">
        <v>8.5351033954626292</v>
      </c>
      <c r="C6367" s="1">
        <v>44196</v>
      </c>
    </row>
    <row r="6368" spans="1:3">
      <c r="A6368" t="s">
        <v>89</v>
      </c>
      <c r="B6368">
        <v>3.7443621819450001</v>
      </c>
      <c r="C6368" s="1">
        <v>44196</v>
      </c>
    </row>
    <row r="6369" spans="1:3">
      <c r="A6369" t="s">
        <v>91</v>
      </c>
      <c r="B6369">
        <v>17.345247213017199</v>
      </c>
      <c r="C6369" s="1">
        <v>44196</v>
      </c>
    </row>
    <row r="6370" spans="1:3">
      <c r="A6370" t="s">
        <v>93</v>
      </c>
      <c r="B6370">
        <v>16.134797038563001</v>
      </c>
      <c r="C6370" s="1">
        <v>44196</v>
      </c>
    </row>
    <row r="6371" spans="1:3">
      <c r="A6371" t="s">
        <v>95</v>
      </c>
      <c r="B6371">
        <v>0.34380052761495</v>
      </c>
      <c r="C6371" s="1">
        <v>44196</v>
      </c>
    </row>
    <row r="6372" spans="1:3">
      <c r="A6372" t="s">
        <v>97</v>
      </c>
      <c r="B6372">
        <v>3.1377755084699102</v>
      </c>
      <c r="C6372" s="1">
        <v>44196</v>
      </c>
    </row>
    <row r="6373" spans="1:3">
      <c r="A6373" t="s">
        <v>99</v>
      </c>
      <c r="B6373">
        <v>4.3740958216357502</v>
      </c>
      <c r="C6373" s="1">
        <v>44196</v>
      </c>
    </row>
    <row r="6374" spans="1:3">
      <c r="A6374" t="s">
        <v>101</v>
      </c>
      <c r="B6374">
        <v>5.5144243043190002</v>
      </c>
      <c r="C6374" s="1">
        <v>44196</v>
      </c>
    </row>
    <row r="6375" spans="1:3">
      <c r="A6375" t="s">
        <v>107</v>
      </c>
      <c r="B6375">
        <v>0.84282188749961995</v>
      </c>
      <c r="C6375" s="1">
        <v>44196</v>
      </c>
    </row>
    <row r="6376" spans="1:3">
      <c r="A6376" t="s">
        <v>109</v>
      </c>
      <c r="B6376">
        <v>4.8744787677683998</v>
      </c>
      <c r="C6376" s="1">
        <v>44196</v>
      </c>
    </row>
    <row r="6377" spans="1:3">
      <c r="A6377" t="s">
        <v>111</v>
      </c>
      <c r="B6377">
        <v>5.9229001787130002</v>
      </c>
      <c r="C6377" s="1">
        <v>44196</v>
      </c>
    </row>
    <row r="6378" spans="1:3">
      <c r="A6378" t="s">
        <v>113</v>
      </c>
      <c r="B6378">
        <v>6.9651944515416897</v>
      </c>
      <c r="C6378" s="1">
        <v>44196</v>
      </c>
    </row>
    <row r="6379" spans="1:3">
      <c r="A6379" t="s">
        <v>115</v>
      </c>
      <c r="B6379">
        <v>2.6918560122564599</v>
      </c>
      <c r="C6379" s="1">
        <v>44196</v>
      </c>
    </row>
    <row r="6380" spans="1:3">
      <c r="A6380" t="s">
        <v>117</v>
      </c>
      <c r="B6380">
        <v>3.4216662411737402</v>
      </c>
      <c r="C6380" s="1">
        <v>44196</v>
      </c>
    </row>
    <row r="6381" spans="1:3">
      <c r="A6381" t="s">
        <v>119</v>
      </c>
      <c r="B6381">
        <v>42.400476555221097</v>
      </c>
      <c r="C6381" s="1">
        <v>44196</v>
      </c>
    </row>
    <row r="6382" spans="1:3">
      <c r="A6382" t="s">
        <v>121</v>
      </c>
      <c r="B6382">
        <v>6.5492298527838004</v>
      </c>
      <c r="C6382" s="1">
        <v>44196</v>
      </c>
    </row>
    <row r="6383" spans="1:3">
      <c r="A6383" t="s">
        <v>123</v>
      </c>
      <c r="B6383">
        <v>3.9996596034412502</v>
      </c>
      <c r="C6383" s="1">
        <v>44196</v>
      </c>
    </row>
    <row r="6384" spans="1:3">
      <c r="A6384" t="s">
        <v>125</v>
      </c>
      <c r="B6384">
        <v>205.55527189192</v>
      </c>
      <c r="C6384" s="1">
        <v>44196</v>
      </c>
    </row>
    <row r="6385" spans="1:3">
      <c r="A6385" t="s">
        <v>127</v>
      </c>
      <c r="B6385">
        <v>4.0976938132958098</v>
      </c>
      <c r="C6385" s="1">
        <v>44196</v>
      </c>
    </row>
    <row r="6386" spans="1:3">
      <c r="A6386" t="s">
        <v>129</v>
      </c>
      <c r="B6386">
        <v>3.4747681048449599</v>
      </c>
      <c r="C6386" s="1">
        <v>44196</v>
      </c>
    </row>
    <row r="6387" spans="1:3">
      <c r="A6387" t="s">
        <v>131</v>
      </c>
      <c r="B6387">
        <v>1.6713471193954501</v>
      </c>
      <c r="C6387" s="1">
        <v>44196</v>
      </c>
    </row>
    <row r="6388" spans="1:3">
      <c r="A6388" t="s">
        <v>134</v>
      </c>
      <c r="B6388">
        <v>1.59373670326059</v>
      </c>
      <c r="C6388" s="1">
        <v>44196</v>
      </c>
    </row>
    <row r="6389" spans="1:3">
      <c r="A6389" t="s">
        <v>136</v>
      </c>
      <c r="B6389">
        <v>9.5311037358600004</v>
      </c>
      <c r="C6389" s="1">
        <v>44196</v>
      </c>
    </row>
    <row r="6390" spans="1:3">
      <c r="A6390" t="s">
        <v>138</v>
      </c>
      <c r="B6390">
        <v>10.6898136328909</v>
      </c>
      <c r="C6390" s="1">
        <v>44196</v>
      </c>
    </row>
    <row r="6391" spans="1:3">
      <c r="A6391" t="s">
        <v>140</v>
      </c>
      <c r="B6391">
        <v>17.2015998638553</v>
      </c>
      <c r="C6391" s="1">
        <v>44196</v>
      </c>
    </row>
    <row r="6392" spans="1:3">
      <c r="A6392" t="s">
        <v>142</v>
      </c>
      <c r="B6392">
        <v>2.49442600629936</v>
      </c>
      <c r="C6392" s="1">
        <v>44196</v>
      </c>
    </row>
    <row r="6393" spans="1:3">
      <c r="A6393" t="s">
        <v>144</v>
      </c>
      <c r="B6393">
        <v>2.4644711088437998</v>
      </c>
      <c r="C6393" s="1">
        <v>44196</v>
      </c>
    </row>
    <row r="6394" spans="1:3">
      <c r="A6394" t="s">
        <v>146</v>
      </c>
      <c r="B6394">
        <v>2.23436303293518</v>
      </c>
      <c r="C6394" s="1">
        <v>44196</v>
      </c>
    </row>
    <row r="6395" spans="1:3">
      <c r="A6395" t="s">
        <v>148</v>
      </c>
      <c r="B6395">
        <v>8.6515190196649208</v>
      </c>
      <c r="C6395" s="1">
        <v>44196</v>
      </c>
    </row>
    <row r="6396" spans="1:3">
      <c r="A6396" t="s">
        <v>150</v>
      </c>
      <c r="B6396">
        <v>4.9847672538547796</v>
      </c>
      <c r="C6396" s="1">
        <v>44196</v>
      </c>
    </row>
    <row r="6397" spans="1:3">
      <c r="A6397" t="s">
        <v>152</v>
      </c>
      <c r="B6397">
        <v>23.3185260829054</v>
      </c>
      <c r="C6397" s="1">
        <v>44196</v>
      </c>
    </row>
    <row r="6398" spans="1:3">
      <c r="A6398" t="s">
        <v>154</v>
      </c>
      <c r="B6398">
        <v>14.172751255223799</v>
      </c>
      <c r="C6398" s="1">
        <v>44196</v>
      </c>
    </row>
    <row r="6399" spans="1:3">
      <c r="A6399" t="s">
        <v>156</v>
      </c>
      <c r="B6399">
        <v>9.1178623095980704</v>
      </c>
      <c r="C6399" s="1">
        <v>44196</v>
      </c>
    </row>
    <row r="6400" spans="1:3">
      <c r="A6400" t="s">
        <v>158</v>
      </c>
      <c r="B6400">
        <v>98.248659688616797</v>
      </c>
      <c r="C6400" s="1">
        <v>44196</v>
      </c>
    </row>
    <row r="6401" spans="1:3">
      <c r="A6401" t="s">
        <v>160</v>
      </c>
      <c r="B6401">
        <v>8.8149093694225193</v>
      </c>
      <c r="C6401" s="1">
        <v>44196</v>
      </c>
    </row>
    <row r="6402" spans="1:3">
      <c r="A6402" t="s">
        <v>162</v>
      </c>
      <c r="B6402">
        <v>13.745213173358099</v>
      </c>
      <c r="C6402" s="1">
        <v>44196</v>
      </c>
    </row>
    <row r="6403" spans="1:3">
      <c r="A6403" t="s">
        <v>164</v>
      </c>
      <c r="B6403">
        <v>9.3656710067304303</v>
      </c>
      <c r="C6403" s="1">
        <v>44196</v>
      </c>
    </row>
    <row r="6404" spans="1:3">
      <c r="A6404" t="s">
        <v>166</v>
      </c>
      <c r="B6404">
        <v>6.2020253595488999</v>
      </c>
      <c r="C6404" s="1">
        <v>44196</v>
      </c>
    </row>
    <row r="6405" spans="1:3">
      <c r="A6405" t="s">
        <v>168</v>
      </c>
      <c r="B6405">
        <v>17.830652710422001</v>
      </c>
      <c r="C6405" s="1">
        <v>44196</v>
      </c>
    </row>
    <row r="6406" spans="1:3">
      <c r="A6406" t="s">
        <v>4</v>
      </c>
      <c r="B6406">
        <v>0.32154127221567902</v>
      </c>
      <c r="C6406" s="1">
        <v>44227</v>
      </c>
    </row>
    <row r="6407" spans="1:3">
      <c r="A6407" t="s">
        <v>8</v>
      </c>
      <c r="B6407">
        <v>23.756186680083601</v>
      </c>
      <c r="C6407" s="1">
        <v>44227</v>
      </c>
    </row>
    <row r="6408" spans="1:3">
      <c r="A6408" t="s">
        <v>11</v>
      </c>
      <c r="B6408">
        <v>36.612522836938702</v>
      </c>
      <c r="C6408" s="1">
        <v>44227</v>
      </c>
    </row>
    <row r="6409" spans="1:3">
      <c r="A6409" t="s">
        <v>14</v>
      </c>
      <c r="B6409">
        <v>2.6380999834059198</v>
      </c>
      <c r="C6409" s="1">
        <v>44227</v>
      </c>
    </row>
    <row r="6410" spans="1:3">
      <c r="A6410" t="s">
        <v>17</v>
      </c>
      <c r="B6410">
        <v>9.2914798206787204</v>
      </c>
      <c r="C6410" s="1">
        <v>44227</v>
      </c>
    </row>
    <row r="6411" spans="1:3">
      <c r="A6411" t="s">
        <v>20</v>
      </c>
      <c r="B6411">
        <v>0.31954824780111901</v>
      </c>
      <c r="C6411" s="1">
        <v>44227</v>
      </c>
    </row>
    <row r="6412" spans="1:3">
      <c r="A6412" t="s">
        <v>24</v>
      </c>
      <c r="B6412">
        <v>0.7241322039568</v>
      </c>
      <c r="C6412" s="1">
        <v>44227</v>
      </c>
    </row>
    <row r="6413" spans="1:3">
      <c r="A6413" t="s">
        <v>27</v>
      </c>
      <c r="B6413">
        <v>33.250290649575902</v>
      </c>
      <c r="C6413" s="1">
        <v>44227</v>
      </c>
    </row>
    <row r="6414" spans="1:3">
      <c r="A6414" t="s">
        <v>29</v>
      </c>
      <c r="B6414">
        <v>1.2914798206348801</v>
      </c>
      <c r="C6414" s="1">
        <v>44227</v>
      </c>
    </row>
    <row r="6415" spans="1:3">
      <c r="A6415" t="s">
        <v>32</v>
      </c>
      <c r="B6415">
        <v>8.2225543930030298</v>
      </c>
      <c r="C6415" s="1">
        <v>44227</v>
      </c>
    </row>
    <row r="6416" spans="1:3">
      <c r="A6416" t="s">
        <v>35</v>
      </c>
      <c r="B6416">
        <v>3.0393622322039899</v>
      </c>
      <c r="C6416" s="1">
        <v>44227</v>
      </c>
    </row>
    <row r="6417" spans="1:3">
      <c r="A6417" t="s">
        <v>37</v>
      </c>
      <c r="B6417">
        <v>0.30426839395615901</v>
      </c>
      <c r="C6417" s="1">
        <v>44227</v>
      </c>
    </row>
    <row r="6418" spans="1:3">
      <c r="A6418" t="s">
        <v>39</v>
      </c>
      <c r="B6418">
        <v>1.6807839229455901</v>
      </c>
      <c r="C6418" s="1">
        <v>44227</v>
      </c>
    </row>
    <row r="6419" spans="1:3">
      <c r="A6419" t="s">
        <v>42</v>
      </c>
      <c r="B6419">
        <v>2.65736588608</v>
      </c>
      <c r="C6419" s="1">
        <v>44227</v>
      </c>
    </row>
    <row r="6420" spans="1:3">
      <c r="A6420" t="s">
        <v>44</v>
      </c>
      <c r="B6420">
        <v>10.031556219952</v>
      </c>
      <c r="C6420" s="1">
        <v>44227</v>
      </c>
    </row>
    <row r="6421" spans="1:3">
      <c r="A6421" t="s">
        <v>47</v>
      </c>
      <c r="B6421">
        <v>7.5994020927172796</v>
      </c>
      <c r="C6421" s="1">
        <v>44227</v>
      </c>
    </row>
    <row r="6422" spans="1:3">
      <c r="A6422" t="s">
        <v>49</v>
      </c>
      <c r="B6422">
        <v>12.892210596317099</v>
      </c>
      <c r="C6422" s="1">
        <v>44227</v>
      </c>
    </row>
    <row r="6423" spans="1:3">
      <c r="A6423" t="s">
        <v>51</v>
      </c>
      <c r="B6423">
        <v>0.45706693240575902</v>
      </c>
      <c r="C6423" s="1">
        <v>44227</v>
      </c>
    </row>
    <row r="6424" spans="1:3">
      <c r="A6424" t="s">
        <v>53</v>
      </c>
      <c r="B6424">
        <v>0.45308088357664</v>
      </c>
      <c r="C6424" s="1">
        <v>44227</v>
      </c>
    </row>
    <row r="6425" spans="1:3">
      <c r="A6425" t="s">
        <v>55</v>
      </c>
      <c r="B6425">
        <v>3.2486297957327999</v>
      </c>
      <c r="C6425" s="1">
        <v>44227</v>
      </c>
    </row>
    <row r="6426" spans="1:3">
      <c r="A6426" t="s">
        <v>57</v>
      </c>
      <c r="B6426">
        <v>2.2375020760793598</v>
      </c>
      <c r="C6426" s="1">
        <v>44227</v>
      </c>
    </row>
    <row r="6427" spans="1:3">
      <c r="A6427" t="s">
        <v>59</v>
      </c>
      <c r="B6427">
        <v>2.6434147151780798</v>
      </c>
      <c r="C6427" s="1">
        <v>44227</v>
      </c>
    </row>
    <row r="6428" spans="1:3">
      <c r="A6428" t="s">
        <v>61</v>
      </c>
      <c r="B6428">
        <v>92.148148148653107</v>
      </c>
      <c r="C6428" s="1">
        <v>44227</v>
      </c>
    </row>
    <row r="6429" spans="1:3">
      <c r="A6429" t="s">
        <v>63</v>
      </c>
      <c r="B6429">
        <v>8.3946188341267192</v>
      </c>
      <c r="C6429" s="1">
        <v>44227</v>
      </c>
    </row>
    <row r="6430" spans="1:3">
      <c r="A6430" t="s">
        <v>65</v>
      </c>
      <c r="B6430">
        <v>0.22189005148767901</v>
      </c>
      <c r="C6430" s="1">
        <v>44227</v>
      </c>
    </row>
    <row r="6431" spans="1:3">
      <c r="A6431" t="s">
        <v>67</v>
      </c>
      <c r="B6431">
        <v>8.5447600066902396</v>
      </c>
      <c r="C6431" s="1">
        <v>44227</v>
      </c>
    </row>
    <row r="6432" spans="1:3">
      <c r="A6432" t="s">
        <v>69</v>
      </c>
      <c r="B6432">
        <v>2.9656203288652798</v>
      </c>
      <c r="C6432" s="1">
        <v>44227</v>
      </c>
    </row>
    <row r="6433" spans="1:3">
      <c r="A6433" t="s">
        <v>71</v>
      </c>
      <c r="B6433">
        <v>0.66633449593455996</v>
      </c>
      <c r="C6433" s="1">
        <v>44227</v>
      </c>
    </row>
    <row r="6434" spans="1:3">
      <c r="A6434" t="s">
        <v>73</v>
      </c>
      <c r="B6434">
        <v>0.88888888889375905</v>
      </c>
      <c r="C6434" s="1">
        <v>44227</v>
      </c>
    </row>
    <row r="6435" spans="1:3">
      <c r="A6435" t="s">
        <v>75</v>
      </c>
      <c r="B6435">
        <v>0.110280684272319</v>
      </c>
      <c r="C6435" s="1">
        <v>44227</v>
      </c>
    </row>
    <row r="6436" spans="1:3">
      <c r="A6436" t="s">
        <v>77</v>
      </c>
      <c r="B6436">
        <v>0.80518186348223897</v>
      </c>
      <c r="C6436" s="1">
        <v>44227</v>
      </c>
    </row>
    <row r="6437" spans="1:3">
      <c r="A6437" t="s">
        <v>79</v>
      </c>
      <c r="B6437">
        <v>2.9549908653209598</v>
      </c>
      <c r="C6437" s="1">
        <v>44227</v>
      </c>
    </row>
    <row r="6438" spans="1:3">
      <c r="A6438" t="s">
        <v>81</v>
      </c>
      <c r="B6438">
        <v>5.4502574323500799</v>
      </c>
      <c r="C6438" s="1">
        <v>44227</v>
      </c>
    </row>
    <row r="6439" spans="1:3">
      <c r="A6439" t="s">
        <v>83</v>
      </c>
      <c r="B6439">
        <v>0.24381332004783901</v>
      </c>
      <c r="C6439" s="1">
        <v>44227</v>
      </c>
    </row>
    <row r="6440" spans="1:3">
      <c r="A6440" t="s">
        <v>85</v>
      </c>
      <c r="B6440">
        <v>1.64889553231264</v>
      </c>
      <c r="C6440" s="1">
        <v>44227</v>
      </c>
    </row>
    <row r="6441" spans="1:3">
      <c r="A6441" t="s">
        <v>87</v>
      </c>
      <c r="B6441">
        <v>9.5053977745081593</v>
      </c>
      <c r="C6441" s="1">
        <v>44227</v>
      </c>
    </row>
    <row r="6442" spans="1:3">
      <c r="A6442" t="s">
        <v>89</v>
      </c>
      <c r="B6442">
        <v>3.6306261418567898</v>
      </c>
      <c r="C6442" s="1">
        <v>44227</v>
      </c>
    </row>
    <row r="6443" spans="1:3">
      <c r="A6443" t="s">
        <v>91</v>
      </c>
      <c r="B6443">
        <v>17.671483142431999</v>
      </c>
      <c r="C6443" s="1">
        <v>44227</v>
      </c>
    </row>
    <row r="6444" spans="1:3">
      <c r="A6444" t="s">
        <v>93</v>
      </c>
      <c r="B6444">
        <v>18.933731938319902</v>
      </c>
      <c r="C6444" s="1">
        <v>44227</v>
      </c>
    </row>
    <row r="6445" spans="1:3">
      <c r="A6445" t="s">
        <v>95</v>
      </c>
      <c r="B6445">
        <v>0.32818468693087999</v>
      </c>
      <c r="C6445" s="1">
        <v>44227</v>
      </c>
    </row>
    <row r="6446" spans="1:3">
      <c r="A6446" t="s">
        <v>97</v>
      </c>
      <c r="B6446">
        <v>2.94967613354879</v>
      </c>
      <c r="C6446" s="1">
        <v>44227</v>
      </c>
    </row>
    <row r="6447" spans="1:3">
      <c r="A6447" t="s">
        <v>99</v>
      </c>
      <c r="B6447">
        <v>4.3846537120319997</v>
      </c>
      <c r="C6447" s="1">
        <v>44227</v>
      </c>
    </row>
    <row r="6448" spans="1:3">
      <c r="A6448" t="s">
        <v>101</v>
      </c>
      <c r="B6448">
        <v>6.1451586115599897</v>
      </c>
      <c r="C6448" s="1">
        <v>44227</v>
      </c>
    </row>
    <row r="6449" spans="1:3">
      <c r="A6449" t="s">
        <v>107</v>
      </c>
      <c r="B6449">
        <v>0.87028732769119899</v>
      </c>
      <c r="C6449" s="1">
        <v>44227</v>
      </c>
    </row>
    <row r="6450" spans="1:3">
      <c r="A6450" t="s">
        <v>109</v>
      </c>
      <c r="B6450">
        <v>4.6351104467950304</v>
      </c>
      <c r="C6450" s="1">
        <v>44227</v>
      </c>
    </row>
    <row r="6451" spans="1:3">
      <c r="A6451" t="s">
        <v>111</v>
      </c>
      <c r="B6451">
        <v>6.0461717323035202</v>
      </c>
      <c r="C6451" s="1">
        <v>44227</v>
      </c>
    </row>
    <row r="6452" spans="1:3">
      <c r="A6452" t="s">
        <v>113</v>
      </c>
      <c r="B6452">
        <v>6.8294303272255901</v>
      </c>
      <c r="C6452" s="1">
        <v>44227</v>
      </c>
    </row>
    <row r="6453" spans="1:3">
      <c r="A6453" t="s">
        <v>115</v>
      </c>
      <c r="B6453">
        <v>2.9848862315393498</v>
      </c>
      <c r="C6453" s="1">
        <v>44227</v>
      </c>
    </row>
    <row r="6454" spans="1:3">
      <c r="A6454" t="s">
        <v>117</v>
      </c>
      <c r="B6454">
        <v>3.5509051652743899</v>
      </c>
      <c r="C6454" s="1">
        <v>44227</v>
      </c>
    </row>
    <row r="6455" spans="1:3">
      <c r="A6455" t="s">
        <v>119</v>
      </c>
      <c r="B6455">
        <v>40.406576980789403</v>
      </c>
      <c r="C6455" s="1">
        <v>44227</v>
      </c>
    </row>
    <row r="6456" spans="1:3">
      <c r="A6456" t="s">
        <v>121</v>
      </c>
      <c r="B6456">
        <v>6.6766317887759996</v>
      </c>
      <c r="C6456" s="1">
        <v>44227</v>
      </c>
    </row>
    <row r="6457" spans="1:3">
      <c r="A6457" t="s">
        <v>123</v>
      </c>
      <c r="B6457">
        <v>3.8305929247843098</v>
      </c>
      <c r="C6457" s="1">
        <v>44227</v>
      </c>
    </row>
    <row r="6458" spans="1:3">
      <c r="A6458" t="s">
        <v>125</v>
      </c>
      <c r="B6458">
        <v>231.05796379465599</v>
      </c>
      <c r="C6458" s="1">
        <v>44227</v>
      </c>
    </row>
    <row r="6459" spans="1:3">
      <c r="A6459" t="s">
        <v>127</v>
      </c>
      <c r="B6459">
        <v>4.1587776117152</v>
      </c>
      <c r="C6459" s="1">
        <v>44227</v>
      </c>
    </row>
    <row r="6460" spans="1:3">
      <c r="A6460" t="s">
        <v>129</v>
      </c>
      <c r="B6460">
        <v>3.17422355092256</v>
      </c>
      <c r="C6460" s="1">
        <v>44227</v>
      </c>
    </row>
    <row r="6461" spans="1:3">
      <c r="A6461" t="s">
        <v>131</v>
      </c>
      <c r="B6461">
        <v>1.6409234346543899</v>
      </c>
      <c r="C6461" s="1">
        <v>44227</v>
      </c>
    </row>
    <row r="6462" spans="1:3">
      <c r="A6462" t="s">
        <v>134</v>
      </c>
      <c r="B6462">
        <v>1.5778109948599901</v>
      </c>
      <c r="C6462" s="1">
        <v>44227</v>
      </c>
    </row>
    <row r="6463" spans="1:3">
      <c r="A6463" t="s">
        <v>136</v>
      </c>
      <c r="B6463">
        <v>9.3087526989382301</v>
      </c>
      <c r="C6463" s="1">
        <v>44227</v>
      </c>
    </row>
    <row r="6464" spans="1:3">
      <c r="A6464" t="s">
        <v>138</v>
      </c>
      <c r="B6464">
        <v>10.420860322262699</v>
      </c>
      <c r="C6464" s="1">
        <v>44227</v>
      </c>
    </row>
    <row r="6465" spans="1:3">
      <c r="A6465" t="s">
        <v>140</v>
      </c>
      <c r="B6465">
        <v>16.508885567271999</v>
      </c>
      <c r="C6465" s="1">
        <v>44227</v>
      </c>
    </row>
    <row r="6466" spans="1:3">
      <c r="A6466" t="s">
        <v>142</v>
      </c>
      <c r="B6466">
        <v>2.5543929579943998</v>
      </c>
      <c r="C6466" s="1">
        <v>44227</v>
      </c>
    </row>
    <row r="6467" spans="1:3">
      <c r="A6467" t="s">
        <v>144</v>
      </c>
      <c r="B6467">
        <v>2.5377844212063998</v>
      </c>
      <c r="C6467" s="1">
        <v>44227</v>
      </c>
    </row>
    <row r="6468" spans="1:3">
      <c r="A6468" t="s">
        <v>146</v>
      </c>
      <c r="B6468">
        <v>2.8393954492764801</v>
      </c>
      <c r="C6468" s="1">
        <v>44227</v>
      </c>
    </row>
    <row r="6469" spans="1:3">
      <c r="A6469" t="s">
        <v>148</v>
      </c>
      <c r="B6469">
        <v>8.3640591264367998</v>
      </c>
      <c r="C6469" s="1">
        <v>44227</v>
      </c>
    </row>
    <row r="6470" spans="1:3">
      <c r="A6470" t="s">
        <v>150</v>
      </c>
      <c r="B6470">
        <v>5.0184354758620797</v>
      </c>
      <c r="C6470" s="1">
        <v>44227</v>
      </c>
    </row>
    <row r="6471" spans="1:3">
      <c r="A6471" t="s">
        <v>152</v>
      </c>
      <c r="B6471">
        <v>24.0259093175207</v>
      </c>
      <c r="C6471" s="1">
        <v>44227</v>
      </c>
    </row>
    <row r="6472" spans="1:3">
      <c r="A6472" t="s">
        <v>154</v>
      </c>
      <c r="B6472">
        <v>13.2376681615075</v>
      </c>
      <c r="C6472" s="1">
        <v>44227</v>
      </c>
    </row>
    <row r="6473" spans="1:3">
      <c r="A6473" t="s">
        <v>156</v>
      </c>
      <c r="B6473">
        <v>10.9609699386084</v>
      </c>
      <c r="C6473" s="1">
        <v>44227</v>
      </c>
    </row>
    <row r="6474" spans="1:3">
      <c r="A6474" t="s">
        <v>158</v>
      </c>
      <c r="B6474">
        <v>100.831755522891</v>
      </c>
      <c r="C6474" s="1">
        <v>44227</v>
      </c>
    </row>
    <row r="6475" spans="1:3">
      <c r="A6475" t="s">
        <v>160</v>
      </c>
      <c r="B6475">
        <v>8.13087526993327</v>
      </c>
      <c r="C6475" s="1">
        <v>44227</v>
      </c>
    </row>
    <row r="6476" spans="1:3">
      <c r="A6476" t="s">
        <v>162</v>
      </c>
      <c r="B6476">
        <v>13.7638266069513</v>
      </c>
      <c r="C6476" s="1">
        <v>44227</v>
      </c>
    </row>
    <row r="6477" spans="1:3">
      <c r="A6477" t="s">
        <v>164</v>
      </c>
      <c r="B6477">
        <v>9.88872280357519</v>
      </c>
      <c r="C6477" s="1">
        <v>44227</v>
      </c>
    </row>
    <row r="6478" spans="1:3">
      <c r="A6478" t="s">
        <v>166</v>
      </c>
      <c r="B6478">
        <v>6.2707191496772703</v>
      </c>
      <c r="C6478" s="1">
        <v>44227</v>
      </c>
    </row>
    <row r="6479" spans="1:3">
      <c r="A6479" t="s">
        <v>168</v>
      </c>
      <c r="B6479">
        <v>18.221557880850501</v>
      </c>
      <c r="C6479" s="1">
        <v>44227</v>
      </c>
    </row>
    <row r="6480" spans="1:3">
      <c r="A6480" t="s">
        <v>4</v>
      </c>
      <c r="B6480">
        <v>0.23702236527307</v>
      </c>
      <c r="C6480" s="1">
        <v>44255</v>
      </c>
    </row>
    <row r="6481" spans="1:3">
      <c r="A6481" t="s">
        <v>8</v>
      </c>
      <c r="B6481">
        <v>24.117520838607099</v>
      </c>
      <c r="C6481" s="1">
        <v>44255</v>
      </c>
    </row>
    <row r="6482" spans="1:3">
      <c r="A6482" t="s">
        <v>11</v>
      </c>
      <c r="B6482">
        <v>34.520095733433003</v>
      </c>
      <c r="C6482" s="1">
        <v>44255</v>
      </c>
    </row>
    <row r="6483" spans="1:3">
      <c r="A6483" t="s">
        <v>14</v>
      </c>
      <c r="B6483">
        <v>2.7267475447848999</v>
      </c>
      <c r="C6483" s="1">
        <v>44255</v>
      </c>
    </row>
    <row r="6484" spans="1:3">
      <c r="A6484" t="s">
        <v>17</v>
      </c>
      <c r="B6484">
        <v>9.6532144920823306</v>
      </c>
      <c r="C6484" s="1">
        <v>44255</v>
      </c>
    </row>
    <row r="6485" spans="1:3">
      <c r="A6485" t="s">
        <v>20</v>
      </c>
      <c r="B6485">
        <v>0.33671700916229902</v>
      </c>
      <c r="C6485" s="1">
        <v>44255</v>
      </c>
    </row>
    <row r="6486" spans="1:3">
      <c r="A6486" t="s">
        <v>24</v>
      </c>
      <c r="B6486">
        <v>0.66022942972999998</v>
      </c>
      <c r="C6486" s="1">
        <v>44255</v>
      </c>
    </row>
    <row r="6487" spans="1:3">
      <c r="A6487" t="s">
        <v>27</v>
      </c>
      <c r="B6487">
        <v>38.349426425867001</v>
      </c>
      <c r="C6487" s="1">
        <v>44255</v>
      </c>
    </row>
    <row r="6488" spans="1:3">
      <c r="A6488" t="s">
        <v>29</v>
      </c>
      <c r="B6488">
        <v>1.1857720557950799</v>
      </c>
      <c r="C6488" s="1">
        <v>44255</v>
      </c>
    </row>
    <row r="6489" spans="1:3">
      <c r="A6489" t="s">
        <v>32</v>
      </c>
      <c r="B6489">
        <v>8.2251382355763401</v>
      </c>
      <c r="C6489" s="1">
        <v>44255</v>
      </c>
    </row>
    <row r="6490" spans="1:3">
      <c r="A6490" t="s">
        <v>35</v>
      </c>
      <c r="B6490">
        <v>2.8059750763525</v>
      </c>
      <c r="C6490" s="1">
        <v>44255</v>
      </c>
    </row>
    <row r="6491" spans="1:3">
      <c r="A6491" t="s">
        <v>37</v>
      </c>
      <c r="B6491">
        <v>0.31360897912175001</v>
      </c>
      <c r="C6491" s="1">
        <v>44255</v>
      </c>
    </row>
    <row r="6492" spans="1:3">
      <c r="A6492" t="s">
        <v>39</v>
      </c>
      <c r="B6492">
        <v>1.5125856235114301</v>
      </c>
      <c r="C6492" s="1">
        <v>44255</v>
      </c>
    </row>
    <row r="6493" spans="1:3">
      <c r="A6493" t="s">
        <v>42</v>
      </c>
      <c r="B6493">
        <v>2.9248163737038899</v>
      </c>
      <c r="C6493" s="1">
        <v>44255</v>
      </c>
    </row>
    <row r="6494" spans="1:3">
      <c r="A6494" t="s">
        <v>44</v>
      </c>
      <c r="B6494">
        <v>11.2965255426803</v>
      </c>
      <c r="C6494" s="1">
        <v>44255</v>
      </c>
    </row>
    <row r="6495" spans="1:3">
      <c r="A6495" t="s">
        <v>47</v>
      </c>
      <c r="B6495">
        <v>7.8593711315059203</v>
      </c>
      <c r="C6495" s="1">
        <v>44255</v>
      </c>
    </row>
    <row r="6496" spans="1:3">
      <c r="A6496" t="s">
        <v>49</v>
      </c>
      <c r="B6496">
        <v>12.568127424340201</v>
      </c>
      <c r="C6496" s="1">
        <v>44255</v>
      </c>
    </row>
    <row r="6497" spans="1:3">
      <c r="A6497" t="s">
        <v>51</v>
      </c>
      <c r="B6497">
        <v>0.49913344887587902</v>
      </c>
      <c r="C6497" s="1">
        <v>44255</v>
      </c>
    </row>
    <row r="6498" spans="1:3">
      <c r="A6498" t="s">
        <v>53</v>
      </c>
      <c r="B6498">
        <v>0.53478583808129998</v>
      </c>
      <c r="C6498" s="1">
        <v>44255</v>
      </c>
    </row>
    <row r="6499" spans="1:3">
      <c r="A6499" t="s">
        <v>55</v>
      </c>
      <c r="B6499">
        <v>3.2859618717662098</v>
      </c>
      <c r="C6499" s="1">
        <v>44255</v>
      </c>
    </row>
    <row r="6500" spans="1:3">
      <c r="A6500" t="s">
        <v>57</v>
      </c>
      <c r="B6500">
        <v>2.7003383675957</v>
      </c>
      <c r="C6500" s="1">
        <v>44255</v>
      </c>
    </row>
    <row r="6501" spans="1:3">
      <c r="A6501" t="s">
        <v>59</v>
      </c>
      <c r="B6501">
        <v>2.94264256830661</v>
      </c>
      <c r="C6501" s="1">
        <v>44255</v>
      </c>
    </row>
    <row r="6502" spans="1:3">
      <c r="A6502" t="s">
        <v>61</v>
      </c>
      <c r="B6502">
        <v>88.388214905103695</v>
      </c>
      <c r="C6502" s="1">
        <v>44255</v>
      </c>
    </row>
    <row r="6503" spans="1:3">
      <c r="A6503" t="s">
        <v>63</v>
      </c>
      <c r="B6503">
        <v>8.8992324833306693</v>
      </c>
      <c r="C6503" s="1">
        <v>44255</v>
      </c>
    </row>
    <row r="6504" spans="1:3">
      <c r="A6504" t="s">
        <v>65</v>
      </c>
      <c r="B6504">
        <v>0.27399521333795002</v>
      </c>
      <c r="C6504" s="1">
        <v>44255</v>
      </c>
    </row>
    <row r="6505" spans="1:3">
      <c r="A6505" t="s">
        <v>67</v>
      </c>
      <c r="B6505">
        <v>9.3521498721254499</v>
      </c>
      <c r="C6505" s="1">
        <v>44255</v>
      </c>
    </row>
    <row r="6506" spans="1:3">
      <c r="A6506" t="s">
        <v>69</v>
      </c>
      <c r="B6506">
        <v>3.2172980110742899</v>
      </c>
      <c r="C6506" s="1">
        <v>44255</v>
      </c>
    </row>
    <row r="6507" spans="1:3">
      <c r="A6507" t="s">
        <v>71</v>
      </c>
      <c r="B6507">
        <v>0.79227531567599996</v>
      </c>
      <c r="C6507" s="1">
        <v>44255</v>
      </c>
    </row>
    <row r="6508" spans="1:3">
      <c r="A6508" t="s">
        <v>73</v>
      </c>
      <c r="B6508">
        <v>0.90385408930037003</v>
      </c>
      <c r="C6508" s="1">
        <v>44255</v>
      </c>
    </row>
    <row r="6509" spans="1:3">
      <c r="A6509" t="s">
        <v>75</v>
      </c>
      <c r="B6509">
        <v>0.12082198564059</v>
      </c>
      <c r="C6509" s="1">
        <v>44255</v>
      </c>
    </row>
    <row r="6510" spans="1:3">
      <c r="A6510" t="s">
        <v>77</v>
      </c>
      <c r="B6510">
        <v>0.90253363044090995</v>
      </c>
      <c r="C6510" s="1">
        <v>44255</v>
      </c>
    </row>
    <row r="6511" spans="1:3">
      <c r="A6511" t="s">
        <v>79</v>
      </c>
      <c r="B6511">
        <v>3.0390360650471901</v>
      </c>
      <c r="C6511" s="1">
        <v>44255</v>
      </c>
    </row>
    <row r="6512" spans="1:3">
      <c r="A6512" t="s">
        <v>81</v>
      </c>
      <c r="B6512">
        <v>6.3712139968945003</v>
      </c>
      <c r="C6512" s="1">
        <v>44255</v>
      </c>
    </row>
    <row r="6513" spans="1:3">
      <c r="A6513" t="s">
        <v>83</v>
      </c>
      <c r="B6513">
        <v>0.26739291904064999</v>
      </c>
      <c r="C6513" s="1">
        <v>44255</v>
      </c>
    </row>
    <row r="6514" spans="1:3">
      <c r="A6514" t="s">
        <v>85</v>
      </c>
      <c r="B6514">
        <v>1.8677890567061699</v>
      </c>
      <c r="C6514" s="1">
        <v>44255</v>
      </c>
    </row>
    <row r="6515" spans="1:3">
      <c r="A6515" t="s">
        <v>87</v>
      </c>
      <c r="B6515">
        <v>9.4049682265038399</v>
      </c>
      <c r="C6515" s="1">
        <v>44255</v>
      </c>
    </row>
    <row r="6516" spans="1:3">
      <c r="A6516" t="s">
        <v>89</v>
      </c>
      <c r="B6516">
        <v>4.1369976066881797</v>
      </c>
      <c r="C6516" s="1">
        <v>44255</v>
      </c>
    </row>
    <row r="6517" spans="1:3">
      <c r="A6517" t="s">
        <v>91</v>
      </c>
      <c r="B6517">
        <v>16.012544359241598</v>
      </c>
      <c r="C6517" s="1">
        <v>44255</v>
      </c>
    </row>
    <row r="6518" spans="1:3">
      <c r="A6518" t="s">
        <v>93</v>
      </c>
      <c r="B6518">
        <v>20.442683832729902</v>
      </c>
      <c r="C6518" s="1">
        <v>44255</v>
      </c>
    </row>
    <row r="6519" spans="1:3">
      <c r="A6519" t="s">
        <v>95</v>
      </c>
      <c r="B6519">
        <v>0.33011471486499999</v>
      </c>
      <c r="C6519" s="1">
        <v>44255</v>
      </c>
    </row>
    <row r="6520" spans="1:3">
      <c r="A6520" t="s">
        <v>97</v>
      </c>
      <c r="B6520">
        <v>2.9578278451903999</v>
      </c>
      <c r="C6520" s="1">
        <v>44255</v>
      </c>
    </row>
    <row r="6521" spans="1:3">
      <c r="A6521" t="s">
        <v>99</v>
      </c>
      <c r="B6521">
        <v>4.4142939671747801</v>
      </c>
      <c r="C6521" s="1">
        <v>44255</v>
      </c>
    </row>
    <row r="6522" spans="1:3">
      <c r="A6522" t="s">
        <v>101</v>
      </c>
      <c r="B6522">
        <v>6.3210365602350196</v>
      </c>
      <c r="C6522" s="1">
        <v>44255</v>
      </c>
    </row>
    <row r="6523" spans="1:3">
      <c r="A6523" t="s">
        <v>107</v>
      </c>
      <c r="B6523">
        <v>1.02401584551123</v>
      </c>
      <c r="C6523" s="1">
        <v>44255</v>
      </c>
    </row>
    <row r="6524" spans="1:3">
      <c r="A6524" t="s">
        <v>109</v>
      </c>
      <c r="B6524">
        <v>3.78839646779074</v>
      </c>
      <c r="C6524" s="1">
        <v>44255</v>
      </c>
    </row>
    <row r="6525" spans="1:3">
      <c r="A6525" t="s">
        <v>111</v>
      </c>
      <c r="B6525">
        <v>6.5448543369134899</v>
      </c>
      <c r="C6525" s="1">
        <v>44255</v>
      </c>
    </row>
    <row r="6526" spans="1:3">
      <c r="A6526" t="s">
        <v>113</v>
      </c>
      <c r="B6526">
        <v>6.9330692415947297</v>
      </c>
      <c r="C6526" s="1">
        <v>44255</v>
      </c>
    </row>
    <row r="6527" spans="1:3">
      <c r="A6527" t="s">
        <v>115</v>
      </c>
      <c r="B6527">
        <v>3.04563835934449</v>
      </c>
      <c r="C6527" s="1">
        <v>44255</v>
      </c>
    </row>
    <row r="6528" spans="1:3">
      <c r="A6528" t="s">
        <v>117</v>
      </c>
      <c r="B6528">
        <v>3.4114054634149098</v>
      </c>
      <c r="C6528" s="1">
        <v>44255</v>
      </c>
    </row>
    <row r="6529" spans="1:3">
      <c r="A6529" t="s">
        <v>119</v>
      </c>
      <c r="B6529">
        <v>42.848889989477001</v>
      </c>
      <c r="C6529" s="1">
        <v>44255</v>
      </c>
    </row>
    <row r="6530" spans="1:3">
      <c r="A6530" t="s">
        <v>121</v>
      </c>
      <c r="B6530">
        <v>6.8406371214325299</v>
      </c>
      <c r="C6530" s="1">
        <v>44255</v>
      </c>
    </row>
    <row r="6531" spans="1:3">
      <c r="A6531" t="s">
        <v>123</v>
      </c>
      <c r="B6531">
        <v>4.0128744738989397</v>
      </c>
      <c r="C6531" s="1">
        <v>44255</v>
      </c>
    </row>
    <row r="6532" spans="1:3">
      <c r="A6532" t="s">
        <v>125</v>
      </c>
      <c r="B6532">
        <v>232.26739292015401</v>
      </c>
      <c r="C6532" s="1">
        <v>44255</v>
      </c>
    </row>
    <row r="6533" spans="1:3">
      <c r="A6533" t="s">
        <v>127</v>
      </c>
      <c r="B6533">
        <v>4.7992077247073697</v>
      </c>
      <c r="C6533" s="1">
        <v>44255</v>
      </c>
    </row>
    <row r="6534" spans="1:3">
      <c r="A6534" t="s">
        <v>129</v>
      </c>
      <c r="B6534">
        <v>3.3222744904013601</v>
      </c>
      <c r="C6534" s="1">
        <v>44255</v>
      </c>
    </row>
    <row r="6535" spans="1:3">
      <c r="A6535" t="s">
        <v>131</v>
      </c>
      <c r="B6535">
        <v>1.7014112404142101</v>
      </c>
      <c r="C6535" s="1">
        <v>44255</v>
      </c>
    </row>
    <row r="6536" spans="1:3">
      <c r="A6536" t="s">
        <v>134</v>
      </c>
      <c r="B6536">
        <v>1.7727160188250499</v>
      </c>
      <c r="C6536" s="1">
        <v>44255</v>
      </c>
    </row>
    <row r="6537" spans="1:3">
      <c r="A6537" t="s">
        <v>136</v>
      </c>
      <c r="B6537">
        <v>8.7856730214171002</v>
      </c>
      <c r="C6537" s="1">
        <v>44255</v>
      </c>
    </row>
    <row r="6538" spans="1:3">
      <c r="A6538" t="s">
        <v>138</v>
      </c>
      <c r="B6538">
        <v>11.108360155207199</v>
      </c>
      <c r="C6538" s="1">
        <v>44255</v>
      </c>
    </row>
    <row r="6539" spans="1:3">
      <c r="A6539" t="s">
        <v>140</v>
      </c>
      <c r="B6539">
        <v>16.159775522071399</v>
      </c>
      <c r="C6539" s="1">
        <v>44255</v>
      </c>
    </row>
    <row r="6540" spans="1:3">
      <c r="A6540" t="s">
        <v>142</v>
      </c>
      <c r="B6540">
        <v>2.6164892300199898</v>
      </c>
      <c r="C6540" s="1">
        <v>44255</v>
      </c>
    </row>
    <row r="6541" spans="1:3">
      <c r="A6541" t="s">
        <v>144</v>
      </c>
      <c r="B6541">
        <v>3.0297928530309699</v>
      </c>
      <c r="C6541" s="1">
        <v>44255</v>
      </c>
    </row>
    <row r="6542" spans="1:3">
      <c r="A6542" t="s">
        <v>146</v>
      </c>
      <c r="B6542">
        <v>2.9314186680012</v>
      </c>
      <c r="C6542" s="1">
        <v>44255</v>
      </c>
    </row>
    <row r="6543" spans="1:3">
      <c r="A6543" t="s">
        <v>148</v>
      </c>
      <c r="B6543">
        <v>8.7810514154089994</v>
      </c>
      <c r="C6543" s="1">
        <v>44255</v>
      </c>
    </row>
    <row r="6544" spans="1:3">
      <c r="A6544" t="s">
        <v>150</v>
      </c>
      <c r="B6544">
        <v>4.687628951083</v>
      </c>
      <c r="C6544" s="1">
        <v>44255</v>
      </c>
    </row>
    <row r="6545" spans="1:3">
      <c r="A6545" t="s">
        <v>152</v>
      </c>
      <c r="B6545">
        <v>20.016835850554099</v>
      </c>
      <c r="C6545" s="1">
        <v>44255</v>
      </c>
    </row>
    <row r="6546" spans="1:3">
      <c r="A6546" t="s">
        <v>154</v>
      </c>
      <c r="B6546">
        <v>13.314846909364899</v>
      </c>
      <c r="C6546" s="1">
        <v>44255</v>
      </c>
    </row>
    <row r="6547" spans="1:3">
      <c r="A6547" t="s">
        <v>156</v>
      </c>
      <c r="B6547">
        <v>12.440703144402301</v>
      </c>
      <c r="C6547" s="1">
        <v>44255</v>
      </c>
    </row>
    <row r="6548" spans="1:3">
      <c r="A6548" t="s">
        <v>158</v>
      </c>
      <c r="B6548">
        <v>121.09928200107601</v>
      </c>
      <c r="C6548" s="1">
        <v>44255</v>
      </c>
    </row>
    <row r="6549" spans="1:3">
      <c r="A6549" t="s">
        <v>160</v>
      </c>
      <c r="B6549">
        <v>8.6245770405629898</v>
      </c>
      <c r="C6549" s="1">
        <v>44255</v>
      </c>
    </row>
    <row r="6550" spans="1:3">
      <c r="A6550" t="s">
        <v>162</v>
      </c>
      <c r="B6550">
        <v>16.246265577366099</v>
      </c>
      <c r="C6550" s="1">
        <v>44255</v>
      </c>
    </row>
    <row r="6551" spans="1:3">
      <c r="A6551" t="s">
        <v>164</v>
      </c>
      <c r="B6551">
        <v>8.3043657671439401</v>
      </c>
      <c r="C6551" s="1">
        <v>44255</v>
      </c>
    </row>
    <row r="6552" spans="1:3">
      <c r="A6552" t="s">
        <v>166</v>
      </c>
      <c r="B6552">
        <v>6.0047866633943503</v>
      </c>
      <c r="C6552" s="1">
        <v>44255</v>
      </c>
    </row>
    <row r="6553" spans="1:3">
      <c r="A6553" t="s">
        <v>168</v>
      </c>
      <c r="B6553">
        <v>19.4747874887458</v>
      </c>
      <c r="C6553" s="1">
        <v>44255</v>
      </c>
    </row>
    <row r="6554" spans="1:3">
      <c r="A6554" t="s">
        <v>4</v>
      </c>
      <c r="B6554">
        <v>0.21332430373274999</v>
      </c>
      <c r="C6554" s="1">
        <v>44286</v>
      </c>
    </row>
    <row r="6555" spans="1:3">
      <c r="A6555" t="s">
        <v>8</v>
      </c>
      <c r="B6555">
        <v>25.6876322694823</v>
      </c>
      <c r="C6555" s="1">
        <v>44286</v>
      </c>
    </row>
    <row r="6556" spans="1:3">
      <c r="A6556" t="s">
        <v>11</v>
      </c>
      <c r="B6556">
        <v>38.031998645484101</v>
      </c>
      <c r="C6556" s="1">
        <v>44286</v>
      </c>
    </row>
    <row r="6557" spans="1:3">
      <c r="A6557" t="s">
        <v>14</v>
      </c>
      <c r="B6557">
        <v>3.0603572335501501</v>
      </c>
      <c r="C6557" s="1">
        <v>44286</v>
      </c>
    </row>
    <row r="6558" spans="1:3">
      <c r="A6558" t="s">
        <v>17</v>
      </c>
      <c r="B6558">
        <v>9.6456446287795501</v>
      </c>
      <c r="C6558" s="1">
        <v>44286</v>
      </c>
    </row>
    <row r="6559" spans="1:3">
      <c r="A6559" t="s">
        <v>20</v>
      </c>
      <c r="B6559">
        <v>0.41987640734699999</v>
      </c>
      <c r="C6559" s="1">
        <v>44286</v>
      </c>
    </row>
    <row r="6560" spans="1:3">
      <c r="A6560" t="s">
        <v>24</v>
      </c>
      <c r="B6560">
        <v>0.73749259290464997</v>
      </c>
      <c r="C6560" s="1">
        <v>44286</v>
      </c>
    </row>
    <row r="6561" spans="1:3">
      <c r="A6561" t="s">
        <v>27</v>
      </c>
      <c r="B6561">
        <v>39.3295521881887</v>
      </c>
      <c r="C6561" s="1">
        <v>44286</v>
      </c>
    </row>
    <row r="6562" spans="1:3">
      <c r="A6562" t="s">
        <v>29</v>
      </c>
      <c r="B6562">
        <v>1.2528570219224999</v>
      </c>
      <c r="C6562" s="1">
        <v>44286</v>
      </c>
    </row>
    <row r="6563" spans="1:3">
      <c r="A6563" t="s">
        <v>32</v>
      </c>
      <c r="B6563">
        <v>8.5505798696180992</v>
      </c>
      <c r="C6563" s="1">
        <v>44286</v>
      </c>
    </row>
    <row r="6564" spans="1:3">
      <c r="A6564" t="s">
        <v>35</v>
      </c>
      <c r="B6564">
        <v>2.9872174722703502</v>
      </c>
      <c r="C6564" s="1">
        <v>44286</v>
      </c>
    </row>
    <row r="6565" spans="1:3">
      <c r="A6565" t="s">
        <v>37</v>
      </c>
      <c r="B6565">
        <v>0.28307796495330001</v>
      </c>
      <c r="C6565" s="1">
        <v>44286</v>
      </c>
    </row>
    <row r="6566" spans="1:3">
      <c r="A6566" t="s">
        <v>39</v>
      </c>
      <c r="B6566">
        <v>1.923304833654</v>
      </c>
      <c r="C6566" s="1">
        <v>44286</v>
      </c>
    </row>
    <row r="6567" spans="1:3">
      <c r="A6567" t="s">
        <v>42</v>
      </c>
      <c r="B6567">
        <v>3.0982815542137501</v>
      </c>
      <c r="C6567" s="1">
        <v>44286</v>
      </c>
    </row>
    <row r="6568" spans="1:3">
      <c r="A6568" t="s">
        <v>44</v>
      </c>
      <c r="B6568">
        <v>11.774147126024101</v>
      </c>
      <c r="C6568" s="1">
        <v>44286</v>
      </c>
    </row>
    <row r="6569" spans="1:3">
      <c r="A6569" t="s">
        <v>47</v>
      </c>
      <c r="B6569">
        <v>7.5618386523170997</v>
      </c>
      <c r="C6569" s="1">
        <v>44286</v>
      </c>
    </row>
    <row r="6570" spans="1:3">
      <c r="A6570" t="s">
        <v>49</v>
      </c>
      <c r="B6570">
        <v>12.8597308050196</v>
      </c>
      <c r="C6570" s="1">
        <v>44286</v>
      </c>
    </row>
    <row r="6571" spans="1:3">
      <c r="A6571" t="s">
        <v>51</v>
      </c>
      <c r="B6571">
        <v>0.58579531025025</v>
      </c>
      <c r="C6571" s="1">
        <v>44286</v>
      </c>
    </row>
    <row r="6572" spans="1:3">
      <c r="A6572" t="s">
        <v>53</v>
      </c>
      <c r="B6572">
        <v>0.57563701007250001</v>
      </c>
      <c r="C6572" s="1">
        <v>44286</v>
      </c>
    </row>
    <row r="6573" spans="1:3">
      <c r="A6573" t="s">
        <v>55</v>
      </c>
      <c r="B6573">
        <v>3.711165664938</v>
      </c>
      <c r="C6573" s="1">
        <v>44286</v>
      </c>
    </row>
    <row r="6574" spans="1:3">
      <c r="A6574" t="s">
        <v>57</v>
      </c>
      <c r="B6574">
        <v>2.8687039701966</v>
      </c>
      <c r="C6574" s="1">
        <v>44286</v>
      </c>
    </row>
    <row r="6575" spans="1:3">
      <c r="A6575" t="s">
        <v>59</v>
      </c>
      <c r="B6575">
        <v>3.0806738339056499</v>
      </c>
      <c r="C6575" s="1">
        <v>44286</v>
      </c>
    </row>
    <row r="6576" spans="1:3">
      <c r="A6576" t="s">
        <v>61</v>
      </c>
      <c r="B6576">
        <v>96.154406162510398</v>
      </c>
      <c r="C6576" s="1">
        <v>44286</v>
      </c>
    </row>
    <row r="6577" spans="1:3">
      <c r="A6577" t="s">
        <v>63</v>
      </c>
      <c r="B6577">
        <v>9.9165326335195498</v>
      </c>
      <c r="C6577" s="1">
        <v>44286</v>
      </c>
    </row>
    <row r="6578" spans="1:3">
      <c r="A6578" t="s">
        <v>65</v>
      </c>
      <c r="B6578">
        <v>0.25395750444374998</v>
      </c>
      <c r="C6578" s="1">
        <v>44286</v>
      </c>
    </row>
    <row r="6579" spans="1:3">
      <c r="A6579" t="s">
        <v>67</v>
      </c>
      <c r="B6579">
        <v>8.9785829171072997</v>
      </c>
      <c r="C6579" s="1">
        <v>44286</v>
      </c>
    </row>
    <row r="6580" spans="1:3">
      <c r="A6580" t="s">
        <v>69</v>
      </c>
      <c r="B6580">
        <v>3.2398205366904</v>
      </c>
      <c r="C6580" s="1">
        <v>44286</v>
      </c>
    </row>
    <row r="6581" spans="1:3">
      <c r="A6581" t="s">
        <v>71</v>
      </c>
      <c r="B6581">
        <v>0.89393041564200004</v>
      </c>
      <c r="C6581" s="1">
        <v>44286</v>
      </c>
    </row>
    <row r="6582" spans="1:3">
      <c r="A6582" t="s">
        <v>73</v>
      </c>
      <c r="B6582">
        <v>0.96503851688624998</v>
      </c>
      <c r="C6582" s="1">
        <v>44286</v>
      </c>
    </row>
    <row r="6583" spans="1:3">
      <c r="A6583" t="s">
        <v>75</v>
      </c>
      <c r="B6583">
        <v>0.13002624227519999</v>
      </c>
      <c r="C6583" s="1">
        <v>44286</v>
      </c>
    </row>
    <row r="6584" spans="1:3">
      <c r="A6584" t="s">
        <v>77</v>
      </c>
      <c r="B6584">
        <v>0.89393041564200004</v>
      </c>
      <c r="C6584" s="1">
        <v>44286</v>
      </c>
    </row>
    <row r="6585" spans="1:3">
      <c r="A6585" t="s">
        <v>79</v>
      </c>
      <c r="B6585">
        <v>3.5892660628050002</v>
      </c>
      <c r="C6585" s="1">
        <v>44286</v>
      </c>
    </row>
    <row r="6586" spans="1:3">
      <c r="A6586" t="s">
        <v>81</v>
      </c>
      <c r="B6586">
        <v>6.6313383560351999</v>
      </c>
      <c r="C6586" s="1">
        <v>44286</v>
      </c>
    </row>
    <row r="6587" spans="1:3">
      <c r="A6587" t="s">
        <v>83</v>
      </c>
      <c r="B6587">
        <v>0.27969186489405001</v>
      </c>
      <c r="C6587" s="1">
        <v>44286</v>
      </c>
    </row>
    <row r="6588" spans="1:3">
      <c r="A6588" t="s">
        <v>85</v>
      </c>
      <c r="B6588">
        <v>1.909760433417</v>
      </c>
      <c r="C6588" s="1">
        <v>44286</v>
      </c>
    </row>
    <row r="6589" spans="1:3">
      <c r="A6589" t="s">
        <v>87</v>
      </c>
      <c r="B6589">
        <v>9.7763480910666001</v>
      </c>
      <c r="C6589" s="1">
        <v>44286</v>
      </c>
    </row>
    <row r="6590" spans="1:3">
      <c r="A6590" t="s">
        <v>89</v>
      </c>
      <c r="B6590">
        <v>4.3017015152712004</v>
      </c>
      <c r="C6590" s="1">
        <v>44286</v>
      </c>
    </row>
    <row r="6591" spans="1:3">
      <c r="A6591" t="s">
        <v>91</v>
      </c>
      <c r="B6591">
        <v>16.513332768950399</v>
      </c>
      <c r="C6591" s="1">
        <v>44286</v>
      </c>
    </row>
    <row r="6592" spans="1:3">
      <c r="A6592" t="s">
        <v>93</v>
      </c>
      <c r="B6592">
        <v>20.711419622408499</v>
      </c>
      <c r="C6592" s="1">
        <v>44286</v>
      </c>
    </row>
    <row r="6593" spans="1:3">
      <c r="A6593" t="s">
        <v>95</v>
      </c>
      <c r="B6593">
        <v>0.32506560568800003</v>
      </c>
      <c r="C6593" s="1">
        <v>44286</v>
      </c>
    </row>
    <row r="6594" spans="1:3">
      <c r="A6594" t="s">
        <v>97</v>
      </c>
      <c r="B6594">
        <v>3.318378058065</v>
      </c>
      <c r="C6594" s="1">
        <v>44286</v>
      </c>
    </row>
    <row r="6595" spans="1:3">
      <c r="A6595" t="s">
        <v>99</v>
      </c>
      <c r="B6595">
        <v>4.4696520782100002</v>
      </c>
      <c r="C6595" s="1">
        <v>44286</v>
      </c>
    </row>
    <row r="6596" spans="1:3">
      <c r="A6596" t="s">
        <v>101</v>
      </c>
      <c r="B6596">
        <v>6.609667315656</v>
      </c>
      <c r="C6596" s="1">
        <v>44286</v>
      </c>
    </row>
    <row r="6597" spans="1:3">
      <c r="A6597" t="s">
        <v>107</v>
      </c>
      <c r="B6597">
        <v>0.93050029628190001</v>
      </c>
      <c r="C6597" s="1">
        <v>44286</v>
      </c>
    </row>
    <row r="6598" spans="1:3">
      <c r="A6598" t="s">
        <v>109</v>
      </c>
      <c r="B6598">
        <v>4.239397274181</v>
      </c>
      <c r="C6598" s="1">
        <v>44286</v>
      </c>
    </row>
    <row r="6599" spans="1:3">
      <c r="A6599" t="s">
        <v>111</v>
      </c>
      <c r="B6599">
        <v>7.0078726826238</v>
      </c>
      <c r="C6599" s="1">
        <v>44286</v>
      </c>
    </row>
    <row r="6600" spans="1:3">
      <c r="A6600" t="s">
        <v>113</v>
      </c>
      <c r="B6600">
        <v>8.31558452550615</v>
      </c>
      <c r="C6600" s="1">
        <v>44286</v>
      </c>
    </row>
    <row r="6601" spans="1:3">
      <c r="A6601" t="s">
        <v>115</v>
      </c>
      <c r="B6601">
        <v>3.3488529585982501</v>
      </c>
      <c r="C6601" s="1">
        <v>44286</v>
      </c>
    </row>
    <row r="6602" spans="1:3">
      <c r="A6602" t="s">
        <v>117</v>
      </c>
      <c r="B6602">
        <v>3.64005756369375</v>
      </c>
      <c r="C6602" s="1">
        <v>44286</v>
      </c>
    </row>
    <row r="6603" spans="1:3">
      <c r="A6603" t="s">
        <v>119</v>
      </c>
      <c r="B6603">
        <v>41.208837721072499</v>
      </c>
      <c r="C6603" s="1">
        <v>44286</v>
      </c>
    </row>
    <row r="6604" spans="1:3">
      <c r="A6604" t="s">
        <v>121</v>
      </c>
      <c r="B6604">
        <v>7.0430881232400004</v>
      </c>
      <c r="C6604" s="1">
        <v>44286</v>
      </c>
    </row>
    <row r="6605" spans="1:3">
      <c r="A6605" t="s">
        <v>123</v>
      </c>
      <c r="B6605">
        <v>4.0314907305430498</v>
      </c>
      <c r="C6605" s="1">
        <v>44286</v>
      </c>
    </row>
    <row r="6606" spans="1:3">
      <c r="A6606" t="s">
        <v>125</v>
      </c>
      <c r="B6606">
        <v>239.174468805076</v>
      </c>
      <c r="C6606" s="1">
        <v>44286</v>
      </c>
    </row>
    <row r="6607" spans="1:3">
      <c r="A6607" t="s">
        <v>127</v>
      </c>
      <c r="B6607">
        <v>5.8816558029172503</v>
      </c>
      <c r="C6607" s="1">
        <v>44286</v>
      </c>
    </row>
    <row r="6608" spans="1:3">
      <c r="A6608" t="s">
        <v>129</v>
      </c>
      <c r="B6608">
        <v>3.4958097011697</v>
      </c>
      <c r="C6608" s="1">
        <v>44286</v>
      </c>
    </row>
    <row r="6609" spans="1:3">
      <c r="A6609" t="s">
        <v>131</v>
      </c>
      <c r="B6609">
        <v>1.7607720308100001</v>
      </c>
      <c r="C6609" s="1">
        <v>44286</v>
      </c>
    </row>
    <row r="6610" spans="1:3">
      <c r="A6610" t="s">
        <v>134</v>
      </c>
      <c r="B6610">
        <v>2.0113434351945001</v>
      </c>
      <c r="C6610" s="1">
        <v>44286</v>
      </c>
    </row>
    <row r="6611" spans="1:3">
      <c r="A6611" t="s">
        <v>136</v>
      </c>
      <c r="B6611">
        <v>10.640480826187201</v>
      </c>
      <c r="C6611" s="1">
        <v>44286</v>
      </c>
    </row>
    <row r="6612" spans="1:3">
      <c r="A6612" t="s">
        <v>138</v>
      </c>
      <c r="B6612">
        <v>11.5391517819121</v>
      </c>
      <c r="C6612" s="1">
        <v>44286</v>
      </c>
    </row>
    <row r="6613" spans="1:3">
      <c r="A6613" t="s">
        <v>140</v>
      </c>
      <c r="B6613">
        <v>16.280369084874</v>
      </c>
      <c r="C6613" s="1">
        <v>44286</v>
      </c>
    </row>
    <row r="6614" spans="1:3">
      <c r="A6614" t="s">
        <v>142</v>
      </c>
      <c r="B6614">
        <v>2.9303309912749498</v>
      </c>
      <c r="C6614" s="1">
        <v>44286</v>
      </c>
    </row>
    <row r="6615" spans="1:3">
      <c r="A6615" t="s">
        <v>144</v>
      </c>
      <c r="B6615">
        <v>3.4199610598425001</v>
      </c>
      <c r="C6615" s="1">
        <v>44286</v>
      </c>
    </row>
    <row r="6616" spans="1:3">
      <c r="A6616" t="s">
        <v>146</v>
      </c>
      <c r="B6616">
        <v>3.1131803944744498</v>
      </c>
      <c r="C6616" s="1">
        <v>44286</v>
      </c>
    </row>
    <row r="6617" spans="1:3">
      <c r="A6617" t="s">
        <v>148</v>
      </c>
      <c r="B6617">
        <v>8.4943706086345507</v>
      </c>
      <c r="C6617" s="1">
        <v>44286</v>
      </c>
    </row>
    <row r="6618" spans="1:3">
      <c r="A6618" t="s">
        <v>150</v>
      </c>
      <c r="B6618">
        <v>5.0520612884010001</v>
      </c>
      <c r="C6618" s="1">
        <v>44286</v>
      </c>
    </row>
    <row r="6619" spans="1:3">
      <c r="A6619" t="s">
        <v>152</v>
      </c>
      <c r="B6619">
        <v>21.7956488613804</v>
      </c>
      <c r="C6619" s="1">
        <v>44286</v>
      </c>
    </row>
    <row r="6620" spans="1:3">
      <c r="A6620" t="s">
        <v>154</v>
      </c>
      <c r="B6620">
        <v>14.2724117497387</v>
      </c>
      <c r="C6620" s="1">
        <v>44286</v>
      </c>
    </row>
    <row r="6621" spans="1:3">
      <c r="A6621" t="s">
        <v>156</v>
      </c>
      <c r="B6621">
        <v>14.336747650864501</v>
      </c>
      <c r="C6621" s="1">
        <v>44286</v>
      </c>
    </row>
    <row r="6622" spans="1:3">
      <c r="A6622" t="s">
        <v>158</v>
      </c>
      <c r="B6622">
        <v>145.747904850297</v>
      </c>
      <c r="C6622" s="1">
        <v>44286</v>
      </c>
    </row>
    <row r="6623" spans="1:3">
      <c r="A6623" t="s">
        <v>160</v>
      </c>
      <c r="B6623">
        <v>9.4810801658999999</v>
      </c>
      <c r="C6623" s="1">
        <v>44286</v>
      </c>
    </row>
    <row r="6624" spans="1:3">
      <c r="A6624" t="s">
        <v>162</v>
      </c>
      <c r="B6624">
        <v>18.53754338437</v>
      </c>
      <c r="C6624" s="1">
        <v>44286</v>
      </c>
    </row>
    <row r="6625" spans="1:3">
      <c r="A6625" t="s">
        <v>164</v>
      </c>
      <c r="B6625">
        <v>9.3124523829493508</v>
      </c>
      <c r="C6625" s="1">
        <v>44286</v>
      </c>
    </row>
    <row r="6626" spans="1:3">
      <c r="A6626" t="s">
        <v>166</v>
      </c>
      <c r="B6626">
        <v>6.1132650469699499</v>
      </c>
      <c r="C6626" s="1">
        <v>44286</v>
      </c>
    </row>
    <row r="6627" spans="1:3">
      <c r="A6627" t="s">
        <v>168</v>
      </c>
      <c r="B6627">
        <v>18.834165749560299</v>
      </c>
      <c r="C6627" s="1">
        <v>44286</v>
      </c>
    </row>
    <row r="6628" spans="1:3">
      <c r="A6628" t="s">
        <v>4</v>
      </c>
      <c r="B6628">
        <v>0.23711873169216</v>
      </c>
      <c r="C6628" s="1">
        <v>44316</v>
      </c>
    </row>
    <row r="6629" spans="1:3">
      <c r="A6629" t="s">
        <v>8</v>
      </c>
      <c r="B6629">
        <v>27.203860072566201</v>
      </c>
      <c r="C6629" s="1">
        <v>44316</v>
      </c>
    </row>
    <row r="6630" spans="1:3">
      <c r="A6630" t="s">
        <v>11</v>
      </c>
      <c r="B6630">
        <v>37.022229881354399</v>
      </c>
      <c r="C6630" s="1">
        <v>44316</v>
      </c>
    </row>
    <row r="6631" spans="1:3">
      <c r="A6631" t="s">
        <v>14</v>
      </c>
      <c r="B6631">
        <v>4.0179217646325602</v>
      </c>
      <c r="C6631" s="1">
        <v>44316</v>
      </c>
    </row>
    <row r="6632" spans="1:3">
      <c r="A6632" t="s">
        <v>17</v>
      </c>
      <c r="B6632">
        <v>10.347751163263601</v>
      </c>
      <c r="C6632" s="1">
        <v>44316</v>
      </c>
    </row>
    <row r="6633" spans="1:3">
      <c r="A6633" t="s">
        <v>20</v>
      </c>
      <c r="B6633">
        <v>0.50318800620719994</v>
      </c>
      <c r="C6633" s="1">
        <v>44316</v>
      </c>
    </row>
    <row r="6634" spans="1:3">
      <c r="A6634" t="s">
        <v>24</v>
      </c>
      <c r="B6634">
        <v>0.78924694124280004</v>
      </c>
      <c r="C6634" s="1">
        <v>44316</v>
      </c>
    </row>
    <row r="6635" spans="1:3">
      <c r="A6635" t="s">
        <v>27</v>
      </c>
      <c r="B6635">
        <v>42.626917112136198</v>
      </c>
      <c r="C6635" s="1">
        <v>44316</v>
      </c>
    </row>
    <row r="6636" spans="1:3">
      <c r="A6636" t="s">
        <v>29</v>
      </c>
      <c r="B6636">
        <v>1.3124246079705599</v>
      </c>
      <c r="C6636" s="1">
        <v>44316</v>
      </c>
    </row>
    <row r="6637" spans="1:3">
      <c r="A6637" t="s">
        <v>32</v>
      </c>
      <c r="B6637">
        <v>8.6665517836207204</v>
      </c>
      <c r="C6637" s="1">
        <v>44316</v>
      </c>
    </row>
    <row r="6638" spans="1:3">
      <c r="A6638" t="s">
        <v>35</v>
      </c>
      <c r="B6638">
        <v>2.9777701189247998</v>
      </c>
      <c r="C6638" s="1">
        <v>44316</v>
      </c>
    </row>
    <row r="6639" spans="1:3">
      <c r="A6639" t="s">
        <v>37</v>
      </c>
      <c r="B6639">
        <v>0.2963984146152</v>
      </c>
      <c r="C6639" s="1">
        <v>44316</v>
      </c>
    </row>
    <row r="6640" spans="1:3">
      <c r="A6640" t="s">
        <v>39</v>
      </c>
      <c r="B6640">
        <v>1.8273306910346401</v>
      </c>
      <c r="C6640" s="1">
        <v>44316</v>
      </c>
    </row>
    <row r="6641" spans="1:3">
      <c r="A6641" t="s">
        <v>42</v>
      </c>
      <c r="B6641">
        <v>3.3424090987653599</v>
      </c>
      <c r="C6641" s="1">
        <v>44316</v>
      </c>
    </row>
    <row r="6642" spans="1:3">
      <c r="A6642" t="s">
        <v>44</v>
      </c>
      <c r="B6642">
        <v>10.51180423926</v>
      </c>
      <c r="C6642" s="1">
        <v>44316</v>
      </c>
    </row>
    <row r="6643" spans="1:3">
      <c r="A6643" t="s">
        <v>47</v>
      </c>
      <c r="B6643">
        <v>8.1082198863223205</v>
      </c>
      <c r="C6643" s="1">
        <v>44316</v>
      </c>
    </row>
    <row r="6644" spans="1:3">
      <c r="A6644" t="s">
        <v>49</v>
      </c>
      <c r="B6644">
        <v>12.6458728244894</v>
      </c>
      <c r="C6644" s="1">
        <v>44316</v>
      </c>
    </row>
    <row r="6645" spans="1:3">
      <c r="A6645" t="s">
        <v>51</v>
      </c>
      <c r="B6645">
        <v>0.77063587799952005</v>
      </c>
      <c r="C6645" s="1">
        <v>44316</v>
      </c>
    </row>
    <row r="6646" spans="1:3">
      <c r="A6646" t="s">
        <v>53</v>
      </c>
      <c r="B6646">
        <v>0.68378424953088002</v>
      </c>
      <c r="C6646" s="1">
        <v>44316</v>
      </c>
    </row>
    <row r="6647" spans="1:3">
      <c r="A6647" t="s">
        <v>55</v>
      </c>
      <c r="B6647">
        <v>3.80699638120872</v>
      </c>
      <c r="C6647" s="1">
        <v>44316</v>
      </c>
    </row>
    <row r="6648" spans="1:3">
      <c r="A6648" t="s">
        <v>57</v>
      </c>
      <c r="B6648">
        <v>2.7027399621074402</v>
      </c>
      <c r="C6648" s="1">
        <v>44316</v>
      </c>
    </row>
    <row r="6649" spans="1:3">
      <c r="A6649" t="s">
        <v>59</v>
      </c>
      <c r="B6649">
        <v>3.4451145959227198</v>
      </c>
      <c r="C6649" s="1">
        <v>44316</v>
      </c>
    </row>
    <row r="6650" spans="1:3">
      <c r="A6650" t="s">
        <v>61</v>
      </c>
      <c r="B6650">
        <v>102.45734964744901</v>
      </c>
      <c r="C6650" s="1">
        <v>44316</v>
      </c>
    </row>
    <row r="6651" spans="1:3">
      <c r="A6651" t="s">
        <v>63</v>
      </c>
      <c r="B6651">
        <v>9.5219713941729598</v>
      </c>
      <c r="C6651" s="1">
        <v>44316</v>
      </c>
    </row>
    <row r="6652" spans="1:3">
      <c r="A6652" t="s">
        <v>65</v>
      </c>
      <c r="B6652">
        <v>0.29777701189248001</v>
      </c>
      <c r="C6652" s="1">
        <v>44316</v>
      </c>
    </row>
    <row r="6653" spans="1:3">
      <c r="A6653" t="s">
        <v>67</v>
      </c>
      <c r="B6653">
        <v>9.0987420300479993</v>
      </c>
      <c r="C6653" s="1">
        <v>44316</v>
      </c>
    </row>
    <row r="6654" spans="1:3">
      <c r="A6654" t="s">
        <v>69</v>
      </c>
      <c r="B6654">
        <v>3.3175943477743202</v>
      </c>
      <c r="C6654" s="1">
        <v>44316</v>
      </c>
    </row>
    <row r="6655" spans="1:3">
      <c r="A6655" t="s">
        <v>71</v>
      </c>
      <c r="B6655">
        <v>0.95123212132320001</v>
      </c>
      <c r="C6655" s="1">
        <v>44316</v>
      </c>
    </row>
    <row r="6656" spans="1:3">
      <c r="A6656" t="s">
        <v>73</v>
      </c>
      <c r="B6656">
        <v>1.03808374979184</v>
      </c>
      <c r="C6656" s="1">
        <v>44316</v>
      </c>
    </row>
    <row r="6657" spans="1:3">
      <c r="A6657" t="s">
        <v>75</v>
      </c>
      <c r="B6657">
        <v>0.14682061003031999</v>
      </c>
      <c r="C6657" s="1">
        <v>44316</v>
      </c>
    </row>
    <row r="6658" spans="1:3">
      <c r="A6658" t="s">
        <v>77</v>
      </c>
      <c r="B6658">
        <v>1.0008616233052801</v>
      </c>
      <c r="C6658" s="1">
        <v>44316</v>
      </c>
    </row>
    <row r="6659" spans="1:3">
      <c r="A6659" t="s">
        <v>79</v>
      </c>
      <c r="B6659">
        <v>3.997932104112</v>
      </c>
      <c r="C6659" s="1">
        <v>44316</v>
      </c>
    </row>
    <row r="6660" spans="1:3">
      <c r="A6660" t="s">
        <v>81</v>
      </c>
      <c r="B6660">
        <v>7.392727899414</v>
      </c>
      <c r="C6660" s="1">
        <v>44316</v>
      </c>
    </row>
    <row r="6661" spans="1:3">
      <c r="A6661" t="s">
        <v>83</v>
      </c>
      <c r="B6661">
        <v>0.27916594864920002</v>
      </c>
      <c r="C6661" s="1">
        <v>44316</v>
      </c>
    </row>
    <row r="6662" spans="1:3">
      <c r="A6662" t="s">
        <v>85</v>
      </c>
      <c r="B6662">
        <v>2.1023608478520002</v>
      </c>
      <c r="C6662" s="1">
        <v>44316</v>
      </c>
    </row>
    <row r="6663" spans="1:3">
      <c r="A6663" t="s">
        <v>87</v>
      </c>
      <c r="B6663">
        <v>11.132173014036001</v>
      </c>
      <c r="C6663" s="1">
        <v>44316</v>
      </c>
    </row>
    <row r="6664" spans="1:3">
      <c r="A6664" t="s">
        <v>89</v>
      </c>
      <c r="B6664">
        <v>4.2729622609293596</v>
      </c>
      <c r="C6664" s="1">
        <v>44316</v>
      </c>
    </row>
    <row r="6665" spans="1:3">
      <c r="A6665" t="s">
        <v>91</v>
      </c>
      <c r="B6665">
        <v>17.6777528865614</v>
      </c>
      <c r="C6665" s="1">
        <v>44316</v>
      </c>
    </row>
    <row r="6666" spans="1:3">
      <c r="A6666" t="s">
        <v>93</v>
      </c>
      <c r="B6666">
        <v>21.136653455256901</v>
      </c>
      <c r="C6666" s="1">
        <v>44316</v>
      </c>
    </row>
    <row r="6667" spans="1:3">
      <c r="A6667" t="s">
        <v>95</v>
      </c>
      <c r="B6667">
        <v>0.32603825607671999</v>
      </c>
      <c r="C6667" s="1">
        <v>44316</v>
      </c>
    </row>
    <row r="6668" spans="1:3">
      <c r="A6668" t="s">
        <v>97</v>
      </c>
      <c r="B6668">
        <v>3.5154230570639999</v>
      </c>
      <c r="C6668" s="1">
        <v>44316</v>
      </c>
    </row>
    <row r="6669" spans="1:3">
      <c r="A6669" t="s">
        <v>99</v>
      </c>
      <c r="B6669">
        <v>4.7706358780274396</v>
      </c>
      <c r="C6669" s="1">
        <v>44316</v>
      </c>
    </row>
    <row r="6670" spans="1:3">
      <c r="A6670" t="s">
        <v>101</v>
      </c>
      <c r="B6670">
        <v>7.5877994141491198</v>
      </c>
      <c r="C6670" s="1">
        <v>44316</v>
      </c>
    </row>
    <row r="6671" spans="1:3">
      <c r="A6671" t="s">
        <v>107</v>
      </c>
      <c r="B6671">
        <v>1.04015164570776</v>
      </c>
      <c r="C6671" s="1">
        <v>44316</v>
      </c>
    </row>
    <row r="6672" spans="1:3">
      <c r="A6672" t="s">
        <v>109</v>
      </c>
      <c r="B6672">
        <v>4.55419610549448</v>
      </c>
      <c r="C6672" s="1">
        <v>44316</v>
      </c>
    </row>
    <row r="6673" spans="1:3">
      <c r="A6673" t="s">
        <v>111</v>
      </c>
      <c r="B6673">
        <v>7.0101671549687996</v>
      </c>
      <c r="C6673" s="1">
        <v>44316</v>
      </c>
    </row>
    <row r="6674" spans="1:3">
      <c r="A6674" t="s">
        <v>113</v>
      </c>
      <c r="B6674">
        <v>7.9365845253009599</v>
      </c>
      <c r="C6674" s="1">
        <v>44316</v>
      </c>
    </row>
    <row r="6675" spans="1:3">
      <c r="A6675" t="s">
        <v>115</v>
      </c>
      <c r="B6675">
        <v>3.3885921075542398</v>
      </c>
      <c r="C6675" s="1">
        <v>44316</v>
      </c>
    </row>
    <row r="6676" spans="1:3">
      <c r="A6676" t="s">
        <v>117</v>
      </c>
      <c r="B6676">
        <v>3.7297949336810401</v>
      </c>
      <c r="C6676" s="1">
        <v>44316</v>
      </c>
    </row>
    <row r="6677" spans="1:3">
      <c r="A6677" t="s">
        <v>119</v>
      </c>
      <c r="B6677">
        <v>45.378597277587097</v>
      </c>
      <c r="C6677" s="1">
        <v>44316</v>
      </c>
    </row>
    <row r="6678" spans="1:3">
      <c r="A6678" t="s">
        <v>121</v>
      </c>
      <c r="B6678">
        <v>7.5809064277627201</v>
      </c>
      <c r="C6678" s="1">
        <v>44316</v>
      </c>
    </row>
    <row r="6679" spans="1:3">
      <c r="A6679" t="s">
        <v>123</v>
      </c>
      <c r="B6679">
        <v>3.8614509736612801</v>
      </c>
      <c r="C6679" s="1">
        <v>44316</v>
      </c>
    </row>
    <row r="6680" spans="1:3">
      <c r="A6680" t="s">
        <v>125</v>
      </c>
      <c r="B6680">
        <v>228.186110634024</v>
      </c>
      <c r="C6680" s="1">
        <v>44316</v>
      </c>
    </row>
    <row r="6681" spans="1:3">
      <c r="A6681" t="s">
        <v>127</v>
      </c>
      <c r="B6681">
        <v>6.3153541272196803</v>
      </c>
      <c r="C6681" s="1">
        <v>44316</v>
      </c>
    </row>
    <row r="6682" spans="1:3">
      <c r="A6682" t="s">
        <v>129</v>
      </c>
      <c r="B6682">
        <v>3.5181802516185599</v>
      </c>
      <c r="C6682" s="1">
        <v>44316</v>
      </c>
    </row>
    <row r="6683" spans="1:3">
      <c r="A6683" t="s">
        <v>131</v>
      </c>
      <c r="B6683">
        <v>1.9645011201239999</v>
      </c>
      <c r="C6683" s="1">
        <v>44316</v>
      </c>
    </row>
    <row r="6684" spans="1:3">
      <c r="A6684" t="s">
        <v>134</v>
      </c>
      <c r="B6684">
        <v>1.9403756677716</v>
      </c>
      <c r="C6684" s="1">
        <v>44316</v>
      </c>
    </row>
    <row r="6685" spans="1:3">
      <c r="A6685" t="s">
        <v>136</v>
      </c>
      <c r="B6685">
        <v>9.9665690160957592</v>
      </c>
      <c r="C6685" s="1">
        <v>44316</v>
      </c>
    </row>
    <row r="6686" spans="1:3">
      <c r="A6686" t="s">
        <v>138</v>
      </c>
      <c r="B6686">
        <v>11.5450628985813</v>
      </c>
      <c r="C6686" s="1">
        <v>44316</v>
      </c>
    </row>
    <row r="6687" spans="1:3">
      <c r="A6687" t="s">
        <v>140</v>
      </c>
      <c r="B6687">
        <v>16.6948130278608</v>
      </c>
      <c r="C6687" s="1">
        <v>44316</v>
      </c>
    </row>
    <row r="6688" spans="1:3">
      <c r="A6688" t="s">
        <v>142</v>
      </c>
      <c r="B6688">
        <v>3.8111321730405598</v>
      </c>
      <c r="C6688" s="1">
        <v>44316</v>
      </c>
    </row>
    <row r="6689" spans="1:3">
      <c r="A6689" t="s">
        <v>144</v>
      </c>
      <c r="B6689">
        <v>3.35068068242904</v>
      </c>
      <c r="C6689" s="1">
        <v>44316</v>
      </c>
    </row>
    <row r="6690" spans="1:3">
      <c r="A6690" t="s">
        <v>146</v>
      </c>
      <c r="B6690">
        <v>3.3672238497564</v>
      </c>
      <c r="C6690" s="1">
        <v>44316</v>
      </c>
    </row>
    <row r="6691" spans="1:3">
      <c r="A6691" t="s">
        <v>148</v>
      </c>
      <c r="B6691">
        <v>8.1344132345906406</v>
      </c>
      <c r="C6691" s="1">
        <v>44316</v>
      </c>
    </row>
    <row r="6692" spans="1:3">
      <c r="A6692" t="s">
        <v>150</v>
      </c>
      <c r="B6692">
        <v>4.8891952438735196</v>
      </c>
      <c r="C6692" s="1">
        <v>44316</v>
      </c>
    </row>
    <row r="6693" spans="1:3">
      <c r="A6693" t="s">
        <v>152</v>
      </c>
      <c r="B6693">
        <v>20.692745131972799</v>
      </c>
      <c r="C6693" s="1">
        <v>44316</v>
      </c>
    </row>
    <row r="6694" spans="1:3">
      <c r="A6694" t="s">
        <v>154</v>
      </c>
      <c r="B6694">
        <v>13.441323453480001</v>
      </c>
      <c r="C6694" s="1">
        <v>44316</v>
      </c>
    </row>
    <row r="6695" spans="1:3">
      <c r="A6695" t="s">
        <v>156</v>
      </c>
      <c r="B6695">
        <v>16.818886782816001</v>
      </c>
      <c r="C6695" s="1">
        <v>44316</v>
      </c>
    </row>
    <row r="6696" spans="1:3">
      <c r="A6696" t="s">
        <v>158</v>
      </c>
      <c r="B6696">
        <v>136.81337239454399</v>
      </c>
      <c r="C6696" s="1">
        <v>44316</v>
      </c>
    </row>
    <row r="6697" spans="1:3">
      <c r="A6697" t="s">
        <v>160</v>
      </c>
      <c r="B6697">
        <v>10.191969670931</v>
      </c>
      <c r="C6697" s="1">
        <v>44316</v>
      </c>
    </row>
    <row r="6698" spans="1:3">
      <c r="A6698" t="s">
        <v>162</v>
      </c>
      <c r="B6698">
        <v>18.7165259349919</v>
      </c>
      <c r="C6698" s="1">
        <v>44316</v>
      </c>
    </row>
    <row r="6699" spans="1:3">
      <c r="A6699" t="s">
        <v>164</v>
      </c>
      <c r="B6699">
        <v>9.4571773221407902</v>
      </c>
      <c r="C6699" s="1">
        <v>44316</v>
      </c>
    </row>
    <row r="6700" spans="1:3">
      <c r="A6700" t="s">
        <v>166</v>
      </c>
      <c r="B6700">
        <v>6.5931414785916003</v>
      </c>
      <c r="C6700" s="1">
        <v>44316</v>
      </c>
    </row>
    <row r="6701" spans="1:3">
      <c r="A6701" t="s">
        <v>168</v>
      </c>
      <c r="B6701">
        <v>18.687575392168998</v>
      </c>
      <c r="C6701" s="1">
        <v>44316</v>
      </c>
    </row>
    <row r="6702" spans="1:3">
      <c r="A6702" t="s">
        <v>4</v>
      </c>
      <c r="B6702">
        <v>0.31705539358559998</v>
      </c>
      <c r="C6702" s="1">
        <v>44347</v>
      </c>
    </row>
    <row r="6703" spans="1:3">
      <c r="A6703" t="s">
        <v>8</v>
      </c>
      <c r="B6703">
        <v>27.002186588886701</v>
      </c>
      <c r="C6703" s="1">
        <v>44347</v>
      </c>
    </row>
    <row r="6704" spans="1:3">
      <c r="A6704" t="s">
        <v>11</v>
      </c>
      <c r="B6704">
        <v>38.403061224440599</v>
      </c>
      <c r="C6704" s="1">
        <v>44347</v>
      </c>
    </row>
    <row r="6705" spans="1:3">
      <c r="A6705" t="s">
        <v>14</v>
      </c>
      <c r="B6705">
        <v>4.3695335276911997</v>
      </c>
      <c r="C6705" s="1">
        <v>44347</v>
      </c>
    </row>
    <row r="6706" spans="1:3">
      <c r="A6706" t="s">
        <v>17</v>
      </c>
      <c r="B6706">
        <v>12.157434402316801</v>
      </c>
      <c r="C6706" s="1">
        <v>44347</v>
      </c>
    </row>
    <row r="6707" spans="1:3">
      <c r="A6707" t="s">
        <v>20</v>
      </c>
      <c r="B6707">
        <v>0.50655976676320003</v>
      </c>
      <c r="C6707" s="1">
        <v>44347</v>
      </c>
    </row>
    <row r="6708" spans="1:3">
      <c r="A6708" t="s">
        <v>24</v>
      </c>
      <c r="B6708">
        <v>0.83819241982399995</v>
      </c>
      <c r="C6708" s="1">
        <v>44347</v>
      </c>
    </row>
    <row r="6709" spans="1:3">
      <c r="A6709" t="s">
        <v>27</v>
      </c>
      <c r="B6709">
        <v>45.247813411020701</v>
      </c>
      <c r="C6709" s="1">
        <v>44347</v>
      </c>
    </row>
    <row r="6710" spans="1:3">
      <c r="A6710" t="s">
        <v>29</v>
      </c>
      <c r="B6710">
        <v>1.5816326530592</v>
      </c>
      <c r="C6710" s="1">
        <v>44347</v>
      </c>
    </row>
    <row r="6711" spans="1:3">
      <c r="A6711" t="s">
        <v>32</v>
      </c>
      <c r="B6711">
        <v>9.5364431486758399</v>
      </c>
      <c r="C6711" s="1">
        <v>44347</v>
      </c>
    </row>
    <row r="6712" spans="1:3">
      <c r="A6712" t="s">
        <v>35</v>
      </c>
      <c r="B6712">
        <v>3.29154518950015</v>
      </c>
      <c r="C6712" s="1">
        <v>44347</v>
      </c>
    </row>
    <row r="6713" spans="1:3">
      <c r="A6713" t="s">
        <v>37</v>
      </c>
      <c r="B6713">
        <v>0.33527696792959999</v>
      </c>
      <c r="C6713" s="1">
        <v>44347</v>
      </c>
    </row>
    <row r="6714" spans="1:3">
      <c r="A6714" t="s">
        <v>39</v>
      </c>
      <c r="B6714">
        <v>2.3965014577228798</v>
      </c>
      <c r="C6714" s="1">
        <v>44347</v>
      </c>
    </row>
    <row r="6715" spans="1:3">
      <c r="A6715" t="s">
        <v>42</v>
      </c>
      <c r="B6715">
        <v>3.7179300291497599</v>
      </c>
      <c r="C6715" s="1">
        <v>44347</v>
      </c>
    </row>
    <row r="6716" spans="1:3">
      <c r="A6716" t="s">
        <v>44</v>
      </c>
      <c r="B6716">
        <v>11.2135568512976</v>
      </c>
      <c r="C6716" s="1">
        <v>44347</v>
      </c>
    </row>
    <row r="6717" spans="1:3">
      <c r="A6717" t="s">
        <v>47</v>
      </c>
      <c r="B6717">
        <v>8.3797376093187204</v>
      </c>
      <c r="C6717" s="1">
        <v>44347</v>
      </c>
    </row>
    <row r="6718" spans="1:3">
      <c r="A6718" t="s">
        <v>49</v>
      </c>
      <c r="B6718">
        <v>13.9293002915273</v>
      </c>
      <c r="C6718" s="1">
        <v>44347</v>
      </c>
    </row>
    <row r="6719" spans="1:3">
      <c r="A6719" t="s">
        <v>51</v>
      </c>
      <c r="B6719">
        <v>0.73250728862879999</v>
      </c>
      <c r="C6719" s="1">
        <v>44347</v>
      </c>
    </row>
    <row r="6720" spans="1:3">
      <c r="A6720" t="s">
        <v>53</v>
      </c>
      <c r="B6720">
        <v>0.70626822157343905</v>
      </c>
      <c r="C6720" s="1">
        <v>44347</v>
      </c>
    </row>
    <row r="6721" spans="1:3">
      <c r="A6721" t="s">
        <v>55</v>
      </c>
      <c r="B6721">
        <v>3.9577259475167899</v>
      </c>
      <c r="C6721" s="1">
        <v>44347</v>
      </c>
    </row>
    <row r="6722" spans="1:3">
      <c r="A6722" t="s">
        <v>57</v>
      </c>
      <c r="B6722">
        <v>3.4657434402287999</v>
      </c>
      <c r="C6722" s="1">
        <v>44347</v>
      </c>
    </row>
    <row r="6723" spans="1:3">
      <c r="A6723" t="s">
        <v>59</v>
      </c>
      <c r="B6723">
        <v>3.6042274052432002</v>
      </c>
      <c r="C6723" s="1">
        <v>44347</v>
      </c>
    </row>
    <row r="6724" spans="1:3">
      <c r="A6724" t="s">
        <v>61</v>
      </c>
      <c r="B6724">
        <v>121.48760932929</v>
      </c>
      <c r="C6724" s="1">
        <v>44347</v>
      </c>
    </row>
    <row r="6725" spans="1:3">
      <c r="A6725" t="s">
        <v>63</v>
      </c>
      <c r="B6725">
        <v>10.5386297375958</v>
      </c>
      <c r="C6725" s="1">
        <v>44347</v>
      </c>
    </row>
    <row r="6726" spans="1:3">
      <c r="A6726" t="s">
        <v>65</v>
      </c>
      <c r="B6726">
        <v>0.30174927113663902</v>
      </c>
      <c r="C6726" s="1">
        <v>44347</v>
      </c>
    </row>
    <row r="6727" spans="1:3">
      <c r="A6727" t="s">
        <v>67</v>
      </c>
      <c r="B6727">
        <v>10.2470845480918</v>
      </c>
      <c r="C6727" s="1">
        <v>44347</v>
      </c>
    </row>
    <row r="6728" spans="1:3">
      <c r="A6728" t="s">
        <v>69</v>
      </c>
      <c r="B6728">
        <v>4.0051020408111997</v>
      </c>
      <c r="C6728" s="1">
        <v>44347</v>
      </c>
    </row>
    <row r="6729" spans="1:3">
      <c r="A6729" t="s">
        <v>71</v>
      </c>
      <c r="B6729">
        <v>1.0204081632639901</v>
      </c>
      <c r="C6729" s="1">
        <v>44347</v>
      </c>
    </row>
    <row r="6730" spans="1:3">
      <c r="A6730" t="s">
        <v>73</v>
      </c>
      <c r="B6730">
        <v>1.0823615160336</v>
      </c>
      <c r="C6730" s="1">
        <v>44347</v>
      </c>
    </row>
    <row r="6731" spans="1:3">
      <c r="A6731" t="s">
        <v>75</v>
      </c>
      <c r="B6731">
        <v>0.15743440233216</v>
      </c>
      <c r="C6731" s="1">
        <v>44347</v>
      </c>
    </row>
    <row r="6732" spans="1:3">
      <c r="A6732" t="s">
        <v>77</v>
      </c>
      <c r="B6732">
        <v>1.0532069970831901</v>
      </c>
      <c r="C6732" s="1">
        <v>44347</v>
      </c>
    </row>
    <row r="6733" spans="1:3">
      <c r="A6733" t="s">
        <v>79</v>
      </c>
      <c r="B6733">
        <v>4.5058309037843198</v>
      </c>
      <c r="C6733" s="1">
        <v>44347</v>
      </c>
    </row>
    <row r="6734" spans="1:3">
      <c r="A6734" t="s">
        <v>81</v>
      </c>
      <c r="B6734">
        <v>8.4795918367238396</v>
      </c>
      <c r="C6734" s="1">
        <v>44347</v>
      </c>
    </row>
    <row r="6735" spans="1:3">
      <c r="A6735" t="s">
        <v>83</v>
      </c>
      <c r="B6735">
        <v>0.33527696792959999</v>
      </c>
      <c r="C6735" s="1">
        <v>44347</v>
      </c>
    </row>
    <row r="6736" spans="1:3">
      <c r="A6736" t="s">
        <v>85</v>
      </c>
      <c r="B6736">
        <v>1.9161807580150301</v>
      </c>
      <c r="C6736" s="1">
        <v>44347</v>
      </c>
    </row>
    <row r="6737" spans="1:3">
      <c r="A6737" t="s">
        <v>87</v>
      </c>
      <c r="B6737">
        <v>11.734693877535999</v>
      </c>
      <c r="C6737" s="1">
        <v>44347</v>
      </c>
    </row>
    <row r="6738" spans="1:3">
      <c r="A6738" t="s">
        <v>89</v>
      </c>
      <c r="B6738">
        <v>4.6574344023264</v>
      </c>
      <c r="C6738" s="1">
        <v>44347</v>
      </c>
    </row>
    <row r="6739" spans="1:3">
      <c r="A6739" t="s">
        <v>91</v>
      </c>
      <c r="B6739">
        <v>19.677842565572401</v>
      </c>
      <c r="C6739" s="1">
        <v>44347</v>
      </c>
    </row>
    <row r="6740" spans="1:3">
      <c r="A6740" t="s">
        <v>93</v>
      </c>
      <c r="B6740">
        <v>21.800291545161599</v>
      </c>
      <c r="C6740" s="1">
        <v>44347</v>
      </c>
    </row>
    <row r="6741" spans="1:3">
      <c r="A6741" t="s">
        <v>95</v>
      </c>
      <c r="B6741">
        <v>0.34839650145728002</v>
      </c>
      <c r="C6741" s="1">
        <v>44347</v>
      </c>
    </row>
    <row r="6742" spans="1:3">
      <c r="A6742" t="s">
        <v>97</v>
      </c>
      <c r="B6742">
        <v>3.6443148688</v>
      </c>
      <c r="C6742" s="1">
        <v>44347</v>
      </c>
    </row>
    <row r="6743" spans="1:3">
      <c r="A6743" t="s">
        <v>99</v>
      </c>
      <c r="B6743">
        <v>5.2478134110720003</v>
      </c>
      <c r="C6743" s="1">
        <v>44347</v>
      </c>
    </row>
    <row r="6744" spans="1:3">
      <c r="A6744" t="s">
        <v>101</v>
      </c>
      <c r="B6744">
        <v>8.3192419824966404</v>
      </c>
      <c r="C6744" s="1">
        <v>44347</v>
      </c>
    </row>
    <row r="6745" spans="1:3">
      <c r="A6745" t="s">
        <v>107</v>
      </c>
      <c r="B6745">
        <v>1.3607871720099201</v>
      </c>
      <c r="C6745" s="1">
        <v>44347</v>
      </c>
    </row>
    <row r="6746" spans="1:3">
      <c r="A6746" t="s">
        <v>109</v>
      </c>
      <c r="B6746">
        <v>5.3943148687977596</v>
      </c>
      <c r="C6746" s="1">
        <v>44347</v>
      </c>
    </row>
    <row r="6747" spans="1:3">
      <c r="A6747" t="s">
        <v>111</v>
      </c>
      <c r="B6747">
        <v>7.4125364431392002</v>
      </c>
      <c r="C6747" s="1">
        <v>44347</v>
      </c>
    </row>
    <row r="6748" spans="1:3">
      <c r="A6748" t="s">
        <v>113</v>
      </c>
      <c r="B6748">
        <v>9.6574344023199998</v>
      </c>
      <c r="C6748" s="1">
        <v>44347</v>
      </c>
    </row>
    <row r="6749" spans="1:3">
      <c r="A6749" t="s">
        <v>115</v>
      </c>
      <c r="B6749">
        <v>4.0634110787119999</v>
      </c>
      <c r="C6749" s="1">
        <v>44347</v>
      </c>
    </row>
    <row r="6750" spans="1:3">
      <c r="A6750" t="s">
        <v>117</v>
      </c>
      <c r="B6750">
        <v>4.2383381924143997</v>
      </c>
      <c r="C6750" s="1">
        <v>44347</v>
      </c>
    </row>
    <row r="6751" spans="1:3">
      <c r="A6751" t="s">
        <v>119</v>
      </c>
      <c r="B6751">
        <v>46.645772594692403</v>
      </c>
      <c r="C6751" s="1">
        <v>44347</v>
      </c>
    </row>
    <row r="6752" spans="1:3">
      <c r="A6752" t="s">
        <v>121</v>
      </c>
      <c r="B6752">
        <v>8.7193877550908798</v>
      </c>
      <c r="C6752" s="1">
        <v>44347</v>
      </c>
    </row>
    <row r="6753" spans="1:3">
      <c r="A6753" t="s">
        <v>123</v>
      </c>
      <c r="B6753">
        <v>4.3367346938719997</v>
      </c>
      <c r="C6753" s="1">
        <v>44347</v>
      </c>
    </row>
    <row r="6754" spans="1:3">
      <c r="A6754" t="s">
        <v>125</v>
      </c>
      <c r="B6754">
        <v>222.29883381895701</v>
      </c>
      <c r="C6754" s="1">
        <v>44347</v>
      </c>
    </row>
    <row r="6755" spans="1:3">
      <c r="A6755" t="s">
        <v>127</v>
      </c>
      <c r="B6755">
        <v>7.2478134110694397</v>
      </c>
      <c r="C6755" s="1">
        <v>44347</v>
      </c>
    </row>
    <row r="6756" spans="1:3">
      <c r="A6756" t="s">
        <v>129</v>
      </c>
      <c r="B6756">
        <v>4.0860058308985598</v>
      </c>
      <c r="C6756" s="1">
        <v>44347</v>
      </c>
    </row>
    <row r="6757" spans="1:3">
      <c r="A6757" t="s">
        <v>131</v>
      </c>
      <c r="B6757">
        <v>2.2711370262361599</v>
      </c>
      <c r="C6757" s="1">
        <v>44347</v>
      </c>
    </row>
    <row r="6758" spans="1:3">
      <c r="A6758" t="s">
        <v>134</v>
      </c>
      <c r="B6758">
        <v>2.295918367344</v>
      </c>
      <c r="C6758" s="1">
        <v>44347</v>
      </c>
    </row>
    <row r="6759" spans="1:3">
      <c r="A6759" t="s">
        <v>136</v>
      </c>
      <c r="B6759">
        <v>11.2689504373033</v>
      </c>
      <c r="C6759" s="1">
        <v>44347</v>
      </c>
    </row>
    <row r="6760" spans="1:3">
      <c r="A6760" t="s">
        <v>138</v>
      </c>
      <c r="B6760">
        <v>14.1574344023142</v>
      </c>
      <c r="C6760" s="1">
        <v>44347</v>
      </c>
    </row>
    <row r="6761" spans="1:3">
      <c r="A6761" t="s">
        <v>140</v>
      </c>
      <c r="B6761">
        <v>18.768221574319998</v>
      </c>
      <c r="C6761" s="1">
        <v>44347</v>
      </c>
    </row>
    <row r="6762" spans="1:3">
      <c r="A6762" t="s">
        <v>142</v>
      </c>
      <c r="B6762">
        <v>4.1851311953299204</v>
      </c>
      <c r="C6762" s="1">
        <v>44347</v>
      </c>
    </row>
    <row r="6763" spans="1:3">
      <c r="A6763" t="s">
        <v>144</v>
      </c>
      <c r="B6763">
        <v>3.8571428571379198</v>
      </c>
      <c r="C6763" s="1">
        <v>44347</v>
      </c>
    </row>
    <row r="6764" spans="1:3">
      <c r="A6764" t="s">
        <v>146</v>
      </c>
      <c r="B6764">
        <v>3.1486880466431999</v>
      </c>
      <c r="C6764" s="1">
        <v>44347</v>
      </c>
    </row>
    <row r="6765" spans="1:3">
      <c r="A6765" t="s">
        <v>148</v>
      </c>
      <c r="B6765">
        <v>9.8892128279756797</v>
      </c>
      <c r="C6765" s="1">
        <v>44347</v>
      </c>
    </row>
    <row r="6766" spans="1:3">
      <c r="A6766" t="s">
        <v>150</v>
      </c>
      <c r="B6766">
        <v>5.3425655976607898</v>
      </c>
      <c r="C6766" s="1">
        <v>44347</v>
      </c>
    </row>
    <row r="6767" spans="1:3">
      <c r="A6767" t="s">
        <v>152</v>
      </c>
      <c r="B6767">
        <v>24.803935860026499</v>
      </c>
      <c r="C6767" s="1">
        <v>44347</v>
      </c>
    </row>
    <row r="6768" spans="1:3">
      <c r="A6768" t="s">
        <v>154</v>
      </c>
      <c r="B6768">
        <v>16.129737609308801</v>
      </c>
      <c r="C6768" s="1">
        <v>44347</v>
      </c>
    </row>
    <row r="6769" spans="1:3">
      <c r="A6769" t="s">
        <v>156</v>
      </c>
      <c r="B6769">
        <v>16.320699708433899</v>
      </c>
      <c r="C6769" s="1">
        <v>44347</v>
      </c>
    </row>
    <row r="6770" spans="1:3">
      <c r="A6770" t="s">
        <v>158</v>
      </c>
      <c r="B6770">
        <v>132.55758017475699</v>
      </c>
      <c r="C6770" s="1">
        <v>44347</v>
      </c>
    </row>
    <row r="6771" spans="1:3">
      <c r="A6771" t="s">
        <v>160</v>
      </c>
      <c r="B6771">
        <v>11.880466472287999</v>
      </c>
      <c r="C6771" s="1">
        <v>44347</v>
      </c>
    </row>
    <row r="6772" spans="1:3">
      <c r="A6772" t="s">
        <v>162</v>
      </c>
      <c r="B6772">
        <v>18.258017492687902</v>
      </c>
      <c r="C6772" s="1">
        <v>44347</v>
      </c>
    </row>
    <row r="6773" spans="1:3">
      <c r="A6773" t="s">
        <v>164</v>
      </c>
      <c r="B6773">
        <v>12.651603498526001</v>
      </c>
      <c r="C6773" s="1">
        <v>44347</v>
      </c>
    </row>
    <row r="6774" spans="1:3">
      <c r="A6774" t="s">
        <v>166</v>
      </c>
      <c r="B6774">
        <v>8.6297376093184006</v>
      </c>
      <c r="C6774" s="1">
        <v>44347</v>
      </c>
    </row>
    <row r="6775" spans="1:3">
      <c r="A6775" t="s">
        <v>168</v>
      </c>
      <c r="B6775">
        <v>19.383381924173399</v>
      </c>
      <c r="C6775" s="1">
        <v>44347</v>
      </c>
    </row>
    <row r="6776" spans="1:3">
      <c r="A6776" t="s">
        <v>4</v>
      </c>
      <c r="B6776">
        <v>0.23881642300604</v>
      </c>
      <c r="C6776" s="1">
        <v>44377</v>
      </c>
    </row>
    <row r="6777" spans="1:3">
      <c r="A6777" t="s">
        <v>8</v>
      </c>
      <c r="B6777">
        <v>26.332837258144</v>
      </c>
      <c r="C6777" s="1">
        <v>44377</v>
      </c>
    </row>
    <row r="6778" spans="1:3">
      <c r="A6778" t="s">
        <v>11</v>
      </c>
      <c r="B6778">
        <v>38.812921299104801</v>
      </c>
      <c r="C6778" s="1">
        <v>44377</v>
      </c>
    </row>
    <row r="6779" spans="1:3">
      <c r="A6779" t="s">
        <v>14</v>
      </c>
      <c r="B6779">
        <v>3.9996498292888401</v>
      </c>
      <c r="C6779" s="1">
        <v>44377</v>
      </c>
    </row>
    <row r="6780" spans="1:3">
      <c r="A6780" t="s">
        <v>17</v>
      </c>
      <c r="B6780">
        <v>12.1593276722312</v>
      </c>
      <c r="C6780" s="1">
        <v>44377</v>
      </c>
    </row>
    <row r="6781" spans="1:3">
      <c r="A6781" t="s">
        <v>20</v>
      </c>
      <c r="B6781">
        <v>0.48043421167784001</v>
      </c>
      <c r="C6781" s="1">
        <v>44377</v>
      </c>
    </row>
    <row r="6782" spans="1:3">
      <c r="A6782" t="s">
        <v>24</v>
      </c>
      <c r="B6782">
        <v>0.82150048148412003</v>
      </c>
      <c r="C6782" s="1">
        <v>44377</v>
      </c>
    </row>
    <row r="6783" spans="1:3">
      <c r="A6783" t="s">
        <v>27</v>
      </c>
      <c r="B6783">
        <v>39.878840934926401</v>
      </c>
      <c r="C6783" s="1">
        <v>44377</v>
      </c>
    </row>
    <row r="6784" spans="1:3">
      <c r="A6784" t="s">
        <v>29</v>
      </c>
      <c r="B6784">
        <v>1.59117569815168</v>
      </c>
      <c r="C6784" s="1">
        <v>44377</v>
      </c>
    </row>
    <row r="6785" spans="1:3">
      <c r="A6785" t="s">
        <v>32</v>
      </c>
      <c r="B6785">
        <v>9.0182964194978794</v>
      </c>
      <c r="C6785" s="1">
        <v>44377</v>
      </c>
    </row>
    <row r="6786" spans="1:3">
      <c r="A6786" t="s">
        <v>35</v>
      </c>
      <c r="B6786">
        <v>3.1025124748291999</v>
      </c>
      <c r="C6786" s="1">
        <v>44377</v>
      </c>
    </row>
    <row r="6787" spans="1:3">
      <c r="A6787" t="s">
        <v>37</v>
      </c>
      <c r="B6787">
        <v>0.29414339490480002</v>
      </c>
      <c r="C6787" s="1">
        <v>44377</v>
      </c>
    </row>
    <row r="6788" spans="1:3">
      <c r="A6788" t="s">
        <v>39</v>
      </c>
      <c r="B6788">
        <v>2.2859143832601601</v>
      </c>
      <c r="C6788" s="1">
        <v>44377</v>
      </c>
    </row>
    <row r="6789" spans="1:3">
      <c r="A6789" t="s">
        <v>42</v>
      </c>
      <c r="B6789">
        <v>4.0969972861740001</v>
      </c>
      <c r="C6789" s="1">
        <v>44377</v>
      </c>
    </row>
    <row r="6790" spans="1:3">
      <c r="A6790" t="s">
        <v>44</v>
      </c>
      <c r="B6790">
        <v>11.7951501356824</v>
      </c>
      <c r="C6790" s="1">
        <v>44377</v>
      </c>
    </row>
    <row r="6791" spans="1:3">
      <c r="A6791" t="s">
        <v>47</v>
      </c>
      <c r="B6791">
        <v>7.4446292567571897</v>
      </c>
      <c r="C6791" s="1">
        <v>44377</v>
      </c>
    </row>
    <row r="6792" spans="1:3">
      <c r="A6792" t="s">
        <v>49</v>
      </c>
      <c r="B6792">
        <v>12.668475881983101</v>
      </c>
      <c r="C6792" s="1">
        <v>44377</v>
      </c>
    </row>
    <row r="6793" spans="1:3">
      <c r="A6793" t="s">
        <v>51</v>
      </c>
      <c r="B6793">
        <v>0.80609297032243998</v>
      </c>
      <c r="C6793" s="1">
        <v>44377</v>
      </c>
    </row>
    <row r="6794" spans="1:3">
      <c r="A6794" t="s">
        <v>53</v>
      </c>
      <c r="B6794">
        <v>0.68983629519339995</v>
      </c>
      <c r="C6794" s="1">
        <v>44377</v>
      </c>
    </row>
    <row r="6795" spans="1:3">
      <c r="A6795" t="s">
        <v>55</v>
      </c>
      <c r="B6795">
        <v>3.3966558697339999</v>
      </c>
      <c r="C6795" s="1">
        <v>44377</v>
      </c>
    </row>
    <row r="6796" spans="1:3">
      <c r="A6796" t="s">
        <v>57</v>
      </c>
      <c r="B6796">
        <v>3.2474831480322699</v>
      </c>
      <c r="C6796" s="1">
        <v>44377</v>
      </c>
    </row>
    <row r="6797" spans="1:3">
      <c r="A6797" t="s">
        <v>59</v>
      </c>
      <c r="B6797">
        <v>3.6522804867345999</v>
      </c>
      <c r="C6797" s="1">
        <v>44377</v>
      </c>
    </row>
    <row r="6798" spans="1:3">
      <c r="A6798" t="s">
        <v>61</v>
      </c>
      <c r="B6798">
        <v>118.11117919977301</v>
      </c>
      <c r="C6798" s="1">
        <v>44377</v>
      </c>
    </row>
    <row r="6799" spans="1:3">
      <c r="A6799" t="s">
        <v>63</v>
      </c>
      <c r="B6799">
        <v>11.0751991595821</v>
      </c>
      <c r="C6799" s="1">
        <v>44377</v>
      </c>
    </row>
    <row r="6800" spans="1:3">
      <c r="A6800" t="s">
        <v>65</v>
      </c>
      <c r="B6800">
        <v>0.29974612623632002</v>
      </c>
      <c r="C6800" s="1">
        <v>44377</v>
      </c>
    </row>
    <row r="6801" spans="1:3">
      <c r="A6801" t="s">
        <v>67</v>
      </c>
      <c r="B6801">
        <v>8.8432110653878802</v>
      </c>
      <c r="C6801" s="1">
        <v>44377</v>
      </c>
    </row>
    <row r="6802" spans="1:3">
      <c r="A6802" t="s">
        <v>69</v>
      </c>
      <c r="B6802">
        <v>4.0395692900259199</v>
      </c>
      <c r="C6802" s="1">
        <v>44377</v>
      </c>
    </row>
    <row r="6803" spans="1:3">
      <c r="A6803" t="s">
        <v>71</v>
      </c>
      <c r="B6803">
        <v>0.99798651842700004</v>
      </c>
      <c r="C6803" s="1">
        <v>44377</v>
      </c>
    </row>
    <row r="6804" spans="1:3">
      <c r="A6804" t="s">
        <v>73</v>
      </c>
      <c r="B6804">
        <v>0.99728617701055999</v>
      </c>
      <c r="C6804" s="1">
        <v>44377</v>
      </c>
    </row>
    <row r="6805" spans="1:3">
      <c r="A6805" t="s">
        <v>75</v>
      </c>
      <c r="B6805">
        <v>0.14777203886883999</v>
      </c>
      <c r="C6805" s="1">
        <v>44377</v>
      </c>
    </row>
    <row r="6806" spans="1:3">
      <c r="A6806" t="s">
        <v>77</v>
      </c>
      <c r="B6806">
        <v>1.0435087104956</v>
      </c>
      <c r="C6806" s="1">
        <v>44377</v>
      </c>
    </row>
    <row r="6807" spans="1:3">
      <c r="A6807" t="s">
        <v>79</v>
      </c>
      <c r="B6807">
        <v>3.8343692550089998</v>
      </c>
      <c r="C6807" s="1">
        <v>44377</v>
      </c>
    </row>
    <row r="6808" spans="1:3">
      <c r="A6808" t="s">
        <v>81</v>
      </c>
      <c r="B6808">
        <v>7.913858005772</v>
      </c>
      <c r="C6808" s="1">
        <v>44377</v>
      </c>
    </row>
    <row r="6809" spans="1:3">
      <c r="A6809" t="s">
        <v>83</v>
      </c>
      <c r="B6809">
        <v>0.28924100498972</v>
      </c>
      <c r="C6809" s="1">
        <v>44377</v>
      </c>
    </row>
    <row r="6810" spans="1:3">
      <c r="A6810" t="s">
        <v>85</v>
      </c>
      <c r="B6810">
        <v>1.855904753566</v>
      </c>
      <c r="C6810" s="1">
        <v>44377</v>
      </c>
    </row>
    <row r="6811" spans="1:3">
      <c r="A6811" t="s">
        <v>87</v>
      </c>
      <c r="B6811">
        <v>11.3518340190759</v>
      </c>
      <c r="C6811" s="1">
        <v>44377</v>
      </c>
    </row>
    <row r="6812" spans="1:3">
      <c r="A6812" t="s">
        <v>89</v>
      </c>
      <c r="B6812">
        <v>3.9219119320639999</v>
      </c>
      <c r="C6812" s="1">
        <v>44377</v>
      </c>
    </row>
    <row r="6813" spans="1:3">
      <c r="A6813" t="s">
        <v>91</v>
      </c>
      <c r="B6813">
        <v>18.180162829365901</v>
      </c>
      <c r="C6813" s="1">
        <v>44377</v>
      </c>
    </row>
    <row r="6814" spans="1:3">
      <c r="A6814" t="s">
        <v>93</v>
      </c>
      <c r="B6814">
        <v>19.399457235387999</v>
      </c>
      <c r="C6814" s="1">
        <v>44377</v>
      </c>
    </row>
    <row r="6815" spans="1:3">
      <c r="A6815" t="s">
        <v>95</v>
      </c>
      <c r="B6815">
        <v>0.34036592838983998</v>
      </c>
      <c r="C6815" s="1">
        <v>44377</v>
      </c>
    </row>
    <row r="6816" spans="1:3">
      <c r="A6816" t="s">
        <v>97</v>
      </c>
      <c r="B6816">
        <v>3.869386325831</v>
      </c>
      <c r="C6816" s="1">
        <v>44377</v>
      </c>
    </row>
    <row r="6817" spans="1:3">
      <c r="A6817" t="s">
        <v>99</v>
      </c>
      <c r="B6817">
        <v>4.5844349120162304</v>
      </c>
      <c r="C6817" s="1">
        <v>44377</v>
      </c>
    </row>
    <row r="6818" spans="1:3">
      <c r="A6818" t="s">
        <v>101</v>
      </c>
      <c r="B6818">
        <v>8.9510636435196407</v>
      </c>
      <c r="C6818" s="1">
        <v>44377</v>
      </c>
    </row>
    <row r="6819" spans="1:3">
      <c r="A6819" t="s">
        <v>107</v>
      </c>
      <c r="B6819">
        <v>1.2753217193372399</v>
      </c>
      <c r="C6819" s="1">
        <v>44377</v>
      </c>
    </row>
    <row r="6820" spans="1:3">
      <c r="A6820" t="s">
        <v>109</v>
      </c>
      <c r="B6820">
        <v>3.69500131313744</v>
      </c>
      <c r="C6820" s="1">
        <v>44377</v>
      </c>
    </row>
    <row r="6821" spans="1:3">
      <c r="A6821" t="s">
        <v>111</v>
      </c>
      <c r="B6821">
        <v>6.8850564650216404</v>
      </c>
      <c r="C6821" s="1">
        <v>44377</v>
      </c>
    </row>
    <row r="6822" spans="1:3">
      <c r="A6822" t="s">
        <v>113</v>
      </c>
      <c r="B6822">
        <v>11.1382298870617</v>
      </c>
      <c r="C6822" s="1">
        <v>44377</v>
      </c>
    </row>
    <row r="6823" spans="1:3">
      <c r="A6823" t="s">
        <v>115</v>
      </c>
      <c r="B6823">
        <v>3.7755405760280398</v>
      </c>
      <c r="C6823" s="1">
        <v>44377</v>
      </c>
    </row>
    <row r="6824" spans="1:3">
      <c r="A6824" t="s">
        <v>117</v>
      </c>
      <c r="B6824">
        <v>3.6943009717209998</v>
      </c>
      <c r="C6824" s="1">
        <v>44377</v>
      </c>
    </row>
    <row r="6825" spans="1:3">
      <c r="A6825" t="s">
        <v>119</v>
      </c>
      <c r="B6825">
        <v>44.8631707957299</v>
      </c>
      <c r="C6825" s="1">
        <v>44377</v>
      </c>
    </row>
    <row r="6826" spans="1:3">
      <c r="A6826" t="s">
        <v>121</v>
      </c>
      <c r="B6826">
        <v>8.0259126324023899</v>
      </c>
      <c r="C6826" s="1">
        <v>44377</v>
      </c>
    </row>
    <row r="6827" spans="1:3">
      <c r="A6827" t="s">
        <v>123</v>
      </c>
      <c r="B6827">
        <v>4.2979952726922797</v>
      </c>
      <c r="C6827" s="1">
        <v>44377</v>
      </c>
    </row>
    <row r="6828" spans="1:3">
      <c r="A6828" t="s">
        <v>125</v>
      </c>
      <c r="B6828">
        <v>209.97566313562399</v>
      </c>
      <c r="C6828" s="1">
        <v>44377</v>
      </c>
    </row>
    <row r="6829" spans="1:3">
      <c r="A6829" t="s">
        <v>127</v>
      </c>
      <c r="B6829">
        <v>7.2296244419101203</v>
      </c>
      <c r="C6829" s="1">
        <v>44377</v>
      </c>
    </row>
    <row r="6830" spans="1:3">
      <c r="A6830" t="s">
        <v>129</v>
      </c>
      <c r="B6830">
        <v>3.7531296507019598</v>
      </c>
      <c r="C6830" s="1">
        <v>44377</v>
      </c>
    </row>
    <row r="6831" spans="1:3">
      <c r="A6831" t="s">
        <v>131</v>
      </c>
      <c r="B6831">
        <v>1.9301409437086301</v>
      </c>
      <c r="C6831" s="1">
        <v>44377</v>
      </c>
    </row>
    <row r="6832" spans="1:3">
      <c r="A6832" t="s">
        <v>134</v>
      </c>
      <c r="B6832">
        <v>2.1752604394626398</v>
      </c>
      <c r="C6832" s="1">
        <v>44377</v>
      </c>
    </row>
    <row r="6833" spans="1:3">
      <c r="A6833" t="s">
        <v>136</v>
      </c>
      <c r="B6833">
        <v>10.886106977143299</v>
      </c>
      <c r="C6833" s="1">
        <v>44377</v>
      </c>
    </row>
    <row r="6834" spans="1:3">
      <c r="A6834" t="s">
        <v>138</v>
      </c>
      <c r="B6834">
        <v>13.3387026175162</v>
      </c>
      <c r="C6834" s="1">
        <v>44377</v>
      </c>
    </row>
    <row r="6835" spans="1:3">
      <c r="A6835" t="s">
        <v>140</v>
      </c>
      <c r="B6835">
        <v>17.206688260514301</v>
      </c>
      <c r="C6835" s="1">
        <v>44377</v>
      </c>
    </row>
    <row r="6836" spans="1:3">
      <c r="A6836" t="s">
        <v>142</v>
      </c>
      <c r="B6836">
        <v>3.8182614024308799</v>
      </c>
      <c r="C6836" s="1">
        <v>44377</v>
      </c>
    </row>
    <row r="6837" spans="1:3">
      <c r="A6837" t="s">
        <v>144</v>
      </c>
      <c r="B6837">
        <v>3.55213166418367</v>
      </c>
      <c r="C6837" s="1">
        <v>44377</v>
      </c>
    </row>
    <row r="6838" spans="1:3">
      <c r="A6838" t="s">
        <v>146</v>
      </c>
      <c r="B6838">
        <v>2.89801278122872</v>
      </c>
      <c r="C6838" s="1">
        <v>44377</v>
      </c>
    </row>
    <row r="6839" spans="1:3">
      <c r="A6839" t="s">
        <v>148</v>
      </c>
      <c r="B6839">
        <v>8.9370568151908394</v>
      </c>
      <c r="C6839" s="1">
        <v>44377</v>
      </c>
    </row>
    <row r="6840" spans="1:3">
      <c r="A6840" t="s">
        <v>150</v>
      </c>
      <c r="B6840">
        <v>4.9759257638061998</v>
      </c>
      <c r="C6840" s="1">
        <v>44377</v>
      </c>
    </row>
    <row r="6841" spans="1:3">
      <c r="A6841" t="s">
        <v>152</v>
      </c>
      <c r="B6841">
        <v>18.5933642650655</v>
      </c>
      <c r="C6841" s="1">
        <v>44377</v>
      </c>
    </row>
    <row r="6842" spans="1:3">
      <c r="A6842" t="s">
        <v>154</v>
      </c>
      <c r="B6842">
        <v>14.637135603596001</v>
      </c>
      <c r="C6842" s="1">
        <v>44377</v>
      </c>
    </row>
    <row r="6843" spans="1:3">
      <c r="A6843" t="s">
        <v>156</v>
      </c>
      <c r="B6843">
        <v>15.268143219808399</v>
      </c>
      <c r="C6843" s="1">
        <v>44377</v>
      </c>
    </row>
    <row r="6844" spans="1:3">
      <c r="A6844" t="s">
        <v>158</v>
      </c>
      <c r="B6844">
        <v>115.51501356903</v>
      </c>
      <c r="C6844" s="1">
        <v>44377</v>
      </c>
    </row>
    <row r="6845" spans="1:3">
      <c r="A6845" t="s">
        <v>160</v>
      </c>
      <c r="B6845">
        <v>11.9667337827102</v>
      </c>
      <c r="C6845" s="1">
        <v>44377</v>
      </c>
    </row>
    <row r="6846" spans="1:3">
      <c r="A6846" t="s">
        <v>162</v>
      </c>
      <c r="B6846">
        <v>16.492340015745501</v>
      </c>
      <c r="C6846" s="1">
        <v>44377</v>
      </c>
    </row>
    <row r="6847" spans="1:3">
      <c r="A6847" t="s">
        <v>164</v>
      </c>
      <c r="B6847">
        <v>8.9923837870896008</v>
      </c>
      <c r="C6847" s="1">
        <v>44377</v>
      </c>
    </row>
    <row r="6848" spans="1:3">
      <c r="A6848" t="s">
        <v>166</v>
      </c>
      <c r="B6848">
        <v>7.4614374507517596</v>
      </c>
      <c r="C6848" s="1">
        <v>44377</v>
      </c>
    </row>
    <row r="6849" spans="1:3">
      <c r="A6849" t="s">
        <v>168</v>
      </c>
      <c r="B6849">
        <v>17.883218068795401</v>
      </c>
      <c r="C6849" s="1">
        <v>44377</v>
      </c>
    </row>
    <row r="6850" spans="1:3">
      <c r="A6850" t="s">
        <v>4</v>
      </c>
      <c r="B6850">
        <v>0.24609074596200001</v>
      </c>
      <c r="C6850" s="1">
        <v>44408</v>
      </c>
    </row>
    <row r="6851" spans="1:3">
      <c r="A6851" t="s">
        <v>8</v>
      </c>
      <c r="B6851">
        <v>27.89028454236</v>
      </c>
      <c r="C6851" s="1">
        <v>44408</v>
      </c>
    </row>
    <row r="6852" spans="1:3">
      <c r="A6852" t="s">
        <v>11</v>
      </c>
      <c r="B6852">
        <v>37.424933777576598</v>
      </c>
      <c r="C6852" s="1">
        <v>44408</v>
      </c>
    </row>
    <row r="6853" spans="1:3">
      <c r="A6853" t="s">
        <v>14</v>
      </c>
      <c r="B6853">
        <v>3.8588396137652499</v>
      </c>
      <c r="C6853" s="1">
        <v>44408</v>
      </c>
    </row>
    <row r="6854" spans="1:3">
      <c r="A6854" t="s">
        <v>17</v>
      </c>
      <c r="B6854">
        <v>12.8069725711057</v>
      </c>
      <c r="C6854" s="1">
        <v>44408</v>
      </c>
    </row>
    <row r="6855" spans="1:3">
      <c r="A6855" t="s">
        <v>20</v>
      </c>
      <c r="B6855">
        <v>0.45458429462424998</v>
      </c>
      <c r="C6855" s="1">
        <v>44408</v>
      </c>
    </row>
    <row r="6856" spans="1:3">
      <c r="A6856" t="s">
        <v>24</v>
      </c>
      <c r="B6856">
        <v>0.80389643680919998</v>
      </c>
      <c r="C6856" s="1">
        <v>44408</v>
      </c>
    </row>
    <row r="6857" spans="1:3">
      <c r="A6857" t="s">
        <v>27</v>
      </c>
      <c r="B6857">
        <v>44.678458514806501</v>
      </c>
      <c r="C6857" s="1">
        <v>44408</v>
      </c>
    </row>
    <row r="6858" spans="1:3">
      <c r="A6858" t="s">
        <v>29</v>
      </c>
      <c r="B6858">
        <v>1.6105272152401999</v>
      </c>
      <c r="C6858" s="1">
        <v>44408</v>
      </c>
    </row>
    <row r="6859" spans="1:3">
      <c r="A6859" t="s">
        <v>32</v>
      </c>
      <c r="B6859">
        <v>8.9303597367987901</v>
      </c>
      <c r="C6859" s="1">
        <v>44408</v>
      </c>
    </row>
    <row r="6860" spans="1:3">
      <c r="A6860" t="s">
        <v>35</v>
      </c>
      <c r="B6860">
        <v>3.05904468938874</v>
      </c>
      <c r="C6860" s="1">
        <v>44408</v>
      </c>
    </row>
    <row r="6861" spans="1:3">
      <c r="A6861" t="s">
        <v>37</v>
      </c>
      <c r="B6861">
        <v>0.31103135947974903</v>
      </c>
      <c r="C6861" s="1">
        <v>44408</v>
      </c>
    </row>
    <row r="6862" spans="1:3">
      <c r="A6862" t="s">
        <v>39</v>
      </c>
      <c r="B6862">
        <v>1.9482184055325</v>
      </c>
      <c r="C6862" s="1">
        <v>44408</v>
      </c>
    </row>
    <row r="6863" spans="1:3">
      <c r="A6863" t="s">
        <v>42</v>
      </c>
      <c r="B6863">
        <v>4.0331538921550001</v>
      </c>
      <c r="C6863" s="1">
        <v>44408</v>
      </c>
    </row>
    <row r="6864" spans="1:3">
      <c r="A6864" t="s">
        <v>44</v>
      </c>
      <c r="B6864">
        <v>12.3940869862139</v>
      </c>
      <c r="C6864" s="1">
        <v>44408</v>
      </c>
    </row>
    <row r="6865" spans="1:3">
      <c r="A6865" t="s">
        <v>47</v>
      </c>
      <c r="B6865">
        <v>6.9999145518079997</v>
      </c>
      <c r="C6865" s="1">
        <v>44408</v>
      </c>
    </row>
    <row r="6866" spans="1:3">
      <c r="A6866" t="s">
        <v>49</v>
      </c>
      <c r="B6866">
        <v>12.5588310689274</v>
      </c>
      <c r="C6866" s="1">
        <v>44408</v>
      </c>
    </row>
    <row r="6867" spans="1:3">
      <c r="A6867" t="s">
        <v>51</v>
      </c>
      <c r="B6867">
        <v>0.719815431938849</v>
      </c>
      <c r="C6867" s="1">
        <v>44408</v>
      </c>
    </row>
    <row r="6868" spans="1:3">
      <c r="A6868" t="s">
        <v>53</v>
      </c>
      <c r="B6868">
        <v>0.63094932923034996</v>
      </c>
      <c r="C6868" s="1">
        <v>44408</v>
      </c>
    </row>
    <row r="6869" spans="1:3">
      <c r="A6869" t="s">
        <v>55</v>
      </c>
      <c r="B6869">
        <v>3.3126548748107001</v>
      </c>
      <c r="C6869" s="1">
        <v>44408</v>
      </c>
    </row>
    <row r="6870" spans="1:3">
      <c r="A6870" t="s">
        <v>57</v>
      </c>
      <c r="B6870">
        <v>2.8970349482971001</v>
      </c>
      <c r="C6870" s="1">
        <v>44408</v>
      </c>
    </row>
    <row r="6871" spans="1:3">
      <c r="A6871" t="s">
        <v>59</v>
      </c>
      <c r="B6871">
        <v>3.5936084764506502</v>
      </c>
      <c r="C6871" s="1">
        <v>44408</v>
      </c>
    </row>
    <row r="6872" spans="1:3">
      <c r="A6872" t="s">
        <v>61</v>
      </c>
      <c r="B6872">
        <v>111.202255831578</v>
      </c>
      <c r="C6872" s="1">
        <v>44408</v>
      </c>
    </row>
    <row r="6873" spans="1:3">
      <c r="A6873" t="s">
        <v>63</v>
      </c>
      <c r="B6873">
        <v>10.4930359736575</v>
      </c>
      <c r="C6873" s="1">
        <v>44408</v>
      </c>
    </row>
    <row r="6874" spans="1:3">
      <c r="A6874" t="s">
        <v>65</v>
      </c>
      <c r="B6874">
        <v>0.28642228488354998</v>
      </c>
      <c r="C6874" s="1">
        <v>44408</v>
      </c>
    </row>
    <row r="6875" spans="1:3">
      <c r="A6875" t="s">
        <v>67</v>
      </c>
      <c r="B6875">
        <v>8.0389643680919995</v>
      </c>
      <c r="C6875" s="1">
        <v>44408</v>
      </c>
    </row>
    <row r="6876" spans="1:3">
      <c r="A6876" t="s">
        <v>69</v>
      </c>
      <c r="B6876">
        <v>4.224557805681</v>
      </c>
      <c r="C6876" s="1">
        <v>44408</v>
      </c>
    </row>
    <row r="6877" spans="1:3">
      <c r="A6877" t="s">
        <v>71</v>
      </c>
      <c r="B6877">
        <v>0.98436298384800003</v>
      </c>
      <c r="C6877" s="1">
        <v>44408</v>
      </c>
    </row>
    <row r="6878" spans="1:3">
      <c r="A6878" t="s">
        <v>73</v>
      </c>
      <c r="B6878">
        <v>1.0417841579058</v>
      </c>
      <c r="C6878" s="1">
        <v>44408</v>
      </c>
    </row>
    <row r="6879" spans="1:3">
      <c r="A6879" t="s">
        <v>75</v>
      </c>
      <c r="B6879">
        <v>0.14013500811724999</v>
      </c>
      <c r="C6879" s="1">
        <v>44408</v>
      </c>
    </row>
    <row r="6880" spans="1:3">
      <c r="A6880" t="s">
        <v>77</v>
      </c>
      <c r="B6880">
        <v>1.00828847303875</v>
      </c>
      <c r="C6880" s="1">
        <v>44408</v>
      </c>
    </row>
    <row r="6881" spans="1:3">
      <c r="A6881" t="s">
        <v>79</v>
      </c>
      <c r="B6881">
        <v>3.759719729975</v>
      </c>
      <c r="C6881" s="1">
        <v>44408</v>
      </c>
    </row>
    <row r="6882" spans="1:3">
      <c r="A6882" t="s">
        <v>81</v>
      </c>
      <c r="B6882">
        <v>7.5536187302224898</v>
      </c>
      <c r="C6882" s="1">
        <v>44408</v>
      </c>
    </row>
    <row r="6883" spans="1:3">
      <c r="A6883" t="s">
        <v>83</v>
      </c>
      <c r="B6883">
        <v>0.27069982055819902</v>
      </c>
      <c r="C6883" s="1">
        <v>44408</v>
      </c>
    </row>
    <row r="6884" spans="1:3">
      <c r="A6884" t="s">
        <v>85</v>
      </c>
      <c r="B6884">
        <v>1.68230368281245</v>
      </c>
      <c r="C6884" s="1">
        <v>44408</v>
      </c>
    </row>
    <row r="6885" spans="1:3">
      <c r="A6885" t="s">
        <v>87</v>
      </c>
      <c r="B6885">
        <v>12.343501666210599</v>
      </c>
      <c r="C6885" s="1">
        <v>44408</v>
      </c>
    </row>
    <row r="6886" spans="1:3">
      <c r="A6886" t="s">
        <v>89</v>
      </c>
      <c r="B6886">
        <v>3.5341365461765002</v>
      </c>
      <c r="C6886" s="1">
        <v>44408</v>
      </c>
    </row>
    <row r="6887" spans="1:3">
      <c r="A6887" t="s">
        <v>91</v>
      </c>
      <c r="B6887">
        <v>17.129966675171499</v>
      </c>
      <c r="C6887" s="1">
        <v>44408</v>
      </c>
    </row>
    <row r="6888" spans="1:3">
      <c r="A6888" t="s">
        <v>93</v>
      </c>
      <c r="B6888">
        <v>18.183371784969999</v>
      </c>
      <c r="C6888" s="1">
        <v>44408</v>
      </c>
    </row>
    <row r="6889" spans="1:3">
      <c r="A6889" t="s">
        <v>95</v>
      </c>
      <c r="B6889">
        <v>0.30419550542524998</v>
      </c>
      <c r="C6889" s="1">
        <v>44408</v>
      </c>
    </row>
    <row r="6890" spans="1:3">
      <c r="A6890" t="s">
        <v>97</v>
      </c>
      <c r="B6890">
        <v>3.8082542937619501</v>
      </c>
      <c r="C6890" s="1">
        <v>44408</v>
      </c>
    </row>
    <row r="6891" spans="1:3">
      <c r="A6891" t="s">
        <v>99</v>
      </c>
      <c r="B6891">
        <v>4.2737759548733996</v>
      </c>
      <c r="C6891" s="1">
        <v>44408</v>
      </c>
    </row>
    <row r="6892" spans="1:3">
      <c r="A6892" t="s">
        <v>101</v>
      </c>
      <c r="B6892">
        <v>8.75057677516544</v>
      </c>
      <c r="C6892" s="1">
        <v>44408</v>
      </c>
    </row>
    <row r="6893" spans="1:3">
      <c r="A6893" t="s">
        <v>107</v>
      </c>
      <c r="B6893">
        <v>1.2338716568372501</v>
      </c>
      <c r="C6893" s="1">
        <v>44408</v>
      </c>
    </row>
    <row r="6894" spans="1:3">
      <c r="A6894" t="s">
        <v>109</v>
      </c>
      <c r="B6894">
        <v>4.1240707510798398</v>
      </c>
      <c r="C6894" s="1">
        <v>44408</v>
      </c>
    </row>
    <row r="6895" spans="1:3">
      <c r="A6895" t="s">
        <v>111</v>
      </c>
      <c r="B6895">
        <v>6.8447406647708497</v>
      </c>
      <c r="C6895" s="1">
        <v>44408</v>
      </c>
    </row>
    <row r="6896" spans="1:3">
      <c r="A6896" t="s">
        <v>113</v>
      </c>
      <c r="B6896">
        <v>10.5921558574477</v>
      </c>
      <c r="C6896" s="1">
        <v>44408</v>
      </c>
    </row>
    <row r="6897" spans="1:3">
      <c r="A6897" t="s">
        <v>115</v>
      </c>
      <c r="B6897">
        <v>3.8150901478164498</v>
      </c>
      <c r="C6897" s="1">
        <v>44408</v>
      </c>
    </row>
    <row r="6898" spans="1:3">
      <c r="A6898" t="s">
        <v>117</v>
      </c>
      <c r="B6898">
        <v>3.56763223104354</v>
      </c>
      <c r="C6898" s="1">
        <v>44408</v>
      </c>
    </row>
    <row r="6899" spans="1:3">
      <c r="A6899" t="s">
        <v>119</v>
      </c>
      <c r="B6899">
        <v>53.184995300226298</v>
      </c>
      <c r="C6899" s="1">
        <v>44408</v>
      </c>
    </row>
    <row r="6900" spans="1:3">
      <c r="A6900" t="s">
        <v>121</v>
      </c>
      <c r="B6900">
        <v>7.6165085875239003</v>
      </c>
      <c r="C6900" s="1">
        <v>44408</v>
      </c>
    </row>
    <row r="6901" spans="1:3">
      <c r="A6901" t="s">
        <v>123</v>
      </c>
      <c r="B6901">
        <v>3.9565923267445999</v>
      </c>
      <c r="C6901" s="1">
        <v>44408</v>
      </c>
    </row>
    <row r="6902" spans="1:3">
      <c r="A6902" t="s">
        <v>125</v>
      </c>
      <c r="B6902">
        <v>192.90780141798999</v>
      </c>
      <c r="C6902" s="1">
        <v>44408</v>
      </c>
    </row>
    <row r="6903" spans="1:3">
      <c r="A6903" t="s">
        <v>127</v>
      </c>
      <c r="B6903">
        <v>7.2056737588484499</v>
      </c>
      <c r="C6903" s="1">
        <v>44408</v>
      </c>
    </row>
    <row r="6904" spans="1:3">
      <c r="A6904" t="s">
        <v>129</v>
      </c>
      <c r="B6904">
        <v>3.7159702640262</v>
      </c>
      <c r="C6904" s="1">
        <v>44408</v>
      </c>
    </row>
    <row r="6905" spans="1:3">
      <c r="A6905" t="s">
        <v>131</v>
      </c>
      <c r="B6905">
        <v>1.60984362983475</v>
      </c>
      <c r="C6905" s="1">
        <v>44408</v>
      </c>
    </row>
    <row r="6906" spans="1:3">
      <c r="A6906" t="s">
        <v>134</v>
      </c>
      <c r="B6906">
        <v>2.1751687601418999</v>
      </c>
      <c r="C6906" s="1">
        <v>44408</v>
      </c>
    </row>
    <row r="6907" spans="1:3">
      <c r="A6907" t="s">
        <v>136</v>
      </c>
      <c r="B6907">
        <v>10.964709903417999</v>
      </c>
      <c r="C6907" s="1">
        <v>44408</v>
      </c>
    </row>
    <row r="6908" spans="1:3">
      <c r="A6908" t="s">
        <v>138</v>
      </c>
      <c r="B6908">
        <v>13.6662394257563</v>
      </c>
      <c r="C6908" s="1">
        <v>44408</v>
      </c>
    </row>
    <row r="6909" spans="1:3">
      <c r="A6909" t="s">
        <v>140</v>
      </c>
      <c r="B6909">
        <v>18.1204819276686</v>
      </c>
      <c r="C6909" s="1">
        <v>44408</v>
      </c>
    </row>
    <row r="6910" spans="1:3">
      <c r="A6910" t="s">
        <v>142</v>
      </c>
      <c r="B6910">
        <v>3.7371614115951499</v>
      </c>
      <c r="C6910" s="1">
        <v>44408</v>
      </c>
    </row>
    <row r="6911" spans="1:3">
      <c r="A6911" t="s">
        <v>144</v>
      </c>
      <c r="B6911">
        <v>3.2470306758874998</v>
      </c>
      <c r="C6911" s="1">
        <v>44408</v>
      </c>
    </row>
    <row r="6912" spans="1:3">
      <c r="A6912" t="s">
        <v>146</v>
      </c>
      <c r="B6912">
        <v>2.8191062120758001</v>
      </c>
      <c r="C6912" s="1">
        <v>44408</v>
      </c>
    </row>
    <row r="6913" spans="1:3">
      <c r="A6913" t="s">
        <v>148</v>
      </c>
      <c r="B6913">
        <v>8.4456976843347498</v>
      </c>
      <c r="C6913" s="1">
        <v>44408</v>
      </c>
    </row>
    <row r="6914" spans="1:3">
      <c r="A6914" t="s">
        <v>150</v>
      </c>
      <c r="B6914">
        <v>4.9600957019451997</v>
      </c>
      <c r="C6914" s="1">
        <v>44408</v>
      </c>
    </row>
    <row r="6915" spans="1:3">
      <c r="A6915" t="s">
        <v>152</v>
      </c>
      <c r="B6915">
        <v>20.044091258604901</v>
      </c>
      <c r="C6915" s="1">
        <v>44408</v>
      </c>
    </row>
    <row r="6916" spans="1:3">
      <c r="A6916" t="s">
        <v>154</v>
      </c>
      <c r="B6916">
        <v>13.193198325185</v>
      </c>
      <c r="C6916" s="1">
        <v>44408</v>
      </c>
    </row>
    <row r="6917" spans="1:3">
      <c r="A6917" t="s">
        <v>156</v>
      </c>
      <c r="B6917">
        <v>14.982824916653099</v>
      </c>
      <c r="C6917" s="1">
        <v>44408</v>
      </c>
    </row>
    <row r="6918" spans="1:3">
      <c r="A6918" t="s">
        <v>158</v>
      </c>
      <c r="B6918">
        <v>131.07203281179301</v>
      </c>
      <c r="C6918" s="1">
        <v>44408</v>
      </c>
    </row>
    <row r="6919" spans="1:3">
      <c r="A6919" t="s">
        <v>160</v>
      </c>
      <c r="B6919">
        <v>11.573100914268499</v>
      </c>
      <c r="C6919" s="1">
        <v>44408</v>
      </c>
    </row>
    <row r="6920" spans="1:3">
      <c r="A6920" t="s">
        <v>162</v>
      </c>
      <c r="B6920">
        <v>18.047338289285399</v>
      </c>
      <c r="C6920" s="1">
        <v>44408</v>
      </c>
    </row>
    <row r="6921" spans="1:3">
      <c r="A6921" t="s">
        <v>164</v>
      </c>
      <c r="B6921">
        <v>9.7985132017203007</v>
      </c>
      <c r="C6921" s="1">
        <v>44408</v>
      </c>
    </row>
    <row r="6922" spans="1:3">
      <c r="A6922" t="s">
        <v>166</v>
      </c>
      <c r="B6922">
        <v>7.3881910621035898</v>
      </c>
      <c r="C6922" s="1">
        <v>44408</v>
      </c>
    </row>
    <row r="6923" spans="1:3">
      <c r="A6923" t="s">
        <v>168</v>
      </c>
      <c r="B6923">
        <v>20.435102110522301</v>
      </c>
      <c r="C6923" s="1">
        <v>44408</v>
      </c>
    </row>
    <row r="6924" spans="1:3">
      <c r="A6924" t="s">
        <v>4</v>
      </c>
      <c r="B6924">
        <v>0.23781541652256</v>
      </c>
      <c r="C6924" s="1">
        <v>44439</v>
      </c>
    </row>
    <row r="6925" spans="1:3">
      <c r="A6925" t="s">
        <v>8</v>
      </c>
      <c r="B6925">
        <v>27.677843069468601</v>
      </c>
      <c r="C6925" s="1">
        <v>44439</v>
      </c>
    </row>
    <row r="6926" spans="1:3">
      <c r="A6926" t="s">
        <v>11</v>
      </c>
      <c r="B6926">
        <v>37.592118907695401</v>
      </c>
      <c r="C6926" s="1">
        <v>44439</v>
      </c>
    </row>
    <row r="6927" spans="1:3">
      <c r="A6927" t="s">
        <v>14</v>
      </c>
      <c r="B6927">
        <v>4.2260629104721197</v>
      </c>
      <c r="C6927" s="1">
        <v>44439</v>
      </c>
    </row>
    <row r="6928" spans="1:3">
      <c r="A6928" t="s">
        <v>17</v>
      </c>
      <c r="B6928">
        <v>11.0985136536429</v>
      </c>
      <c r="C6928" s="1">
        <v>44439</v>
      </c>
    </row>
    <row r="6929" spans="1:3">
      <c r="A6929" t="s">
        <v>20</v>
      </c>
      <c r="B6929">
        <v>0.50881437953663999</v>
      </c>
      <c r="C6929" s="1">
        <v>44439</v>
      </c>
    </row>
    <row r="6930" spans="1:3">
      <c r="A6930" t="s">
        <v>24</v>
      </c>
      <c r="B6930">
        <v>0.79571379191123903</v>
      </c>
      <c r="C6930" s="1">
        <v>44439</v>
      </c>
    </row>
    <row r="6931" spans="1:3">
      <c r="A6931" t="s">
        <v>27</v>
      </c>
      <c r="B6931">
        <v>42.391980642916799</v>
      </c>
      <c r="C6931" s="1">
        <v>44439</v>
      </c>
    </row>
    <row r="6932" spans="1:3">
      <c r="A6932" t="s">
        <v>29</v>
      </c>
      <c r="B6932">
        <v>1.7124092637394699</v>
      </c>
      <c r="C6932" s="1">
        <v>44439</v>
      </c>
    </row>
    <row r="6933" spans="1:3">
      <c r="A6933" t="s">
        <v>32</v>
      </c>
      <c r="B6933">
        <v>9.9308676114725998</v>
      </c>
      <c r="C6933" s="1">
        <v>44439</v>
      </c>
    </row>
    <row r="6934" spans="1:3">
      <c r="A6934" t="s">
        <v>35</v>
      </c>
      <c r="B6934">
        <v>3.2084341513988299</v>
      </c>
      <c r="C6934" s="1">
        <v>44439</v>
      </c>
    </row>
    <row r="6935" spans="1:3">
      <c r="A6935" t="s">
        <v>37</v>
      </c>
      <c r="B6935">
        <v>0.40511579675064002</v>
      </c>
      <c r="C6935" s="1">
        <v>44439</v>
      </c>
    </row>
    <row r="6936" spans="1:3">
      <c r="A6936" t="s">
        <v>39</v>
      </c>
      <c r="B6936">
        <v>2.0394054614580002</v>
      </c>
      <c r="C6936" s="1">
        <v>44439</v>
      </c>
    </row>
    <row r="6937" spans="1:3">
      <c r="A6937" t="s">
        <v>42</v>
      </c>
      <c r="B6937">
        <v>4.0857241617684004</v>
      </c>
      <c r="C6937" s="1">
        <v>44439</v>
      </c>
    </row>
    <row r="6938" spans="1:3">
      <c r="A6938" t="s">
        <v>44</v>
      </c>
      <c r="B6938">
        <v>12.755617006563201</v>
      </c>
      <c r="C6938" s="1">
        <v>44439</v>
      </c>
    </row>
    <row r="6939" spans="1:3">
      <c r="A6939" t="s">
        <v>47</v>
      </c>
      <c r="B6939">
        <v>7.3066021431015598</v>
      </c>
      <c r="C6939" s="1">
        <v>44439</v>
      </c>
    </row>
    <row r="6940" spans="1:3">
      <c r="A6940" t="s">
        <v>49</v>
      </c>
      <c r="B6940">
        <v>14.3539578292381</v>
      </c>
      <c r="C6940" s="1">
        <v>44439</v>
      </c>
    </row>
    <row r="6941" spans="1:3">
      <c r="A6941" t="s">
        <v>51</v>
      </c>
      <c r="B6941">
        <v>0.82198409955036</v>
      </c>
      <c r="C6941" s="1">
        <v>44439</v>
      </c>
    </row>
    <row r="6942" spans="1:3">
      <c r="A6942" t="s">
        <v>53</v>
      </c>
      <c r="B6942">
        <v>0.69063256135476003</v>
      </c>
      <c r="C6942" s="1">
        <v>44439</v>
      </c>
    </row>
    <row r="6943" spans="1:3">
      <c r="A6943" t="s">
        <v>55</v>
      </c>
      <c r="B6943">
        <v>3.5693052194941202</v>
      </c>
      <c r="C6943" s="1">
        <v>44439</v>
      </c>
    </row>
    <row r="6944" spans="1:3">
      <c r="A6944" t="s">
        <v>57</v>
      </c>
      <c r="B6944">
        <v>2.6443138610429999</v>
      </c>
      <c r="C6944" s="1">
        <v>44439</v>
      </c>
    </row>
    <row r="6945" spans="1:3">
      <c r="A6945" t="s">
        <v>59</v>
      </c>
      <c r="B6945">
        <v>3.9536812996875499</v>
      </c>
      <c r="C6945" s="1">
        <v>44439</v>
      </c>
    </row>
    <row r="6946" spans="1:3">
      <c r="A6946" t="s">
        <v>61</v>
      </c>
      <c r="B6946">
        <v>131.19253370199399</v>
      </c>
      <c r="C6946" s="1">
        <v>44439</v>
      </c>
    </row>
    <row r="6947" spans="1:3">
      <c r="A6947" t="s">
        <v>63</v>
      </c>
      <c r="B6947">
        <v>10.197718631175199</v>
      </c>
      <c r="C6947" s="1">
        <v>44439</v>
      </c>
    </row>
    <row r="6948" spans="1:3">
      <c r="A6948" t="s">
        <v>65</v>
      </c>
      <c r="B6948">
        <v>0.3180089872104</v>
      </c>
      <c r="C6948" s="1">
        <v>44439</v>
      </c>
    </row>
    <row r="6949" spans="1:3">
      <c r="A6949" t="s">
        <v>67</v>
      </c>
      <c r="B6949">
        <v>8.9021776702354796</v>
      </c>
      <c r="C6949" s="1">
        <v>44439</v>
      </c>
    </row>
    <row r="6950" spans="1:3">
      <c r="A6950" t="s">
        <v>69</v>
      </c>
      <c r="B6950">
        <v>4.6387832699603999</v>
      </c>
      <c r="C6950" s="1">
        <v>44439</v>
      </c>
    </row>
    <row r="6951" spans="1:3">
      <c r="A6951" t="s">
        <v>71</v>
      </c>
      <c r="B6951">
        <v>1.175250604908</v>
      </c>
      <c r="C6951" s="1">
        <v>44439</v>
      </c>
    </row>
    <row r="6952" spans="1:3">
      <c r="A6952" t="s">
        <v>73</v>
      </c>
      <c r="B6952">
        <v>1.1648807466294</v>
      </c>
      <c r="C6952" s="1">
        <v>44439</v>
      </c>
    </row>
    <row r="6953" spans="1:3">
      <c r="A6953" t="s">
        <v>75</v>
      </c>
      <c r="B6953">
        <v>0.15278257863803901</v>
      </c>
      <c r="C6953" s="1">
        <v>44439</v>
      </c>
    </row>
    <row r="6954" spans="1:3">
      <c r="A6954" t="s">
        <v>77</v>
      </c>
      <c r="B6954">
        <v>1.0701693743515199</v>
      </c>
      <c r="C6954" s="1">
        <v>44439</v>
      </c>
    </row>
    <row r="6955" spans="1:3">
      <c r="A6955" t="s">
        <v>79</v>
      </c>
      <c r="B6955">
        <v>3.9059799516060001</v>
      </c>
      <c r="C6955" s="1">
        <v>44439</v>
      </c>
    </row>
    <row r="6956" spans="1:3">
      <c r="A6956" t="s">
        <v>81</v>
      </c>
      <c r="B6956">
        <v>8.2958866228799995</v>
      </c>
      <c r="C6956" s="1">
        <v>44439</v>
      </c>
    </row>
    <row r="6957" spans="1:3">
      <c r="A6957" t="s">
        <v>83</v>
      </c>
      <c r="B6957">
        <v>0.31870031109564001</v>
      </c>
      <c r="C6957" s="1">
        <v>44439</v>
      </c>
    </row>
    <row r="6958" spans="1:3">
      <c r="A6958" t="s">
        <v>85</v>
      </c>
      <c r="B6958">
        <v>1.8776356723118399</v>
      </c>
      <c r="C6958" s="1">
        <v>44439</v>
      </c>
    </row>
    <row r="6959" spans="1:3">
      <c r="A6959" t="s">
        <v>87</v>
      </c>
      <c r="B6959">
        <v>13.5575527134416</v>
      </c>
      <c r="C6959" s="1">
        <v>44439</v>
      </c>
    </row>
    <row r="6960" spans="1:3">
      <c r="A6960" t="s">
        <v>89</v>
      </c>
      <c r="B6960">
        <v>4.4936052540600002</v>
      </c>
      <c r="C6960" s="1">
        <v>44439</v>
      </c>
    </row>
    <row r="6961" spans="1:3">
      <c r="A6961" t="s">
        <v>91</v>
      </c>
      <c r="B6961">
        <v>17.196681645344999</v>
      </c>
      <c r="C6961" s="1">
        <v>44439</v>
      </c>
    </row>
    <row r="6962" spans="1:3">
      <c r="A6962" t="s">
        <v>93</v>
      </c>
      <c r="B6962">
        <v>19.666781887307501</v>
      </c>
      <c r="C6962" s="1">
        <v>44439</v>
      </c>
    </row>
    <row r="6963" spans="1:3">
      <c r="A6963" t="s">
        <v>95</v>
      </c>
      <c r="B6963">
        <v>0.34358797096427901</v>
      </c>
      <c r="C6963" s="1">
        <v>44439</v>
      </c>
    </row>
    <row r="6964" spans="1:3">
      <c r="A6964" t="s">
        <v>97</v>
      </c>
      <c r="B6964">
        <v>3.7172485309354801</v>
      </c>
      <c r="C6964" s="1">
        <v>44439</v>
      </c>
    </row>
    <row r="6965" spans="1:3">
      <c r="A6965" t="s">
        <v>99</v>
      </c>
      <c r="B6965">
        <v>4.5973038368459997</v>
      </c>
      <c r="C6965" s="1">
        <v>44439</v>
      </c>
    </row>
    <row r="6966" spans="1:3">
      <c r="A6966" t="s">
        <v>101</v>
      </c>
      <c r="B6966">
        <v>8.7348772900074003</v>
      </c>
      <c r="C6966" s="1">
        <v>44439</v>
      </c>
    </row>
    <row r="6967" spans="1:3">
      <c r="A6967" t="s">
        <v>107</v>
      </c>
      <c r="B6967">
        <v>1.25751814725156</v>
      </c>
      <c r="C6967" s="1">
        <v>44439</v>
      </c>
    </row>
    <row r="6968" spans="1:3">
      <c r="A6968" t="s">
        <v>109</v>
      </c>
      <c r="B6968">
        <v>3.6895955755258698</v>
      </c>
      <c r="C6968" s="1">
        <v>44439</v>
      </c>
    </row>
    <row r="6969" spans="1:3">
      <c r="A6969" t="s">
        <v>111</v>
      </c>
      <c r="B6969">
        <v>7.0515036294479998</v>
      </c>
      <c r="C6969" s="1">
        <v>44439</v>
      </c>
    </row>
    <row r="6970" spans="1:3">
      <c r="A6970" t="s">
        <v>113</v>
      </c>
      <c r="B6970">
        <v>10.3214656066332</v>
      </c>
      <c r="C6970" s="1">
        <v>44439</v>
      </c>
    </row>
    <row r="6971" spans="1:3">
      <c r="A6971" t="s">
        <v>115</v>
      </c>
      <c r="B6971">
        <v>4.4002765295525998</v>
      </c>
      <c r="C6971" s="1">
        <v>44439</v>
      </c>
    </row>
    <row r="6972" spans="1:3">
      <c r="A6972" t="s">
        <v>117</v>
      </c>
      <c r="B6972">
        <v>4.0656757690964396</v>
      </c>
      <c r="C6972" s="1">
        <v>44439</v>
      </c>
    </row>
    <row r="6973" spans="1:3">
      <c r="A6973" t="s">
        <v>119</v>
      </c>
      <c r="B6973">
        <v>45.143449706171999</v>
      </c>
      <c r="C6973" s="1">
        <v>44439</v>
      </c>
    </row>
    <row r="6974" spans="1:3">
      <c r="A6974" t="s">
        <v>121</v>
      </c>
      <c r="B6974">
        <v>8.3518838575844399</v>
      </c>
      <c r="C6974" s="1">
        <v>44439</v>
      </c>
    </row>
    <row r="6975" spans="1:3">
      <c r="A6975" t="s">
        <v>123</v>
      </c>
      <c r="B6975">
        <v>4.4548911164865599</v>
      </c>
      <c r="C6975" s="1">
        <v>44439</v>
      </c>
    </row>
    <row r="6976" spans="1:3">
      <c r="A6976" t="s">
        <v>125</v>
      </c>
      <c r="B6976">
        <v>171.44832353952</v>
      </c>
      <c r="C6976" s="1">
        <v>44439</v>
      </c>
    </row>
    <row r="6977" spans="1:3">
      <c r="A6977" t="s">
        <v>127</v>
      </c>
      <c r="B6977">
        <v>9.2250259246425603</v>
      </c>
      <c r="C6977" s="1">
        <v>44439</v>
      </c>
    </row>
    <row r="6978" spans="1:3">
      <c r="A6978" t="s">
        <v>129</v>
      </c>
      <c r="B6978">
        <v>4.2786035257503601</v>
      </c>
      <c r="C6978" s="1">
        <v>44439</v>
      </c>
    </row>
    <row r="6979" spans="1:3">
      <c r="A6979" t="s">
        <v>131</v>
      </c>
      <c r="B6979">
        <v>2.07950224680192</v>
      </c>
      <c r="C6979" s="1">
        <v>44439</v>
      </c>
    </row>
    <row r="6980" spans="1:3">
      <c r="A6980" t="s">
        <v>134</v>
      </c>
      <c r="B6980">
        <v>2.2398893881776001</v>
      </c>
      <c r="C6980" s="1">
        <v>44439</v>
      </c>
    </row>
    <row r="6981" spans="1:3">
      <c r="A6981" t="s">
        <v>136</v>
      </c>
      <c r="B6981">
        <v>12.7099896301374</v>
      </c>
      <c r="C6981" s="1">
        <v>44439</v>
      </c>
    </row>
    <row r="6982" spans="1:3">
      <c r="A6982" t="s">
        <v>138</v>
      </c>
      <c r="B6982">
        <v>14.17213964742</v>
      </c>
      <c r="C6982" s="1">
        <v>44439</v>
      </c>
    </row>
    <row r="6983" spans="1:3">
      <c r="A6983" t="s">
        <v>140</v>
      </c>
      <c r="B6983">
        <v>20.916695471821399</v>
      </c>
      <c r="C6983" s="1">
        <v>44439</v>
      </c>
    </row>
    <row r="6984" spans="1:3">
      <c r="A6984" t="s">
        <v>142</v>
      </c>
      <c r="B6984">
        <v>4.2689249913570002</v>
      </c>
      <c r="C6984" s="1">
        <v>44439</v>
      </c>
    </row>
    <row r="6985" spans="1:3">
      <c r="A6985" t="s">
        <v>144</v>
      </c>
      <c r="B6985">
        <v>3.6080193570675498</v>
      </c>
      <c r="C6985" s="1">
        <v>44439</v>
      </c>
    </row>
    <row r="6986" spans="1:3">
      <c r="A6986" t="s">
        <v>146</v>
      </c>
      <c r="B6986">
        <v>3.0438990667117198</v>
      </c>
      <c r="C6986" s="1">
        <v>44439</v>
      </c>
    </row>
    <row r="6987" spans="1:3">
      <c r="A6987" t="s">
        <v>148</v>
      </c>
      <c r="B6987">
        <v>10.280677497404</v>
      </c>
      <c r="C6987" s="1">
        <v>44439</v>
      </c>
    </row>
    <row r="6988" spans="1:3">
      <c r="A6988" t="s">
        <v>150</v>
      </c>
      <c r="B6988">
        <v>5.2526788800535202</v>
      </c>
      <c r="C6988" s="1">
        <v>44439</v>
      </c>
    </row>
    <row r="6989" spans="1:3">
      <c r="A6989" t="s">
        <v>152</v>
      </c>
      <c r="B6989">
        <v>16.862080884888801</v>
      </c>
      <c r="C6989" s="1">
        <v>44439</v>
      </c>
    </row>
    <row r="6990" spans="1:3">
      <c r="A6990" t="s">
        <v>154</v>
      </c>
      <c r="B6990">
        <v>12.8544763221525</v>
      </c>
      <c r="C6990" s="1">
        <v>44439</v>
      </c>
    </row>
    <row r="6991" spans="1:3">
      <c r="A6991" t="s">
        <v>156</v>
      </c>
      <c r="B6991">
        <v>15.485655029376</v>
      </c>
      <c r="C6991" s="1">
        <v>44439</v>
      </c>
    </row>
    <row r="6992" spans="1:3">
      <c r="A6992" t="s">
        <v>158</v>
      </c>
      <c r="B6992">
        <v>113.95921189073201</v>
      </c>
      <c r="C6992" s="1">
        <v>44439</v>
      </c>
    </row>
    <row r="6993" spans="1:3">
      <c r="A6993" t="s">
        <v>160</v>
      </c>
      <c r="B6993">
        <v>12.78949187694</v>
      </c>
      <c r="C6993" s="1">
        <v>44439</v>
      </c>
    </row>
    <row r="6994" spans="1:3">
      <c r="A6994" t="s">
        <v>162</v>
      </c>
      <c r="B6994">
        <v>15.409609401999599</v>
      </c>
      <c r="C6994" s="1">
        <v>44439</v>
      </c>
    </row>
    <row r="6995" spans="1:3">
      <c r="A6995" t="s">
        <v>164</v>
      </c>
      <c r="B6995">
        <v>9.4351883857555094</v>
      </c>
      <c r="C6995" s="1">
        <v>44439</v>
      </c>
    </row>
    <row r="6996" spans="1:3">
      <c r="A6996" t="s">
        <v>166</v>
      </c>
      <c r="B6996">
        <v>7.4621500172805497</v>
      </c>
      <c r="C6996" s="1">
        <v>44439</v>
      </c>
    </row>
    <row r="6997" spans="1:3">
      <c r="A6997" t="s">
        <v>168</v>
      </c>
      <c r="B6997">
        <v>17.917732457650299</v>
      </c>
      <c r="C6997" s="1">
        <v>44439</v>
      </c>
    </row>
    <row r="6998" spans="1:3">
      <c r="A6998" t="s">
        <v>4</v>
      </c>
      <c r="B6998">
        <v>0.20604852110319999</v>
      </c>
      <c r="C6998" s="1">
        <v>44469</v>
      </c>
    </row>
    <row r="6999" spans="1:3">
      <c r="A6999" t="s">
        <v>8</v>
      </c>
      <c r="B6999">
        <v>24.605516782965601</v>
      </c>
      <c r="C6999" s="1">
        <v>44469</v>
      </c>
    </row>
    <row r="7000" spans="1:3">
      <c r="A7000" t="s">
        <v>11</v>
      </c>
      <c r="B7000">
        <v>35.240943835134402</v>
      </c>
      <c r="C7000" s="1">
        <v>44469</v>
      </c>
    </row>
    <row r="7001" spans="1:3">
      <c r="A7001" t="s">
        <v>14</v>
      </c>
      <c r="B7001">
        <v>4.2977733466235097</v>
      </c>
      <c r="C7001" s="1">
        <v>44469</v>
      </c>
    </row>
    <row r="7002" spans="1:3">
      <c r="A7002" t="s">
        <v>17</v>
      </c>
      <c r="B7002">
        <v>10.3389830508396</v>
      </c>
      <c r="C7002" s="1">
        <v>44469</v>
      </c>
    </row>
    <row r="7003" spans="1:3">
      <c r="A7003" t="s">
        <v>20</v>
      </c>
      <c r="B7003">
        <v>0.46992356264503998</v>
      </c>
      <c r="C7003" s="1">
        <v>44469</v>
      </c>
    </row>
    <row r="7004" spans="1:3">
      <c r="A7004" t="s">
        <v>24</v>
      </c>
      <c r="B7004">
        <v>0.79096045197679998</v>
      </c>
      <c r="C7004" s="1">
        <v>44469</v>
      </c>
    </row>
    <row r="7005" spans="1:3">
      <c r="A7005" t="s">
        <v>27</v>
      </c>
      <c r="B7005">
        <v>35.419740777640001</v>
      </c>
      <c r="C7005" s="1">
        <v>44469</v>
      </c>
    </row>
    <row r="7006" spans="1:3">
      <c r="A7006" t="s">
        <v>29</v>
      </c>
      <c r="B7006">
        <v>1.51478896643288</v>
      </c>
      <c r="C7006" s="1">
        <v>44469</v>
      </c>
    </row>
    <row r="7007" spans="1:3">
      <c r="A7007" t="s">
        <v>32</v>
      </c>
      <c r="B7007">
        <v>9.5739448321628799</v>
      </c>
      <c r="C7007" s="1">
        <v>44469</v>
      </c>
    </row>
    <row r="7008" spans="1:3">
      <c r="A7008" t="s">
        <v>35</v>
      </c>
      <c r="B7008">
        <v>3.0907278165480001</v>
      </c>
      <c r="C7008" s="1">
        <v>44469</v>
      </c>
    </row>
    <row r="7009" spans="1:3">
      <c r="A7009" t="s">
        <v>37</v>
      </c>
      <c r="B7009">
        <v>0.37221668328319901</v>
      </c>
      <c r="C7009" s="1">
        <v>44469</v>
      </c>
    </row>
    <row r="7010" spans="1:3">
      <c r="A7010" t="s">
        <v>39</v>
      </c>
      <c r="B7010">
        <v>2.4107676969074401</v>
      </c>
      <c r="C7010" s="1">
        <v>44469</v>
      </c>
    </row>
    <row r="7011" spans="1:3">
      <c r="A7011" t="s">
        <v>42</v>
      </c>
      <c r="B7011">
        <v>3.1571950814199998</v>
      </c>
      <c r="C7011" s="1">
        <v>44469</v>
      </c>
    </row>
    <row r="7012" spans="1:3">
      <c r="A7012" t="s">
        <v>44</v>
      </c>
      <c r="B7012">
        <v>10.7032236623381</v>
      </c>
      <c r="C7012" s="1">
        <v>44469</v>
      </c>
    </row>
    <row r="7013" spans="1:3">
      <c r="A7013" t="s">
        <v>47</v>
      </c>
      <c r="B7013">
        <v>6.9458291791239999</v>
      </c>
      <c r="C7013" s="1">
        <v>44469</v>
      </c>
    </row>
    <row r="7014" spans="1:3">
      <c r="A7014" t="s">
        <v>49</v>
      </c>
      <c r="B7014">
        <v>13.0555001661582</v>
      </c>
      <c r="C7014" s="1">
        <v>44469</v>
      </c>
    </row>
    <row r="7015" spans="1:3">
      <c r="A7015" t="s">
        <v>51</v>
      </c>
      <c r="B7015">
        <v>0.81488866733071996</v>
      </c>
      <c r="C7015" s="1">
        <v>44469</v>
      </c>
    </row>
    <row r="7016" spans="1:3">
      <c r="A7016" t="s">
        <v>53</v>
      </c>
      <c r="B7016">
        <v>0.61748089066087997</v>
      </c>
      <c r="C7016" s="1">
        <v>44469</v>
      </c>
    </row>
    <row r="7017" spans="1:3">
      <c r="A7017" t="s">
        <v>55</v>
      </c>
      <c r="B7017">
        <v>3.3300099700871999</v>
      </c>
      <c r="C7017" s="1">
        <v>44469</v>
      </c>
    </row>
    <row r="7018" spans="1:3">
      <c r="A7018" t="s">
        <v>57</v>
      </c>
      <c r="B7018">
        <v>2.9332003988013602</v>
      </c>
      <c r="C7018" s="1">
        <v>44469</v>
      </c>
    </row>
    <row r="7019" spans="1:3">
      <c r="A7019" t="s">
        <v>59</v>
      </c>
      <c r="B7019">
        <v>3.77467597208088</v>
      </c>
      <c r="C7019" s="1">
        <v>44469</v>
      </c>
    </row>
    <row r="7020" spans="1:3">
      <c r="A7020" t="s">
        <v>61</v>
      </c>
      <c r="B7020">
        <v>120.91060152865499</v>
      </c>
      <c r="C7020" s="1">
        <v>44469</v>
      </c>
    </row>
    <row r="7021" spans="1:3">
      <c r="A7021" t="s">
        <v>63</v>
      </c>
      <c r="B7021">
        <v>11.726819541366901</v>
      </c>
      <c r="C7021" s="1">
        <v>44469</v>
      </c>
    </row>
    <row r="7022" spans="1:3">
      <c r="A7022" t="s">
        <v>65</v>
      </c>
      <c r="B7022">
        <v>0.30375540046504002</v>
      </c>
      <c r="C7022" s="1">
        <v>44469</v>
      </c>
    </row>
    <row r="7023" spans="1:3">
      <c r="A7023" t="s">
        <v>67</v>
      </c>
      <c r="B7023">
        <v>9.0980392156793499</v>
      </c>
      <c r="C7023" s="1">
        <v>44469</v>
      </c>
    </row>
    <row r="7024" spans="1:3">
      <c r="A7024" t="s">
        <v>69</v>
      </c>
      <c r="B7024">
        <v>3.7022266533704</v>
      </c>
      <c r="C7024" s="1">
        <v>44469</v>
      </c>
    </row>
    <row r="7025" spans="1:3">
      <c r="A7025" t="s">
        <v>71</v>
      </c>
      <c r="B7025">
        <v>1.1193087404444799</v>
      </c>
      <c r="C7025" s="1">
        <v>44469</v>
      </c>
    </row>
    <row r="7026" spans="1:3">
      <c r="A7026" t="s">
        <v>73</v>
      </c>
      <c r="B7026">
        <v>1.0767696909264</v>
      </c>
      <c r="C7026" s="1">
        <v>44469</v>
      </c>
    </row>
    <row r="7027" spans="1:3">
      <c r="A7027" t="s">
        <v>75</v>
      </c>
      <c r="B7027">
        <v>0.15021601861071901</v>
      </c>
      <c r="C7027" s="1">
        <v>44469</v>
      </c>
    </row>
    <row r="7028" spans="1:3">
      <c r="A7028" t="s">
        <v>77</v>
      </c>
      <c r="B7028">
        <v>0.95048188766959996</v>
      </c>
      <c r="C7028" s="1">
        <v>44469</v>
      </c>
    </row>
    <row r="7029" spans="1:3">
      <c r="A7029" t="s">
        <v>79</v>
      </c>
      <c r="B7029">
        <v>3.8551013625759998</v>
      </c>
      <c r="C7029" s="1">
        <v>44469</v>
      </c>
    </row>
    <row r="7030" spans="1:3">
      <c r="A7030" t="s">
        <v>81</v>
      </c>
      <c r="B7030">
        <v>7.8597540711139997</v>
      </c>
      <c r="C7030" s="1">
        <v>44469</v>
      </c>
    </row>
    <row r="7031" spans="1:3">
      <c r="A7031" t="s">
        <v>83</v>
      </c>
      <c r="B7031">
        <v>0.32369557992664</v>
      </c>
      <c r="C7031" s="1">
        <v>44469</v>
      </c>
    </row>
    <row r="7032" spans="1:3">
      <c r="A7032" t="s">
        <v>85</v>
      </c>
      <c r="B7032">
        <v>2.1369225656347899</v>
      </c>
      <c r="C7032" s="1">
        <v>44469</v>
      </c>
    </row>
    <row r="7033" spans="1:3">
      <c r="A7033" t="s">
        <v>87</v>
      </c>
      <c r="B7033">
        <v>18.007976071770901</v>
      </c>
      <c r="C7033" s="1">
        <v>44469</v>
      </c>
    </row>
    <row r="7034" spans="1:3">
      <c r="A7034" t="s">
        <v>89</v>
      </c>
      <c r="B7034">
        <v>4.7324692588864004</v>
      </c>
      <c r="C7034" s="1">
        <v>44469</v>
      </c>
    </row>
    <row r="7035" spans="1:3">
      <c r="A7035" t="s">
        <v>91</v>
      </c>
      <c r="B7035">
        <v>16.218012628768001</v>
      </c>
      <c r="C7035" s="1">
        <v>44469</v>
      </c>
    </row>
    <row r="7036" spans="1:3">
      <c r="A7036" t="s">
        <v>93</v>
      </c>
      <c r="B7036">
        <v>16.94915254236</v>
      </c>
      <c r="C7036" s="1">
        <v>44469</v>
      </c>
    </row>
    <row r="7037" spans="1:3">
      <c r="A7037" t="s">
        <v>95</v>
      </c>
      <c r="B7037">
        <v>0.3190428713856</v>
      </c>
      <c r="C7037" s="1">
        <v>44469</v>
      </c>
    </row>
    <row r="7038" spans="1:3">
      <c r="A7038" t="s">
        <v>97</v>
      </c>
      <c r="B7038">
        <v>4.3017613825158296</v>
      </c>
      <c r="C7038" s="1">
        <v>44469</v>
      </c>
    </row>
    <row r="7039" spans="1:3">
      <c r="A7039" t="s">
        <v>99</v>
      </c>
      <c r="B7039">
        <v>4.4227318045828801</v>
      </c>
      <c r="C7039" s="1">
        <v>44469</v>
      </c>
    </row>
    <row r="7040" spans="1:3">
      <c r="A7040" t="s">
        <v>101</v>
      </c>
      <c r="B7040">
        <v>8.3615819208975992</v>
      </c>
      <c r="C7040" s="1">
        <v>44469</v>
      </c>
    </row>
    <row r="7041" spans="1:3">
      <c r="A7041" t="s">
        <v>105</v>
      </c>
      <c r="B7041">
        <v>0.29112662013935903</v>
      </c>
      <c r="C7041" s="1">
        <v>44469</v>
      </c>
    </row>
    <row r="7042" spans="1:3">
      <c r="A7042" t="s">
        <v>107</v>
      </c>
      <c r="B7042">
        <v>1.30608175473479</v>
      </c>
      <c r="C7042" s="1">
        <v>44469</v>
      </c>
    </row>
    <row r="7043" spans="1:3">
      <c r="A7043" t="s">
        <v>109</v>
      </c>
      <c r="B7043">
        <v>3.1179793951455101</v>
      </c>
      <c r="C7043" s="1">
        <v>44469</v>
      </c>
    </row>
    <row r="7044" spans="1:3">
      <c r="A7044" t="s">
        <v>111</v>
      </c>
      <c r="B7044">
        <v>7.05483549351408</v>
      </c>
      <c r="C7044" s="1">
        <v>44469</v>
      </c>
    </row>
    <row r="7045" spans="1:3">
      <c r="A7045" t="s">
        <v>113</v>
      </c>
      <c r="B7045">
        <v>9.0761050182715994</v>
      </c>
      <c r="C7045" s="1">
        <v>44469</v>
      </c>
    </row>
    <row r="7046" spans="1:3">
      <c r="A7046" t="s">
        <v>115</v>
      </c>
      <c r="B7046">
        <v>3.9255566633403198</v>
      </c>
      <c r="C7046" s="1">
        <v>44469</v>
      </c>
    </row>
    <row r="7047" spans="1:3">
      <c r="A7047" t="s">
        <v>117</v>
      </c>
      <c r="B7047">
        <v>3.7886340977040001</v>
      </c>
      <c r="C7047" s="1">
        <v>44469</v>
      </c>
    </row>
    <row r="7048" spans="1:3">
      <c r="A7048" t="s">
        <v>119</v>
      </c>
      <c r="B7048">
        <v>32.964440013268401</v>
      </c>
      <c r="C7048" s="1">
        <v>44469</v>
      </c>
    </row>
    <row r="7049" spans="1:3">
      <c r="A7049" t="s">
        <v>121</v>
      </c>
      <c r="B7049">
        <v>9.0295779328611996</v>
      </c>
      <c r="C7049" s="1">
        <v>44469</v>
      </c>
    </row>
    <row r="7050" spans="1:3">
      <c r="A7050" t="s">
        <v>123</v>
      </c>
      <c r="B7050">
        <v>4.2485875706182403</v>
      </c>
      <c r="C7050" s="1">
        <v>44469</v>
      </c>
    </row>
    <row r="7051" spans="1:3">
      <c r="A7051" t="s">
        <v>125</v>
      </c>
      <c r="B7051">
        <v>165.676304419947</v>
      </c>
      <c r="C7051" s="1">
        <v>44469</v>
      </c>
    </row>
    <row r="7052" spans="1:3">
      <c r="A7052" t="s">
        <v>127</v>
      </c>
      <c r="B7052">
        <v>9.3958125623059203</v>
      </c>
      <c r="C7052" s="1">
        <v>44469</v>
      </c>
    </row>
    <row r="7053" spans="1:3">
      <c r="A7053" t="s">
        <v>129</v>
      </c>
      <c r="B7053">
        <v>4.2878032568927198</v>
      </c>
      <c r="C7053" s="1">
        <v>44469</v>
      </c>
    </row>
    <row r="7054" spans="1:3">
      <c r="A7054" t="s">
        <v>131</v>
      </c>
      <c r="B7054">
        <v>2.5523429710848</v>
      </c>
      <c r="C7054" s="1">
        <v>44469</v>
      </c>
    </row>
    <row r="7055" spans="1:3">
      <c r="A7055" t="s">
        <v>134</v>
      </c>
      <c r="B7055">
        <v>2.4240611498818398</v>
      </c>
      <c r="C7055" s="1">
        <v>44469</v>
      </c>
    </row>
    <row r="7056" spans="1:3">
      <c r="A7056" t="s">
        <v>136</v>
      </c>
      <c r="B7056">
        <v>11.881023595869999</v>
      </c>
      <c r="C7056" s="1">
        <v>44469</v>
      </c>
    </row>
    <row r="7057" spans="1:3">
      <c r="A7057" t="s">
        <v>138</v>
      </c>
      <c r="B7057">
        <v>13.027583914912</v>
      </c>
      <c r="C7057" s="1">
        <v>44469</v>
      </c>
    </row>
    <row r="7058" spans="1:3">
      <c r="A7058" t="s">
        <v>140</v>
      </c>
      <c r="B7058">
        <v>18.457959454954398</v>
      </c>
      <c r="C7058" s="1">
        <v>44469</v>
      </c>
    </row>
    <row r="7059" spans="1:3">
      <c r="A7059" t="s">
        <v>142</v>
      </c>
      <c r="B7059">
        <v>4.3502824858724001</v>
      </c>
      <c r="C7059" s="1">
        <v>44469</v>
      </c>
    </row>
    <row r="7060" spans="1:3">
      <c r="A7060" t="s">
        <v>144</v>
      </c>
      <c r="B7060">
        <v>3.1578597540687099</v>
      </c>
      <c r="C7060" s="1">
        <v>44469</v>
      </c>
    </row>
    <row r="7061" spans="1:3">
      <c r="A7061" t="s">
        <v>146</v>
      </c>
      <c r="B7061">
        <v>2.6586905948799999</v>
      </c>
      <c r="C7061" s="1">
        <v>44469</v>
      </c>
    </row>
    <row r="7062" spans="1:3">
      <c r="A7062" t="s">
        <v>148</v>
      </c>
      <c r="B7062">
        <v>9.5167829843729592</v>
      </c>
      <c r="C7062" s="1">
        <v>44469</v>
      </c>
    </row>
    <row r="7063" spans="1:3">
      <c r="A7063" t="s">
        <v>150</v>
      </c>
      <c r="B7063">
        <v>5.6862745097995999</v>
      </c>
      <c r="C7063" s="1">
        <v>44469</v>
      </c>
    </row>
    <row r="7064" spans="1:3">
      <c r="A7064" t="s">
        <v>152</v>
      </c>
      <c r="B7064">
        <v>15.8005982053718</v>
      </c>
      <c r="C7064" s="1">
        <v>44469</v>
      </c>
    </row>
    <row r="7065" spans="1:3">
      <c r="A7065" t="s">
        <v>154</v>
      </c>
      <c r="B7065">
        <v>12.4473246925794</v>
      </c>
      <c r="C7065" s="1">
        <v>44469</v>
      </c>
    </row>
    <row r="7066" spans="1:3">
      <c r="A7066" t="s">
        <v>156</v>
      </c>
      <c r="B7066">
        <v>18.9717514124149</v>
      </c>
      <c r="C7066" s="1">
        <v>44469</v>
      </c>
    </row>
    <row r="7067" spans="1:3">
      <c r="A7067" t="s">
        <v>158</v>
      </c>
      <c r="B7067">
        <v>86.700564971685495</v>
      </c>
      <c r="C7067" s="1">
        <v>44469</v>
      </c>
    </row>
    <row r="7068" spans="1:3">
      <c r="A7068" t="s">
        <v>160</v>
      </c>
      <c r="B7068">
        <v>11.6357593884923</v>
      </c>
      <c r="C7068" s="1">
        <v>44469</v>
      </c>
    </row>
    <row r="7069" spans="1:3">
      <c r="A7069" t="s">
        <v>162</v>
      </c>
      <c r="B7069">
        <v>11.4104353605762</v>
      </c>
      <c r="C7069" s="1">
        <v>44469</v>
      </c>
    </row>
    <row r="7070" spans="1:3">
      <c r="A7070" t="s">
        <v>164</v>
      </c>
      <c r="B7070">
        <v>8.1940844134201605</v>
      </c>
      <c r="C7070" s="1">
        <v>44469</v>
      </c>
    </row>
    <row r="7071" spans="1:3">
      <c r="A7071" t="s">
        <v>166</v>
      </c>
      <c r="B7071">
        <v>8.1741442339585593</v>
      </c>
      <c r="C7071" s="1">
        <v>44469</v>
      </c>
    </row>
    <row r="7072" spans="1:3">
      <c r="A7072" t="s">
        <v>168</v>
      </c>
      <c r="B7072">
        <v>12.602858092379901</v>
      </c>
      <c r="C7072" s="1">
        <v>44469</v>
      </c>
    </row>
    <row r="7073" spans="1:3">
      <c r="A7073" t="s">
        <v>4</v>
      </c>
      <c r="B7073">
        <v>0.23749999999923899</v>
      </c>
      <c r="C7073" s="1">
        <v>44500</v>
      </c>
    </row>
    <row r="7074" spans="1:3">
      <c r="A7074" t="s">
        <v>8</v>
      </c>
      <c r="B7074">
        <v>25.0394736841304</v>
      </c>
      <c r="C7074" s="1">
        <v>44500</v>
      </c>
    </row>
    <row r="7075" spans="1:3">
      <c r="A7075" t="s">
        <v>11</v>
      </c>
      <c r="B7075">
        <v>35.124999999887599</v>
      </c>
      <c r="C7075" s="1">
        <v>44500</v>
      </c>
    </row>
    <row r="7076" spans="1:3">
      <c r="A7076" t="s">
        <v>14</v>
      </c>
      <c r="B7076">
        <v>4.5394736841959897</v>
      </c>
      <c r="C7076" s="1">
        <v>44500</v>
      </c>
    </row>
    <row r="7077" spans="1:3">
      <c r="A7077" t="s">
        <v>17</v>
      </c>
      <c r="B7077">
        <v>12.367105263118299</v>
      </c>
      <c r="C7077" s="1">
        <v>44500</v>
      </c>
    </row>
    <row r="7078" spans="1:3">
      <c r="A7078" t="s">
        <v>20</v>
      </c>
      <c r="B7078">
        <v>0.43092105263019997</v>
      </c>
      <c r="C7078" s="1">
        <v>44500</v>
      </c>
    </row>
    <row r="7079" spans="1:3">
      <c r="A7079" t="s">
        <v>24</v>
      </c>
      <c r="B7079">
        <v>0.80921052631320001</v>
      </c>
      <c r="C7079" s="1">
        <v>44500</v>
      </c>
    </row>
    <row r="7080" spans="1:3">
      <c r="A7080" t="s">
        <v>27</v>
      </c>
      <c r="B7080">
        <v>37.8421052630368</v>
      </c>
      <c r="C7080" s="1">
        <v>44500</v>
      </c>
    </row>
    <row r="7081" spans="1:3">
      <c r="A7081" t="s">
        <v>29</v>
      </c>
      <c r="B7081">
        <v>1.59999999999488</v>
      </c>
      <c r="C7081" s="1">
        <v>44500</v>
      </c>
    </row>
    <row r="7082" spans="1:3">
      <c r="A7082" t="s">
        <v>32</v>
      </c>
      <c r="B7082">
        <v>8.9197368420767198</v>
      </c>
      <c r="C7082" s="1">
        <v>44500</v>
      </c>
    </row>
    <row r="7083" spans="1:3">
      <c r="A7083" t="s">
        <v>35</v>
      </c>
      <c r="B7083">
        <v>3.2230263157791601</v>
      </c>
      <c r="C7083" s="1">
        <v>44500</v>
      </c>
    </row>
    <row r="7084" spans="1:3">
      <c r="A7084" t="s">
        <v>37</v>
      </c>
      <c r="B7084">
        <v>0.36447368420935999</v>
      </c>
      <c r="C7084" s="1">
        <v>44500</v>
      </c>
    </row>
    <row r="7085" spans="1:3">
      <c r="A7085" t="s">
        <v>39</v>
      </c>
      <c r="B7085">
        <v>2.1480263157825998</v>
      </c>
      <c r="C7085" s="1">
        <v>44500</v>
      </c>
    </row>
    <row r="7086" spans="1:3">
      <c r="A7086" t="s">
        <v>42</v>
      </c>
      <c r="B7086">
        <v>3.3157894736735898</v>
      </c>
      <c r="C7086" s="1">
        <v>44500</v>
      </c>
    </row>
    <row r="7087" spans="1:3">
      <c r="A7087" t="s">
        <v>44</v>
      </c>
      <c r="B7087">
        <v>11.003289473649</v>
      </c>
      <c r="C7087" s="1">
        <v>44500</v>
      </c>
    </row>
    <row r="7088" spans="1:3">
      <c r="A7088" t="s">
        <v>47</v>
      </c>
      <c r="B7088">
        <v>7.0203947368196298</v>
      </c>
      <c r="C7088" s="1">
        <v>44500</v>
      </c>
    </row>
    <row r="7089" spans="1:3">
      <c r="A7089" t="s">
        <v>49</v>
      </c>
      <c r="B7089">
        <v>12.827631578906299</v>
      </c>
      <c r="C7089" s="1">
        <v>44500</v>
      </c>
    </row>
    <row r="7090" spans="1:3">
      <c r="A7090" t="s">
        <v>51</v>
      </c>
      <c r="B7090">
        <v>0.79934210526060001</v>
      </c>
      <c r="C7090" s="1">
        <v>44500</v>
      </c>
    </row>
    <row r="7091" spans="1:3">
      <c r="A7091" t="s">
        <v>53</v>
      </c>
      <c r="B7091">
        <v>0.62171052631379997</v>
      </c>
      <c r="C7091" s="1">
        <v>44500</v>
      </c>
    </row>
    <row r="7092" spans="1:3">
      <c r="A7092" t="s">
        <v>55</v>
      </c>
      <c r="B7092">
        <v>3.3296052631472399</v>
      </c>
      <c r="C7092" s="1">
        <v>44500</v>
      </c>
    </row>
    <row r="7093" spans="1:3">
      <c r="A7093" t="s">
        <v>57</v>
      </c>
      <c r="B7093">
        <v>3.3374999999893098</v>
      </c>
      <c r="C7093" s="1">
        <v>44500</v>
      </c>
    </row>
    <row r="7094" spans="1:3">
      <c r="A7094" t="s">
        <v>59</v>
      </c>
      <c r="B7094">
        <v>3.6842105263039899</v>
      </c>
      <c r="C7094" s="1">
        <v>44500</v>
      </c>
    </row>
    <row r="7095" spans="1:3">
      <c r="A7095" t="s">
        <v>61</v>
      </c>
      <c r="B7095">
        <v>112.28815789437699</v>
      </c>
      <c r="C7095" s="1">
        <v>44500</v>
      </c>
    </row>
    <row r="7096" spans="1:3">
      <c r="A7096" t="s">
        <v>63</v>
      </c>
      <c r="B7096">
        <v>11.644736842067999</v>
      </c>
      <c r="C7096" s="1">
        <v>44500</v>
      </c>
    </row>
    <row r="7097" spans="1:3">
      <c r="A7097" t="s">
        <v>65</v>
      </c>
      <c r="B7097">
        <v>0.29605263157799999</v>
      </c>
      <c r="C7097" s="1">
        <v>44500</v>
      </c>
    </row>
    <row r="7098" spans="1:3">
      <c r="A7098" t="s">
        <v>67</v>
      </c>
      <c r="B7098">
        <v>9.20592105260212</v>
      </c>
      <c r="C7098" s="1">
        <v>44500</v>
      </c>
    </row>
    <row r="7099" spans="1:3">
      <c r="A7099" t="s">
        <v>69</v>
      </c>
      <c r="B7099">
        <v>3.5473684210412801</v>
      </c>
      <c r="C7099" s="1">
        <v>44500</v>
      </c>
    </row>
    <row r="7100" spans="1:3">
      <c r="A7100" t="s">
        <v>71</v>
      </c>
      <c r="B7100">
        <v>1.2631578947327999</v>
      </c>
      <c r="C7100" s="1">
        <v>44500</v>
      </c>
    </row>
    <row r="7101" spans="1:3">
      <c r="A7101" t="s">
        <v>73</v>
      </c>
      <c r="B7101">
        <v>1.11249999999644</v>
      </c>
      <c r="C7101" s="1">
        <v>44500</v>
      </c>
    </row>
    <row r="7102" spans="1:3">
      <c r="A7102" t="s">
        <v>75</v>
      </c>
      <c r="B7102">
        <v>0.14013157894691999</v>
      </c>
      <c r="C7102" s="1">
        <v>44500</v>
      </c>
    </row>
    <row r="7103" spans="1:3">
      <c r="A7103" t="s">
        <v>77</v>
      </c>
      <c r="B7103">
        <v>0.85263157894464003</v>
      </c>
      <c r="C7103" s="1">
        <v>44500</v>
      </c>
    </row>
    <row r="7104" spans="1:3">
      <c r="A7104" t="s">
        <v>79</v>
      </c>
      <c r="B7104">
        <v>4.8460526315634302</v>
      </c>
      <c r="C7104" s="1">
        <v>44500</v>
      </c>
    </row>
    <row r="7105" spans="1:3">
      <c r="A7105" t="s">
        <v>81</v>
      </c>
      <c r="B7105">
        <v>7.03092105260908</v>
      </c>
      <c r="C7105" s="1">
        <v>44500</v>
      </c>
    </row>
    <row r="7106" spans="1:3">
      <c r="A7106" t="s">
        <v>83</v>
      </c>
      <c r="B7106">
        <v>0.310526315788479</v>
      </c>
      <c r="C7106" s="1">
        <v>44500</v>
      </c>
    </row>
    <row r="7107" spans="1:3">
      <c r="A7107" t="s">
        <v>85</v>
      </c>
      <c r="B7107">
        <v>1.9467105263095501</v>
      </c>
      <c r="C7107" s="1">
        <v>44500</v>
      </c>
    </row>
    <row r="7108" spans="1:3">
      <c r="A7108" t="s">
        <v>87</v>
      </c>
      <c r="B7108">
        <v>16.003289473633</v>
      </c>
      <c r="C7108" s="1">
        <v>44500</v>
      </c>
    </row>
    <row r="7109" spans="1:3">
      <c r="A7109" t="s">
        <v>89</v>
      </c>
      <c r="B7109">
        <v>4.7315789473532801</v>
      </c>
      <c r="C7109" s="1">
        <v>44500</v>
      </c>
    </row>
    <row r="7110" spans="1:3">
      <c r="A7110" t="s">
        <v>91</v>
      </c>
      <c r="B7110">
        <v>16.710526315736001</v>
      </c>
      <c r="C7110" s="1">
        <v>44500</v>
      </c>
    </row>
    <row r="7111" spans="1:3">
      <c r="A7111" t="s">
        <v>93</v>
      </c>
      <c r="B7111">
        <v>17.492763157838699</v>
      </c>
      <c r="C7111" s="1">
        <v>44500</v>
      </c>
    </row>
    <row r="7112" spans="1:3">
      <c r="A7112" t="s">
        <v>95</v>
      </c>
      <c r="B7112">
        <v>0.33749999999892</v>
      </c>
      <c r="C7112" s="1">
        <v>44500</v>
      </c>
    </row>
    <row r="7113" spans="1:3">
      <c r="A7113" t="s">
        <v>97</v>
      </c>
      <c r="B7113">
        <v>4.1671052631445598</v>
      </c>
      <c r="C7113" s="1">
        <v>44500</v>
      </c>
    </row>
    <row r="7114" spans="1:3">
      <c r="A7114" t="s">
        <v>99</v>
      </c>
      <c r="B7114">
        <v>4.0302631578818398</v>
      </c>
      <c r="C7114" s="1">
        <v>44500</v>
      </c>
    </row>
    <row r="7115" spans="1:3">
      <c r="A7115" t="s">
        <v>101</v>
      </c>
      <c r="B7115">
        <v>9.0085526315501205</v>
      </c>
      <c r="C7115" s="1">
        <v>44500</v>
      </c>
    </row>
    <row r="7116" spans="1:3">
      <c r="A7116" t="s">
        <v>105</v>
      </c>
      <c r="B7116">
        <v>0.35131578947255998</v>
      </c>
      <c r="C7116" s="1">
        <v>44500</v>
      </c>
    </row>
    <row r="7117" spans="1:3">
      <c r="A7117" t="s">
        <v>107</v>
      </c>
      <c r="B7117">
        <v>2.1210526315721601</v>
      </c>
      <c r="C7117" s="1">
        <v>44500</v>
      </c>
    </row>
    <row r="7118" spans="1:3">
      <c r="A7118" t="s">
        <v>109</v>
      </c>
      <c r="B7118">
        <v>3.65065789472516</v>
      </c>
      <c r="C7118" s="1">
        <v>44500</v>
      </c>
    </row>
    <row r="7119" spans="1:3">
      <c r="A7119" t="s">
        <v>111</v>
      </c>
      <c r="B7119">
        <v>7.3947368420816</v>
      </c>
      <c r="C7119" s="1">
        <v>44500</v>
      </c>
    </row>
    <row r="7120" spans="1:3">
      <c r="A7120" t="s">
        <v>113</v>
      </c>
      <c r="B7120">
        <v>8.5328947368147894</v>
      </c>
      <c r="C7120" s="1">
        <v>44500</v>
      </c>
    </row>
    <row r="7121" spans="1:3">
      <c r="A7121" t="s">
        <v>115</v>
      </c>
      <c r="B7121">
        <v>3.5467105263044298</v>
      </c>
      <c r="C7121" s="1">
        <v>44500</v>
      </c>
    </row>
    <row r="7122" spans="1:3">
      <c r="A7122" t="s">
        <v>117</v>
      </c>
      <c r="B7122">
        <v>3.9276315789348</v>
      </c>
      <c r="C7122" s="1">
        <v>44500</v>
      </c>
    </row>
    <row r="7123" spans="1:3">
      <c r="A7123" t="s">
        <v>119</v>
      </c>
      <c r="B7123">
        <v>30.539473684112799</v>
      </c>
      <c r="C7123" s="1">
        <v>44500</v>
      </c>
    </row>
    <row r="7124" spans="1:3">
      <c r="A7124" t="s">
        <v>121</v>
      </c>
      <c r="B7124">
        <v>8.8572368420769099</v>
      </c>
      <c r="C7124" s="1">
        <v>44500</v>
      </c>
    </row>
    <row r="7125" spans="1:3">
      <c r="A7125" t="s">
        <v>123</v>
      </c>
      <c r="B7125">
        <v>4.1282894736709999</v>
      </c>
      <c r="C7125" s="1">
        <v>44500</v>
      </c>
    </row>
    <row r="7126" spans="1:3">
      <c r="A7126" t="s">
        <v>125</v>
      </c>
      <c r="B7126">
        <v>170.40394736787499</v>
      </c>
      <c r="C7126" s="1">
        <v>44500</v>
      </c>
    </row>
    <row r="7127" spans="1:3">
      <c r="A7127" t="s">
        <v>127</v>
      </c>
      <c r="B7127">
        <v>9.0118421052343098</v>
      </c>
      <c r="C7127" s="1">
        <v>44500</v>
      </c>
    </row>
    <row r="7128" spans="1:3">
      <c r="A7128" t="s">
        <v>129</v>
      </c>
      <c r="B7128">
        <v>3.8164473684088298</v>
      </c>
      <c r="C7128" s="1">
        <v>44500</v>
      </c>
    </row>
    <row r="7129" spans="1:3">
      <c r="A7129" t="s">
        <v>131</v>
      </c>
      <c r="B7129">
        <v>2.7368421052544001</v>
      </c>
      <c r="C7129" s="1">
        <v>44500</v>
      </c>
    </row>
    <row r="7130" spans="1:3">
      <c r="A7130" t="s">
        <v>134</v>
      </c>
      <c r="B7130">
        <v>2.0999999999932801</v>
      </c>
      <c r="C7130" s="1">
        <v>44500</v>
      </c>
    </row>
    <row r="7131" spans="1:3">
      <c r="A7131" t="s">
        <v>136</v>
      </c>
      <c r="B7131">
        <v>11.940131578909099</v>
      </c>
      <c r="C7131" s="1">
        <v>44500</v>
      </c>
    </row>
    <row r="7132" spans="1:3">
      <c r="A7132" t="s">
        <v>138</v>
      </c>
      <c r="B7132">
        <v>12.591447368380701</v>
      </c>
      <c r="C7132" s="1">
        <v>44500</v>
      </c>
    </row>
    <row r="7133" spans="1:3">
      <c r="A7133" t="s">
        <v>140</v>
      </c>
      <c r="B7133">
        <v>18.344736842046501</v>
      </c>
      <c r="C7133" s="1">
        <v>44500</v>
      </c>
    </row>
    <row r="7134" spans="1:3">
      <c r="A7134" t="s">
        <v>142</v>
      </c>
      <c r="B7134">
        <v>4.6052631578799996</v>
      </c>
      <c r="C7134" s="1">
        <v>44500</v>
      </c>
    </row>
    <row r="7135" spans="1:3">
      <c r="A7135" t="s">
        <v>144</v>
      </c>
      <c r="B7135">
        <v>3.3361842105156398</v>
      </c>
      <c r="C7135" s="1">
        <v>44500</v>
      </c>
    </row>
    <row r="7136" spans="1:3">
      <c r="A7136" t="s">
        <v>146</v>
      </c>
      <c r="B7136">
        <v>3.06776315788492</v>
      </c>
      <c r="C7136" s="1">
        <v>44500</v>
      </c>
    </row>
    <row r="7137" spans="1:3">
      <c r="A7137" t="s">
        <v>148</v>
      </c>
      <c r="B7137">
        <v>8.9098684210241199</v>
      </c>
      <c r="C7137" s="1">
        <v>44500</v>
      </c>
    </row>
    <row r="7138" spans="1:3">
      <c r="A7138" t="s">
        <v>150</v>
      </c>
      <c r="B7138">
        <v>5.2039473684043998</v>
      </c>
      <c r="C7138" s="1">
        <v>44500</v>
      </c>
    </row>
    <row r="7139" spans="1:3">
      <c r="A7139" t="s">
        <v>152</v>
      </c>
      <c r="B7139">
        <v>18.768421052571501</v>
      </c>
      <c r="C7139" s="1">
        <v>44500</v>
      </c>
    </row>
    <row r="7140" spans="1:3">
      <c r="A7140" t="s">
        <v>154</v>
      </c>
      <c r="B7140">
        <v>12.675657894696201</v>
      </c>
      <c r="C7140" s="1">
        <v>44500</v>
      </c>
    </row>
    <row r="7141" spans="1:3">
      <c r="A7141" t="s">
        <v>156</v>
      </c>
      <c r="B7141">
        <v>16.882236842051199</v>
      </c>
      <c r="C7141" s="1">
        <v>44500</v>
      </c>
    </row>
    <row r="7142" spans="1:3">
      <c r="A7142" t="s">
        <v>158</v>
      </c>
      <c r="B7142">
        <v>101.53947368388501</v>
      </c>
      <c r="C7142" s="1">
        <v>44500</v>
      </c>
    </row>
    <row r="7143" spans="1:3">
      <c r="A7143" t="s">
        <v>160</v>
      </c>
      <c r="B7143">
        <v>11.4414473683844</v>
      </c>
      <c r="C7143" s="1">
        <v>44500</v>
      </c>
    </row>
    <row r="7144" spans="1:3">
      <c r="A7144" t="s">
        <v>162</v>
      </c>
      <c r="B7144">
        <v>13.025657894695099</v>
      </c>
      <c r="C7144" s="1">
        <v>44500</v>
      </c>
    </row>
    <row r="7145" spans="1:3">
      <c r="A7145" t="s">
        <v>164</v>
      </c>
      <c r="B7145">
        <v>9.4282894736540399</v>
      </c>
      <c r="C7145" s="1">
        <v>44500</v>
      </c>
    </row>
    <row r="7146" spans="1:3">
      <c r="A7146" t="s">
        <v>166</v>
      </c>
      <c r="B7146">
        <v>8.4401315789203597</v>
      </c>
      <c r="C7146" s="1">
        <v>44500</v>
      </c>
    </row>
    <row r="7147" spans="1:3">
      <c r="A7147" t="s">
        <v>168</v>
      </c>
      <c r="B7147">
        <v>13.3901315789045</v>
      </c>
      <c r="C7147" s="1">
        <v>44500</v>
      </c>
    </row>
    <row r="7148" spans="1:3">
      <c r="A7148" t="s">
        <v>4</v>
      </c>
      <c r="B7148">
        <v>0.24089242530634</v>
      </c>
      <c r="C7148" s="1">
        <v>44530</v>
      </c>
    </row>
    <row r="7149" spans="1:3">
      <c r="A7149" t="s">
        <v>8</v>
      </c>
      <c r="B7149">
        <v>23.022700678694701</v>
      </c>
      <c r="C7149" s="1">
        <v>44530</v>
      </c>
    </row>
    <row r="7150" spans="1:3">
      <c r="A7150" t="s">
        <v>11</v>
      </c>
      <c r="B7150">
        <v>33.7923394960821</v>
      </c>
      <c r="C7150" s="1">
        <v>44530</v>
      </c>
    </row>
    <row r="7151" spans="1:3">
      <c r="A7151" t="s">
        <v>14</v>
      </c>
      <c r="B7151">
        <v>5.0262891021172598</v>
      </c>
      <c r="C7151" s="1">
        <v>44530</v>
      </c>
    </row>
    <row r="7152" spans="1:3">
      <c r="A7152" t="s">
        <v>17</v>
      </c>
      <c r="B7152">
        <v>14.8229971136688</v>
      </c>
      <c r="C7152" s="1">
        <v>44530</v>
      </c>
    </row>
    <row r="7153" spans="1:3">
      <c r="A7153" t="s">
        <v>20</v>
      </c>
      <c r="B7153">
        <v>0.43061081207610002</v>
      </c>
      <c r="C7153" s="1">
        <v>44530</v>
      </c>
    </row>
    <row r="7154" spans="1:3">
      <c r="A7154" t="s">
        <v>24</v>
      </c>
      <c r="B7154">
        <v>0.74327170606179005</v>
      </c>
      <c r="C7154" s="1">
        <v>44530</v>
      </c>
    </row>
    <row r="7155" spans="1:3">
      <c r="A7155" t="s">
        <v>27</v>
      </c>
      <c r="B7155">
        <v>37.118027927319098</v>
      </c>
      <c r="C7155" s="1">
        <v>44530</v>
      </c>
    </row>
    <row r="7156" spans="1:3">
      <c r="A7156" t="s">
        <v>29</v>
      </c>
      <c r="B7156">
        <v>1.4603323192145901</v>
      </c>
      <c r="C7156" s="1">
        <v>44530</v>
      </c>
    </row>
    <row r="7157" spans="1:3">
      <c r="A7157" t="s">
        <v>32</v>
      </c>
      <c r="B7157">
        <v>8.33200717685218</v>
      </c>
      <c r="C7157" s="1">
        <v>44530</v>
      </c>
    </row>
    <row r="7158" spans="1:3">
      <c r="A7158" t="s">
        <v>35</v>
      </c>
      <c r="B7158">
        <v>2.77775177471118</v>
      </c>
      <c r="C7158" s="1">
        <v>44530</v>
      </c>
    </row>
    <row r="7159" spans="1:3">
      <c r="A7159" t="s">
        <v>37</v>
      </c>
      <c r="B7159">
        <v>0.30205164209396002</v>
      </c>
      <c r="C7159" s="1">
        <v>44530</v>
      </c>
    </row>
    <row r="7160" spans="1:3">
      <c r="A7160" t="s">
        <v>39</v>
      </c>
      <c r="B7160">
        <v>2.246665106484</v>
      </c>
      <c r="C7160" s="1">
        <v>44530</v>
      </c>
    </row>
    <row r="7161" spans="1:3">
      <c r="A7161" t="s">
        <v>42</v>
      </c>
      <c r="B7161">
        <v>3.19837740853625</v>
      </c>
      <c r="C7161" s="1">
        <v>44530</v>
      </c>
    </row>
    <row r="7162" spans="1:3">
      <c r="A7162" t="s">
        <v>44</v>
      </c>
      <c r="B7162">
        <v>9.4740619393148897</v>
      </c>
      <c r="C7162" s="1">
        <v>44530</v>
      </c>
    </row>
    <row r="7163" spans="1:3">
      <c r="A7163" t="s">
        <v>47</v>
      </c>
      <c r="B7163">
        <v>6.7231453311533702</v>
      </c>
      <c r="C7163" s="1">
        <v>44530</v>
      </c>
    </row>
    <row r="7164" spans="1:3">
      <c r="A7164" t="s">
        <v>49</v>
      </c>
      <c r="B7164">
        <v>10.147437397619299</v>
      </c>
      <c r="C7164" s="1">
        <v>44530</v>
      </c>
    </row>
    <row r="7165" spans="1:3">
      <c r="A7165" t="s">
        <v>51</v>
      </c>
      <c r="B7165">
        <v>0.78071612450318995</v>
      </c>
      <c r="C7165" s="1">
        <v>44530</v>
      </c>
    </row>
    <row r="7166" spans="1:3">
      <c r="A7166" t="s">
        <v>53</v>
      </c>
      <c r="B7166">
        <v>0.57726811763825003</v>
      </c>
      <c r="C7166" s="1">
        <v>44530</v>
      </c>
    </row>
    <row r="7167" spans="1:3">
      <c r="A7167" t="s">
        <v>55</v>
      </c>
      <c r="B7167">
        <v>3.4086902254487699</v>
      </c>
      <c r="C7167" s="1">
        <v>44530</v>
      </c>
    </row>
    <row r="7168" spans="1:3">
      <c r="A7168" t="s">
        <v>57</v>
      </c>
      <c r="B7168">
        <v>3.26515328809008</v>
      </c>
      <c r="C7168" s="1">
        <v>44530</v>
      </c>
    </row>
    <row r="7169" spans="1:3">
      <c r="A7169" t="s">
        <v>59</v>
      </c>
      <c r="B7169">
        <v>3.4866994305350301</v>
      </c>
      <c r="C7169" s="1">
        <v>44530</v>
      </c>
    </row>
    <row r="7170" spans="1:3">
      <c r="A7170" t="s">
        <v>61</v>
      </c>
      <c r="B7170">
        <v>113.768624697787</v>
      </c>
      <c r="C7170" s="1">
        <v>44530</v>
      </c>
    </row>
    <row r="7171" spans="1:3">
      <c r="A7171" t="s">
        <v>63</v>
      </c>
      <c r="B7171">
        <v>10.6204852172624</v>
      </c>
      <c r="C7171" s="1">
        <v>44530</v>
      </c>
    </row>
    <row r="7172" spans="1:3">
      <c r="A7172" t="s">
        <v>65</v>
      </c>
      <c r="B7172">
        <v>0.31203682034500002</v>
      </c>
      <c r="C7172" s="1">
        <v>44530</v>
      </c>
    </row>
    <row r="7173" spans="1:3">
      <c r="A7173" t="s">
        <v>67</v>
      </c>
      <c r="B7173">
        <v>8.3176534831163202</v>
      </c>
      <c r="C7173" s="1">
        <v>44530</v>
      </c>
    </row>
    <row r="7174" spans="1:3">
      <c r="A7174" t="s">
        <v>69</v>
      </c>
      <c r="B7174">
        <v>3.1028941415106801</v>
      </c>
      <c r="C7174" s="1">
        <v>44530</v>
      </c>
    </row>
    <row r="7175" spans="1:3">
      <c r="A7175" t="s">
        <v>71</v>
      </c>
      <c r="B7175">
        <v>1.06966222014266</v>
      </c>
      <c r="C7175" s="1">
        <v>44530</v>
      </c>
    </row>
    <row r="7176" spans="1:3">
      <c r="A7176" t="s">
        <v>73</v>
      </c>
      <c r="B7176">
        <v>0.89741789531222005</v>
      </c>
      <c r="C7176" s="1">
        <v>44530</v>
      </c>
    </row>
    <row r="7177" spans="1:3">
      <c r="A7177" t="s">
        <v>75</v>
      </c>
      <c r="B7177">
        <v>0.14041656915525</v>
      </c>
      <c r="C7177" s="1">
        <v>44530</v>
      </c>
    </row>
    <row r="7178" spans="1:3">
      <c r="A7178" t="s">
        <v>77</v>
      </c>
      <c r="B7178">
        <v>0.83313831032114904</v>
      </c>
      <c r="C7178" s="1">
        <v>44530</v>
      </c>
    </row>
    <row r="7179" spans="1:3">
      <c r="A7179" t="s">
        <v>79</v>
      </c>
      <c r="B7179">
        <v>4.2437007566920002</v>
      </c>
      <c r="C7179" s="1">
        <v>44530</v>
      </c>
    </row>
    <row r="7180" spans="1:3">
      <c r="A7180" t="s">
        <v>81</v>
      </c>
      <c r="B7180">
        <v>6.6775879553830002</v>
      </c>
      <c r="C7180" s="1">
        <v>44530</v>
      </c>
    </row>
    <row r="7181" spans="1:3">
      <c r="A7181" t="s">
        <v>83</v>
      </c>
      <c r="B7181">
        <v>0.26523129729325001</v>
      </c>
      <c r="C7181" s="1">
        <v>44530</v>
      </c>
    </row>
    <row r="7182" spans="1:3">
      <c r="A7182" t="s">
        <v>85</v>
      </c>
      <c r="B7182">
        <v>2.0120134175845599</v>
      </c>
      <c r="C7182" s="1">
        <v>44530</v>
      </c>
    </row>
    <row r="7183" spans="1:3">
      <c r="A7183" t="s">
        <v>87</v>
      </c>
      <c r="B7183">
        <v>14.869178563079901</v>
      </c>
      <c r="C7183" s="1">
        <v>44530</v>
      </c>
    </row>
    <row r="7184" spans="1:3">
      <c r="A7184" t="s">
        <v>89</v>
      </c>
      <c r="B7184">
        <v>4.7248615336639803</v>
      </c>
      <c r="C7184" s="1">
        <v>44530</v>
      </c>
    </row>
    <row r="7185" spans="1:3">
      <c r="A7185" t="s">
        <v>91</v>
      </c>
      <c r="B7185">
        <v>16.0349481238888</v>
      </c>
      <c r="C7185" s="1">
        <v>44530</v>
      </c>
    </row>
    <row r="7186" spans="1:3">
      <c r="A7186" t="s">
        <v>93</v>
      </c>
      <c r="B7186">
        <v>14.495358452306601</v>
      </c>
      <c r="C7186" s="1">
        <v>44530</v>
      </c>
    </row>
    <row r="7187" spans="1:3">
      <c r="A7187" t="s">
        <v>95</v>
      </c>
      <c r="B7187">
        <v>0.29081831656154</v>
      </c>
      <c r="C7187" s="1">
        <v>44530</v>
      </c>
    </row>
    <row r="7188" spans="1:3">
      <c r="A7188" t="s">
        <v>97</v>
      </c>
      <c r="B7188">
        <v>4.0321397924980902</v>
      </c>
      <c r="C7188" s="1">
        <v>44530</v>
      </c>
    </row>
    <row r="7189" spans="1:3">
      <c r="A7189" t="s">
        <v>99</v>
      </c>
      <c r="B7189">
        <v>3.6820344800710001</v>
      </c>
      <c r="C7189" s="1">
        <v>44530</v>
      </c>
    </row>
    <row r="7190" spans="1:3">
      <c r="A7190" t="s">
        <v>101</v>
      </c>
      <c r="B7190">
        <v>8.7058272876254996</v>
      </c>
      <c r="C7190" s="1">
        <v>44530</v>
      </c>
    </row>
    <row r="7191" spans="1:3">
      <c r="A7191" t="s">
        <v>105</v>
      </c>
      <c r="B7191">
        <v>0.31266089398568903</v>
      </c>
      <c r="C7191" s="1">
        <v>44530</v>
      </c>
    </row>
    <row r="7192" spans="1:3">
      <c r="A7192" t="s">
        <v>107</v>
      </c>
      <c r="B7192">
        <v>1.5913877837595001</v>
      </c>
      <c r="C7192" s="1">
        <v>44530</v>
      </c>
    </row>
    <row r="7193" spans="1:3">
      <c r="A7193" t="s">
        <v>109</v>
      </c>
      <c r="B7193">
        <v>4.2686637023195999</v>
      </c>
      <c r="C7193" s="1">
        <v>44530</v>
      </c>
    </row>
    <row r="7194" spans="1:3">
      <c r="A7194" t="s">
        <v>111</v>
      </c>
      <c r="B7194">
        <v>7.0520321397970003</v>
      </c>
      <c r="C7194" s="1">
        <v>44530</v>
      </c>
    </row>
    <row r="7195" spans="1:3">
      <c r="A7195" t="s">
        <v>113</v>
      </c>
      <c r="B7195">
        <v>7.5462984632234802</v>
      </c>
      <c r="C7195" s="1">
        <v>44530</v>
      </c>
    </row>
    <row r="7196" spans="1:3">
      <c r="A7196" t="s">
        <v>115</v>
      </c>
      <c r="B7196">
        <v>3.2202199859604002</v>
      </c>
      <c r="C7196" s="1">
        <v>44530</v>
      </c>
    </row>
    <row r="7197" spans="1:3">
      <c r="A7197" t="s">
        <v>117</v>
      </c>
      <c r="B7197">
        <v>3.3181995475487298</v>
      </c>
      <c r="C7197" s="1">
        <v>44530</v>
      </c>
    </row>
    <row r="7198" spans="1:3">
      <c r="A7198" t="s">
        <v>119</v>
      </c>
      <c r="B7198">
        <v>28.301739605291498</v>
      </c>
      <c r="C7198" s="1">
        <v>44530</v>
      </c>
    </row>
    <row r="7199" spans="1:3">
      <c r="A7199" t="s">
        <v>121</v>
      </c>
      <c r="B7199">
        <v>7.8333723379408697</v>
      </c>
      <c r="C7199" s="1">
        <v>44530</v>
      </c>
    </row>
    <row r="7200" spans="1:3">
      <c r="A7200" t="s">
        <v>123</v>
      </c>
      <c r="B7200">
        <v>3.4573679694226001</v>
      </c>
      <c r="C7200" s="1">
        <v>44530</v>
      </c>
    </row>
    <row r="7201" spans="1:3">
      <c r="A7201" t="s">
        <v>125</v>
      </c>
      <c r="B7201">
        <v>153.412278648978</v>
      </c>
      <c r="C7201" s="1">
        <v>44530</v>
      </c>
    </row>
    <row r="7202" spans="1:3">
      <c r="A7202" t="s">
        <v>127</v>
      </c>
      <c r="B7202">
        <v>10.0844059599097</v>
      </c>
      <c r="C7202" s="1">
        <v>44530</v>
      </c>
    </row>
    <row r="7203" spans="1:3">
      <c r="A7203" t="s">
        <v>129</v>
      </c>
      <c r="B7203">
        <v>3.4842031359722698</v>
      </c>
      <c r="C7203" s="1">
        <v>44530</v>
      </c>
    </row>
    <row r="7204" spans="1:3">
      <c r="A7204" t="s">
        <v>131</v>
      </c>
      <c r="B7204">
        <v>2.3402761525875002</v>
      </c>
      <c r="C7204" s="1">
        <v>44530</v>
      </c>
    </row>
    <row r="7205" spans="1:3">
      <c r="A7205" t="s">
        <v>134</v>
      </c>
      <c r="B7205">
        <v>2.0469615414631899</v>
      </c>
      <c r="C7205" s="1">
        <v>44530</v>
      </c>
    </row>
    <row r="7206" spans="1:3">
      <c r="A7206" t="s">
        <v>136</v>
      </c>
      <c r="B7206">
        <v>12.304235899844</v>
      </c>
      <c r="C7206" s="1">
        <v>44530</v>
      </c>
    </row>
    <row r="7207" spans="1:3">
      <c r="A7207" t="s">
        <v>138</v>
      </c>
      <c r="B7207">
        <v>11.2832514236752</v>
      </c>
      <c r="C7207" s="1">
        <v>44530</v>
      </c>
    </row>
    <row r="7208" spans="1:3">
      <c r="A7208" t="s">
        <v>140</v>
      </c>
      <c r="B7208">
        <v>17.692487713561501</v>
      </c>
      <c r="C7208" s="1">
        <v>44530</v>
      </c>
    </row>
    <row r="7209" spans="1:3">
      <c r="A7209" t="s">
        <v>142</v>
      </c>
      <c r="B7209">
        <v>5.0393946485717498</v>
      </c>
      <c r="C7209" s="1">
        <v>44530</v>
      </c>
    </row>
    <row r="7210" spans="1:3">
      <c r="A7210" t="s">
        <v>144</v>
      </c>
      <c r="B7210">
        <v>3.0267571573465002</v>
      </c>
      <c r="C7210" s="1">
        <v>44530</v>
      </c>
    </row>
    <row r="7211" spans="1:3">
      <c r="A7211" t="s">
        <v>146</v>
      </c>
      <c r="B7211">
        <v>2.7914813948063699</v>
      </c>
      <c r="C7211" s="1">
        <v>44530</v>
      </c>
    </row>
    <row r="7212" spans="1:3">
      <c r="A7212" t="s">
        <v>148</v>
      </c>
      <c r="B7212">
        <v>8.0904906779051498</v>
      </c>
      <c r="C7212" s="1">
        <v>44530</v>
      </c>
    </row>
    <row r="7213" spans="1:3">
      <c r="A7213" t="s">
        <v>150</v>
      </c>
      <c r="B7213">
        <v>5.0281613230393196</v>
      </c>
      <c r="C7213" s="1">
        <v>44530</v>
      </c>
    </row>
    <row r="7214" spans="1:3">
      <c r="A7214" t="s">
        <v>152</v>
      </c>
      <c r="B7214">
        <v>21.536157266571202</v>
      </c>
      <c r="C7214" s="1">
        <v>44530</v>
      </c>
    </row>
    <row r="7215" spans="1:3">
      <c r="A7215" t="s">
        <v>154</v>
      </c>
      <c r="B7215">
        <v>11.1852718620868</v>
      </c>
      <c r="C7215" s="1">
        <v>44530</v>
      </c>
    </row>
    <row r="7216" spans="1:3">
      <c r="A7216" t="s">
        <v>156</v>
      </c>
      <c r="B7216">
        <v>16.559794055709101</v>
      </c>
      <c r="C7216" s="1">
        <v>44530</v>
      </c>
    </row>
    <row r="7217" spans="1:3">
      <c r="A7217" t="s">
        <v>158</v>
      </c>
      <c r="B7217">
        <v>106.153054060446</v>
      </c>
      <c r="C7217" s="1">
        <v>44530</v>
      </c>
    </row>
    <row r="7218" spans="1:3">
      <c r="A7218" t="s">
        <v>160</v>
      </c>
      <c r="B7218">
        <v>10.308448396917401</v>
      </c>
      <c r="C7218" s="1">
        <v>44530</v>
      </c>
    </row>
    <row r="7219" spans="1:3">
      <c r="A7219" t="s">
        <v>162</v>
      </c>
      <c r="B7219">
        <v>12.628130119362099</v>
      </c>
      <c r="C7219" s="1">
        <v>44530</v>
      </c>
    </row>
    <row r="7220" spans="1:3">
      <c r="A7220" t="s">
        <v>164</v>
      </c>
      <c r="B7220">
        <v>11.7513066541927</v>
      </c>
      <c r="C7220" s="1">
        <v>44530</v>
      </c>
    </row>
    <row r="7221" spans="1:3">
      <c r="A7221" t="s">
        <v>166</v>
      </c>
      <c r="B7221">
        <v>9.4359934472328</v>
      </c>
      <c r="C7221" s="1">
        <v>44530</v>
      </c>
    </row>
    <row r="7222" spans="1:3">
      <c r="A7222" t="s">
        <v>168</v>
      </c>
      <c r="B7222">
        <v>12.8565410718546</v>
      </c>
      <c r="C7222" s="1">
        <v>44530</v>
      </c>
    </row>
    <row r="7223" spans="1:3">
      <c r="A7223" t="s">
        <v>4</v>
      </c>
      <c r="B7223">
        <v>0.24060150375935899</v>
      </c>
      <c r="C7223" s="1">
        <v>44561</v>
      </c>
    </row>
    <row r="7224" spans="1:3">
      <c r="A7224" t="s">
        <v>8</v>
      </c>
      <c r="B7224">
        <v>24.7587719298206</v>
      </c>
      <c r="C7224" s="1">
        <v>44561</v>
      </c>
    </row>
    <row r="7225" spans="1:3">
      <c r="A7225" t="s">
        <v>11</v>
      </c>
      <c r="B7225">
        <v>36.711152882199599</v>
      </c>
      <c r="C7225" s="1">
        <v>44561</v>
      </c>
    </row>
    <row r="7226" spans="1:3">
      <c r="A7226" t="s">
        <v>14</v>
      </c>
      <c r="B7226">
        <v>5.4317042606507604</v>
      </c>
      <c r="C7226" s="1">
        <v>44561</v>
      </c>
    </row>
    <row r="7227" spans="1:3">
      <c r="A7227" t="s">
        <v>17</v>
      </c>
      <c r="B7227">
        <v>15.122807017541399</v>
      </c>
      <c r="C7227" s="1">
        <v>44561</v>
      </c>
    </row>
    <row r="7228" spans="1:3">
      <c r="A7228" t="s">
        <v>20</v>
      </c>
      <c r="B7228">
        <v>0.50062656641596004</v>
      </c>
      <c r="C7228" s="1">
        <v>44561</v>
      </c>
    </row>
    <row r="7229" spans="1:3">
      <c r="A7229" t="s">
        <v>24</v>
      </c>
      <c r="B7229">
        <v>0.78007518796980002</v>
      </c>
      <c r="C7229" s="1">
        <v>44561</v>
      </c>
    </row>
    <row r="7230" spans="1:3">
      <c r="A7230" t="s">
        <v>27</v>
      </c>
      <c r="B7230">
        <v>40.834586466158797</v>
      </c>
      <c r="C7230" s="1">
        <v>44561</v>
      </c>
    </row>
    <row r="7231" spans="1:3">
      <c r="A7231" t="s">
        <v>29</v>
      </c>
      <c r="B7231">
        <v>1.5056390977441201</v>
      </c>
      <c r="C7231" s="1">
        <v>44561</v>
      </c>
    </row>
    <row r="7232" spans="1:3">
      <c r="A7232" t="s">
        <v>32</v>
      </c>
      <c r="B7232">
        <v>8.4348370927304792</v>
      </c>
      <c r="C7232" s="1">
        <v>44561</v>
      </c>
    </row>
    <row r="7233" spans="1:3">
      <c r="A7233" t="s">
        <v>35</v>
      </c>
      <c r="B7233">
        <v>3.1610275689218001</v>
      </c>
      <c r="C7233" s="1">
        <v>44561</v>
      </c>
    </row>
    <row r="7234" spans="1:3">
      <c r="A7234" t="s">
        <v>37</v>
      </c>
      <c r="B7234">
        <v>0.31892230576435998</v>
      </c>
      <c r="C7234" s="1">
        <v>44561</v>
      </c>
    </row>
    <row r="7235" spans="1:3">
      <c r="A7235" t="s">
        <v>39</v>
      </c>
      <c r="B7235">
        <v>2.4937343358391999</v>
      </c>
      <c r="C7235" s="1">
        <v>44561</v>
      </c>
    </row>
    <row r="7236" spans="1:3">
      <c r="A7236" t="s">
        <v>42</v>
      </c>
      <c r="B7236">
        <v>3.59837092731772</v>
      </c>
      <c r="C7236" s="1">
        <v>44561</v>
      </c>
    </row>
    <row r="7237" spans="1:3">
      <c r="A7237" t="s">
        <v>44</v>
      </c>
      <c r="B7237">
        <v>9.5783208020034802</v>
      </c>
      <c r="C7237" s="1">
        <v>44561</v>
      </c>
    </row>
    <row r="7238" spans="1:3">
      <c r="A7238" t="s">
        <v>47</v>
      </c>
      <c r="B7238">
        <v>7.0175438596479998</v>
      </c>
      <c r="C7238" s="1">
        <v>44561</v>
      </c>
    </row>
    <row r="7239" spans="1:3">
      <c r="A7239" t="s">
        <v>49</v>
      </c>
      <c r="B7239">
        <v>10.471177944860401</v>
      </c>
      <c r="C7239" s="1">
        <v>44561</v>
      </c>
    </row>
    <row r="7240" spans="1:3">
      <c r="A7240" t="s">
        <v>51</v>
      </c>
      <c r="B7240">
        <v>0.77506265664148</v>
      </c>
      <c r="C7240" s="1">
        <v>44561</v>
      </c>
    </row>
    <row r="7241" spans="1:3">
      <c r="A7241" t="s">
        <v>53</v>
      </c>
      <c r="B7241">
        <v>0.59523809523799998</v>
      </c>
      <c r="C7241" s="1">
        <v>44561</v>
      </c>
    </row>
    <row r="7242" spans="1:3">
      <c r="A7242" t="s">
        <v>55</v>
      </c>
      <c r="B7242">
        <v>3.2919799498741602</v>
      </c>
      <c r="C7242" s="1">
        <v>44561</v>
      </c>
    </row>
    <row r="7243" spans="1:3">
      <c r="A7243" t="s">
        <v>57</v>
      </c>
      <c r="B7243">
        <v>3.3884711779443202</v>
      </c>
      <c r="C7243" s="1">
        <v>44561</v>
      </c>
    </row>
    <row r="7244" spans="1:3">
      <c r="A7244" t="s">
        <v>59</v>
      </c>
      <c r="B7244">
        <v>3.7437343358390001</v>
      </c>
      <c r="C7244" s="1">
        <v>44561</v>
      </c>
    </row>
    <row r="7245" spans="1:3">
      <c r="A7245" t="s">
        <v>61</v>
      </c>
      <c r="B7245">
        <v>127.807017543839</v>
      </c>
      <c r="C7245" s="1">
        <v>44561</v>
      </c>
    </row>
    <row r="7246" spans="1:3">
      <c r="A7246" t="s">
        <v>63</v>
      </c>
      <c r="B7246">
        <v>10.8176691729306</v>
      </c>
      <c r="C7246" s="1">
        <v>44561</v>
      </c>
    </row>
    <row r="7247" spans="1:3">
      <c r="A7247" t="s">
        <v>65</v>
      </c>
      <c r="B7247">
        <v>0.27568922305760002</v>
      </c>
      <c r="C7247" s="1">
        <v>44561</v>
      </c>
    </row>
    <row r="7248" spans="1:3">
      <c r="A7248" t="s">
        <v>67</v>
      </c>
      <c r="B7248">
        <v>8.9956140350862803</v>
      </c>
      <c r="C7248" s="1">
        <v>44561</v>
      </c>
    </row>
    <row r="7249" spans="1:3">
      <c r="A7249" t="s">
        <v>69</v>
      </c>
      <c r="B7249">
        <v>3.2738095238090001</v>
      </c>
      <c r="C7249" s="1">
        <v>44561</v>
      </c>
    </row>
    <row r="7250" spans="1:3">
      <c r="A7250" t="s">
        <v>71</v>
      </c>
      <c r="B7250">
        <v>1.1015037593983199</v>
      </c>
      <c r="C7250" s="1">
        <v>44561</v>
      </c>
    </row>
    <row r="7251" spans="1:3">
      <c r="A7251" t="s">
        <v>73</v>
      </c>
      <c r="B7251">
        <v>0.99498746867151999</v>
      </c>
      <c r="C7251" s="1">
        <v>44561</v>
      </c>
    </row>
    <row r="7252" spans="1:3">
      <c r="A7252" t="s">
        <v>75</v>
      </c>
      <c r="B7252">
        <v>0.1472431077694</v>
      </c>
      <c r="C7252" s="1">
        <v>44561</v>
      </c>
    </row>
    <row r="7253" spans="1:3">
      <c r="A7253" t="s">
        <v>77</v>
      </c>
      <c r="B7253">
        <v>0.96303258145348003</v>
      </c>
      <c r="C7253" s="1">
        <v>44561</v>
      </c>
    </row>
    <row r="7254" spans="1:3">
      <c r="A7254" t="s">
        <v>79</v>
      </c>
      <c r="B7254">
        <v>4.8972431077686398</v>
      </c>
      <c r="C7254" s="1">
        <v>44561</v>
      </c>
    </row>
    <row r="7255" spans="1:3">
      <c r="A7255" t="s">
        <v>81</v>
      </c>
      <c r="B7255">
        <v>7.0977443609011202</v>
      </c>
      <c r="C7255" s="1">
        <v>44561</v>
      </c>
    </row>
    <row r="7256" spans="1:3">
      <c r="A7256" t="s">
        <v>83</v>
      </c>
      <c r="B7256">
        <v>0.27380952380947998</v>
      </c>
      <c r="C7256" s="1">
        <v>44561</v>
      </c>
    </row>
    <row r="7257" spans="1:3">
      <c r="A7257" t="s">
        <v>85</v>
      </c>
      <c r="B7257">
        <v>2.3339598997489999</v>
      </c>
      <c r="C7257" s="1">
        <v>44561</v>
      </c>
    </row>
    <row r="7258" spans="1:3">
      <c r="A7258" t="s">
        <v>87</v>
      </c>
      <c r="B7258">
        <v>14.0626566416017</v>
      </c>
      <c r="C7258" s="1">
        <v>44561</v>
      </c>
    </row>
    <row r="7259" spans="1:3">
      <c r="A7259" t="s">
        <v>89</v>
      </c>
      <c r="B7259">
        <v>4.6365914786960003</v>
      </c>
      <c r="C7259" s="1">
        <v>44561</v>
      </c>
    </row>
    <row r="7260" spans="1:3">
      <c r="A7260" t="s">
        <v>91</v>
      </c>
      <c r="B7260">
        <v>16.854636591476002</v>
      </c>
      <c r="C7260" s="1">
        <v>44561</v>
      </c>
    </row>
    <row r="7261" spans="1:3">
      <c r="A7261" t="s">
        <v>93</v>
      </c>
      <c r="B7261">
        <v>16.352130325811899</v>
      </c>
      <c r="C7261" s="1">
        <v>44561</v>
      </c>
    </row>
    <row r="7262" spans="1:3">
      <c r="A7262" t="s">
        <v>95</v>
      </c>
      <c r="B7262">
        <v>0.31015037593979999</v>
      </c>
      <c r="C7262" s="1">
        <v>44561</v>
      </c>
    </row>
    <row r="7263" spans="1:3">
      <c r="A7263" t="s">
        <v>97</v>
      </c>
      <c r="B7263">
        <v>4.01065162907204</v>
      </c>
      <c r="C7263" s="1">
        <v>44561</v>
      </c>
    </row>
    <row r="7264" spans="1:3">
      <c r="A7264" t="s">
        <v>99</v>
      </c>
      <c r="B7264">
        <v>3.4799498746861599</v>
      </c>
      <c r="C7264" s="1">
        <v>44561</v>
      </c>
    </row>
    <row r="7265" spans="1:3">
      <c r="A7265" t="s">
        <v>101</v>
      </c>
      <c r="B7265">
        <v>8.2612781954873995</v>
      </c>
      <c r="C7265" s="1">
        <v>44561</v>
      </c>
    </row>
    <row r="7266" spans="1:3">
      <c r="A7266" t="s">
        <v>105</v>
      </c>
      <c r="B7266">
        <v>0.31641604010020002</v>
      </c>
      <c r="C7266" s="1">
        <v>44561</v>
      </c>
    </row>
    <row r="7267" spans="1:3">
      <c r="A7267" t="s">
        <v>107</v>
      </c>
      <c r="B7267">
        <v>1.7825814536338001</v>
      </c>
      <c r="C7267" s="1">
        <v>44561</v>
      </c>
    </row>
    <row r="7268" spans="1:3">
      <c r="A7268" t="s">
        <v>109</v>
      </c>
      <c r="B7268">
        <v>4.1729323308263897</v>
      </c>
      <c r="C7268" s="1">
        <v>44561</v>
      </c>
    </row>
    <row r="7269" spans="1:3">
      <c r="A7269" t="s">
        <v>111</v>
      </c>
      <c r="B7269">
        <v>7.0175438596479998</v>
      </c>
      <c r="C7269" s="1">
        <v>44561</v>
      </c>
    </row>
    <row r="7270" spans="1:3">
      <c r="A7270" t="s">
        <v>113</v>
      </c>
      <c r="B7270">
        <v>7.7631578947355999</v>
      </c>
      <c r="C7270" s="1">
        <v>44561</v>
      </c>
    </row>
    <row r="7271" spans="1:3">
      <c r="A7271" t="s">
        <v>115</v>
      </c>
      <c r="B7271">
        <v>3.2493734335834401</v>
      </c>
      <c r="C7271" s="1">
        <v>44561</v>
      </c>
    </row>
    <row r="7272" spans="1:3">
      <c r="A7272" t="s">
        <v>117</v>
      </c>
      <c r="B7272">
        <v>3.2875939849618798</v>
      </c>
      <c r="C7272" s="1">
        <v>44561</v>
      </c>
    </row>
    <row r="7273" spans="1:3">
      <c r="A7273" t="s">
        <v>119</v>
      </c>
      <c r="B7273">
        <v>28.8276942355843</v>
      </c>
      <c r="C7273" s="1">
        <v>44561</v>
      </c>
    </row>
    <row r="7274" spans="1:3">
      <c r="A7274" t="s">
        <v>121</v>
      </c>
      <c r="B7274">
        <v>8.2174185463646001</v>
      </c>
      <c r="C7274" s="1">
        <v>44561</v>
      </c>
    </row>
    <row r="7275" spans="1:3">
      <c r="A7275" t="s">
        <v>123</v>
      </c>
      <c r="B7275">
        <v>3.71929824561344</v>
      </c>
      <c r="C7275" s="1">
        <v>44561</v>
      </c>
    </row>
    <row r="7276" spans="1:3">
      <c r="A7276" t="s">
        <v>125</v>
      </c>
      <c r="B7276">
        <v>154.88721804508799</v>
      </c>
      <c r="C7276" s="1">
        <v>44561</v>
      </c>
    </row>
    <row r="7277" spans="1:3">
      <c r="A7277" t="s">
        <v>127</v>
      </c>
      <c r="B7277">
        <v>10.696115288218801</v>
      </c>
      <c r="C7277" s="1">
        <v>44561</v>
      </c>
    </row>
    <row r="7278" spans="1:3">
      <c r="A7278" t="s">
        <v>129</v>
      </c>
      <c r="B7278">
        <v>3.8095238095232</v>
      </c>
      <c r="C7278" s="1">
        <v>44561</v>
      </c>
    </row>
    <row r="7279" spans="1:3">
      <c r="A7279" t="s">
        <v>131</v>
      </c>
      <c r="B7279">
        <v>2.4122807017539998</v>
      </c>
      <c r="C7279" s="1">
        <v>44561</v>
      </c>
    </row>
    <row r="7280" spans="1:3">
      <c r="A7280" t="s">
        <v>134</v>
      </c>
      <c r="B7280">
        <v>2.1309523809520399</v>
      </c>
      <c r="C7280" s="1">
        <v>44561</v>
      </c>
    </row>
    <row r="7281" spans="1:3">
      <c r="A7281" t="s">
        <v>136</v>
      </c>
      <c r="B7281">
        <v>13.087719298243501</v>
      </c>
      <c r="C7281" s="1">
        <v>44561</v>
      </c>
    </row>
    <row r="7282" spans="1:3">
      <c r="A7282" t="s">
        <v>138</v>
      </c>
      <c r="B7282">
        <v>11.870300751877799</v>
      </c>
      <c r="C7282" s="1">
        <v>44561</v>
      </c>
    </row>
    <row r="7283" spans="1:3">
      <c r="A7283" t="s">
        <v>140</v>
      </c>
      <c r="B7283">
        <v>19.7700501253101</v>
      </c>
      <c r="C7283" s="1">
        <v>44561</v>
      </c>
    </row>
    <row r="7284" spans="1:3">
      <c r="A7284" t="s">
        <v>142</v>
      </c>
      <c r="B7284">
        <v>5.4855889724302003</v>
      </c>
      <c r="C7284" s="1">
        <v>44561</v>
      </c>
    </row>
    <row r="7285" spans="1:3">
      <c r="A7285" t="s">
        <v>144</v>
      </c>
      <c r="B7285">
        <v>3.3208020050120002</v>
      </c>
      <c r="C7285" s="1">
        <v>44561</v>
      </c>
    </row>
    <row r="7286" spans="1:3">
      <c r="A7286" t="s">
        <v>146</v>
      </c>
      <c r="B7286">
        <v>2.8609022556386399</v>
      </c>
      <c r="C7286" s="1">
        <v>44561</v>
      </c>
    </row>
    <row r="7287" spans="1:3">
      <c r="A7287" t="s">
        <v>148</v>
      </c>
      <c r="B7287">
        <v>8.77255639097603</v>
      </c>
      <c r="C7287" s="1">
        <v>44561</v>
      </c>
    </row>
    <row r="7288" spans="1:3">
      <c r="A7288" t="s">
        <v>150</v>
      </c>
      <c r="B7288">
        <v>4.6303258145355999</v>
      </c>
      <c r="C7288" s="1">
        <v>44561</v>
      </c>
    </row>
    <row r="7289" spans="1:3">
      <c r="A7289" t="s">
        <v>152</v>
      </c>
      <c r="B7289">
        <v>20.595238095234802</v>
      </c>
      <c r="C7289" s="1">
        <v>44561</v>
      </c>
    </row>
    <row r="7290" spans="1:3">
      <c r="A7290" t="s">
        <v>154</v>
      </c>
      <c r="B7290">
        <v>11.340852130324</v>
      </c>
      <c r="C7290" s="1">
        <v>44561</v>
      </c>
    </row>
    <row r="7291" spans="1:3">
      <c r="A7291" t="s">
        <v>156</v>
      </c>
      <c r="B7291">
        <v>16.228070175435999</v>
      </c>
      <c r="C7291" s="1">
        <v>44561</v>
      </c>
    </row>
    <row r="7292" spans="1:3">
      <c r="A7292" t="s">
        <v>158</v>
      </c>
      <c r="B7292">
        <v>113.83270676689899</v>
      </c>
      <c r="C7292" s="1">
        <v>44561</v>
      </c>
    </row>
    <row r="7293" spans="1:3">
      <c r="A7293" t="s">
        <v>160</v>
      </c>
      <c r="B7293">
        <v>10.966165413532</v>
      </c>
      <c r="C7293" s="1">
        <v>44561</v>
      </c>
    </row>
    <row r="7294" spans="1:3">
      <c r="A7294" t="s">
        <v>162</v>
      </c>
      <c r="B7294">
        <v>14.0977443609</v>
      </c>
      <c r="C7294" s="1">
        <v>44561</v>
      </c>
    </row>
    <row r="7295" spans="1:3">
      <c r="A7295" t="s">
        <v>164</v>
      </c>
      <c r="B7295">
        <v>10.911027568920501</v>
      </c>
      <c r="C7295" s="1">
        <v>44561</v>
      </c>
    </row>
    <row r="7296" spans="1:3">
      <c r="A7296" t="s">
        <v>166</v>
      </c>
      <c r="B7296">
        <v>9.4216791979934804</v>
      </c>
      <c r="C7296" s="1">
        <v>44561</v>
      </c>
    </row>
    <row r="7297" spans="1:3">
      <c r="A7297" t="s">
        <v>168</v>
      </c>
      <c r="B7297">
        <v>14.487468671676799</v>
      </c>
      <c r="C7297" s="1">
        <v>44561</v>
      </c>
    </row>
    <row r="7298" spans="1:3">
      <c r="A7298" t="s">
        <v>4</v>
      </c>
      <c r="B7298">
        <v>0.23917259211439901</v>
      </c>
      <c r="C7298" s="1">
        <v>44592</v>
      </c>
    </row>
    <row r="7299" spans="1:3">
      <c r="A7299" t="s">
        <v>8</v>
      </c>
      <c r="B7299">
        <v>24.804137039496599</v>
      </c>
      <c r="C7299" s="1">
        <v>44592</v>
      </c>
    </row>
    <row r="7300" spans="1:3">
      <c r="A7300" t="s">
        <v>11</v>
      </c>
      <c r="B7300">
        <v>42.663219133919903</v>
      </c>
      <c r="C7300" s="1">
        <v>44592</v>
      </c>
    </row>
    <row r="7301" spans="1:3">
      <c r="A7301" t="s">
        <v>14</v>
      </c>
      <c r="B7301">
        <v>5.7149321267119104</v>
      </c>
      <c r="C7301" s="1">
        <v>44592</v>
      </c>
    </row>
    <row r="7302" spans="1:3">
      <c r="A7302" t="s">
        <v>17</v>
      </c>
      <c r="B7302">
        <v>14.162249515228</v>
      </c>
      <c r="C7302" s="1">
        <v>44592</v>
      </c>
    </row>
    <row r="7303" spans="1:3">
      <c r="A7303" t="s">
        <v>20</v>
      </c>
      <c r="B7303">
        <v>0.49450549450679998</v>
      </c>
      <c r="C7303" s="1">
        <v>44592</v>
      </c>
    </row>
    <row r="7304" spans="1:3">
      <c r="A7304" t="s">
        <v>24</v>
      </c>
      <c r="B7304">
        <v>0.87394957983423904</v>
      </c>
      <c r="C7304" s="1">
        <v>44592</v>
      </c>
    </row>
    <row r="7305" spans="1:3">
      <c r="A7305" t="s">
        <v>27</v>
      </c>
      <c r="B7305">
        <v>43.797672915435498</v>
      </c>
      <c r="C7305" s="1">
        <v>44592</v>
      </c>
    </row>
    <row r="7306" spans="1:3">
      <c r="A7306" t="s">
        <v>29</v>
      </c>
      <c r="B7306">
        <v>1.4608920491312001</v>
      </c>
      <c r="C7306" s="1">
        <v>44592</v>
      </c>
    </row>
    <row r="7307" spans="1:3">
      <c r="A7307" t="s">
        <v>32</v>
      </c>
      <c r="B7307">
        <v>9.4912734324749604</v>
      </c>
      <c r="C7307" s="1">
        <v>44592</v>
      </c>
    </row>
    <row r="7308" spans="1:3">
      <c r="A7308" t="s">
        <v>35</v>
      </c>
      <c r="B7308">
        <v>3.2611506141004001</v>
      </c>
      <c r="C7308" s="1">
        <v>44592</v>
      </c>
    </row>
    <row r="7309" spans="1:3">
      <c r="A7309" t="s">
        <v>37</v>
      </c>
      <c r="B7309">
        <v>0.32902391726007901</v>
      </c>
      <c r="C7309" s="1">
        <v>44592</v>
      </c>
    </row>
    <row r="7310" spans="1:3">
      <c r="A7310" t="s">
        <v>39</v>
      </c>
      <c r="B7310">
        <v>2.40788623142199</v>
      </c>
      <c r="C7310" s="1">
        <v>44592</v>
      </c>
    </row>
    <row r="7311" spans="1:3">
      <c r="A7311" t="s">
        <v>42</v>
      </c>
      <c r="B7311">
        <v>3.8584356819752701</v>
      </c>
      <c r="C7311" s="1">
        <v>44592</v>
      </c>
    </row>
    <row r="7312" spans="1:3">
      <c r="A7312" t="s">
        <v>44</v>
      </c>
      <c r="B7312">
        <v>10.734324499058699</v>
      </c>
      <c r="C7312" s="1">
        <v>44592</v>
      </c>
    </row>
    <row r="7313" spans="1:3">
      <c r="A7313" t="s">
        <v>47</v>
      </c>
      <c r="B7313">
        <v>7.56431803492623</v>
      </c>
      <c r="C7313" s="1">
        <v>44592</v>
      </c>
    </row>
    <row r="7314" spans="1:3">
      <c r="A7314" t="s">
        <v>49</v>
      </c>
      <c r="B7314">
        <v>10.902391725949901</v>
      </c>
      <c r="C7314" s="1">
        <v>44592</v>
      </c>
    </row>
    <row r="7315" spans="1:3">
      <c r="A7315" t="s">
        <v>51</v>
      </c>
      <c r="B7315">
        <v>0.76470588235495995</v>
      </c>
      <c r="C7315" s="1">
        <v>44592</v>
      </c>
    </row>
    <row r="7316" spans="1:3">
      <c r="A7316" t="s">
        <v>53</v>
      </c>
      <c r="B7316">
        <v>0.65158371040895902</v>
      </c>
      <c r="C7316" s="1">
        <v>44592</v>
      </c>
    </row>
    <row r="7317" spans="1:3">
      <c r="A7317" t="s">
        <v>55</v>
      </c>
      <c r="B7317">
        <v>3.3031674208232</v>
      </c>
      <c r="C7317" s="1">
        <v>44592</v>
      </c>
    </row>
    <row r="7318" spans="1:3">
      <c r="A7318" t="s">
        <v>57</v>
      </c>
      <c r="B7318">
        <v>3.2062055591551899</v>
      </c>
      <c r="C7318" s="1">
        <v>44592</v>
      </c>
    </row>
    <row r="7319" spans="1:3">
      <c r="A7319" t="s">
        <v>59</v>
      </c>
      <c r="B7319">
        <v>3.8926955397646301</v>
      </c>
      <c r="C7319" s="1">
        <v>44592</v>
      </c>
    </row>
    <row r="7320" spans="1:3">
      <c r="A7320" t="s">
        <v>61</v>
      </c>
      <c r="B7320">
        <v>130.45378151294901</v>
      </c>
      <c r="C7320" s="1">
        <v>44592</v>
      </c>
    </row>
    <row r="7321" spans="1:3">
      <c r="A7321" t="s">
        <v>63</v>
      </c>
      <c r="B7321">
        <v>10.956690368483899</v>
      </c>
      <c r="C7321" s="1">
        <v>44592</v>
      </c>
    </row>
    <row r="7322" spans="1:3">
      <c r="A7322" t="s">
        <v>65</v>
      </c>
      <c r="B7322">
        <v>0.26438267614807998</v>
      </c>
      <c r="C7322" s="1">
        <v>44592</v>
      </c>
    </row>
    <row r="7323" spans="1:3">
      <c r="A7323" t="s">
        <v>67</v>
      </c>
      <c r="B7323">
        <v>10.0568842922049</v>
      </c>
      <c r="C7323" s="1">
        <v>44592</v>
      </c>
    </row>
    <row r="7324" spans="1:3">
      <c r="A7324" t="s">
        <v>69</v>
      </c>
      <c r="B7324">
        <v>3.68713639302847</v>
      </c>
      <c r="C7324" s="1">
        <v>44592</v>
      </c>
    </row>
    <row r="7325" spans="1:3">
      <c r="A7325" t="s">
        <v>71</v>
      </c>
      <c r="B7325">
        <v>0.99612152553591904</v>
      </c>
      <c r="C7325" s="1">
        <v>44592</v>
      </c>
    </row>
    <row r="7326" spans="1:3">
      <c r="A7326" t="s">
        <v>73</v>
      </c>
      <c r="B7326">
        <v>0.95798319327983905</v>
      </c>
      <c r="C7326" s="1">
        <v>44592</v>
      </c>
    </row>
    <row r="7327" spans="1:3">
      <c r="A7327" t="s">
        <v>75</v>
      </c>
      <c r="B7327">
        <v>0.15449256625767999</v>
      </c>
      <c r="C7327" s="1">
        <v>44592</v>
      </c>
    </row>
    <row r="7328" spans="1:3">
      <c r="A7328" t="s">
        <v>77</v>
      </c>
      <c r="B7328">
        <v>0.94311570782407905</v>
      </c>
      <c r="C7328" s="1">
        <v>44592</v>
      </c>
    </row>
    <row r="7329" spans="1:3">
      <c r="A7329" t="s">
        <v>79</v>
      </c>
      <c r="B7329">
        <v>4.5882352941297597</v>
      </c>
      <c r="C7329" s="1">
        <v>44592</v>
      </c>
    </row>
    <row r="7330" spans="1:3">
      <c r="A7330" t="s">
        <v>81</v>
      </c>
      <c r="B7330">
        <v>7.1641887524429597</v>
      </c>
      <c r="C7330" s="1">
        <v>44592</v>
      </c>
    </row>
    <row r="7331" spans="1:3">
      <c r="A7331" t="s">
        <v>83</v>
      </c>
      <c r="B7331">
        <v>0.27601809954823903</v>
      </c>
      <c r="C7331" s="1">
        <v>44592</v>
      </c>
    </row>
    <row r="7332" spans="1:3">
      <c r="A7332" t="s">
        <v>85</v>
      </c>
      <c r="B7332">
        <v>2.3180349062763099</v>
      </c>
      <c r="C7332" s="1">
        <v>44592</v>
      </c>
    </row>
    <row r="7333" spans="1:3">
      <c r="A7333" t="s">
        <v>87</v>
      </c>
      <c r="B7333">
        <v>13.375565610895</v>
      </c>
      <c r="C7333" s="1">
        <v>44592</v>
      </c>
    </row>
    <row r="7334" spans="1:3">
      <c r="A7334" t="s">
        <v>89</v>
      </c>
      <c r="B7334">
        <v>4.7834518422879997</v>
      </c>
      <c r="C7334" s="1">
        <v>44592</v>
      </c>
    </row>
    <row r="7335" spans="1:3">
      <c r="A7335" t="s">
        <v>91</v>
      </c>
      <c r="B7335">
        <v>17.388493859127902</v>
      </c>
      <c r="C7335" s="1">
        <v>44592</v>
      </c>
    </row>
    <row r="7336" spans="1:3">
      <c r="A7336" t="s">
        <v>93</v>
      </c>
      <c r="B7336">
        <v>18.099547511359901</v>
      </c>
      <c r="C7336" s="1">
        <v>44592</v>
      </c>
    </row>
    <row r="7337" spans="1:3">
      <c r="A7337" t="s">
        <v>95</v>
      </c>
      <c r="B7337">
        <v>0.30316742081527998</v>
      </c>
      <c r="C7337" s="1">
        <v>44592</v>
      </c>
    </row>
    <row r="7338" spans="1:3">
      <c r="A7338" t="s">
        <v>97</v>
      </c>
      <c r="B7338">
        <v>3.9612152553433599</v>
      </c>
      <c r="C7338" s="1">
        <v>44592</v>
      </c>
    </row>
    <row r="7339" spans="1:3">
      <c r="A7339" t="s">
        <v>99</v>
      </c>
      <c r="B7339">
        <v>3.6948933419619099</v>
      </c>
      <c r="C7339" s="1">
        <v>44592</v>
      </c>
    </row>
    <row r="7340" spans="1:3">
      <c r="A7340" t="s">
        <v>101</v>
      </c>
      <c r="B7340">
        <v>8.7912087912320001</v>
      </c>
      <c r="C7340" s="1">
        <v>44592</v>
      </c>
    </row>
    <row r="7341" spans="1:3">
      <c r="A7341" t="s">
        <v>105</v>
      </c>
      <c r="B7341">
        <v>0.29347123464847902</v>
      </c>
      <c r="C7341" s="1">
        <v>44592</v>
      </c>
    </row>
    <row r="7342" spans="1:3">
      <c r="A7342" t="s">
        <v>107</v>
      </c>
      <c r="B7342">
        <v>1.73884938591279</v>
      </c>
      <c r="C7342" s="1">
        <v>44592</v>
      </c>
    </row>
    <row r="7343" spans="1:3">
      <c r="A7343" t="s">
        <v>109</v>
      </c>
      <c r="B7343">
        <v>3.56625727214904</v>
      </c>
      <c r="C7343" s="1">
        <v>44592</v>
      </c>
    </row>
    <row r="7344" spans="1:3">
      <c r="A7344" t="s">
        <v>111</v>
      </c>
      <c r="B7344">
        <v>7.3645765998901602</v>
      </c>
      <c r="C7344" s="1">
        <v>44592</v>
      </c>
    </row>
    <row r="7345" spans="1:3">
      <c r="A7345" t="s">
        <v>113</v>
      </c>
      <c r="B7345">
        <v>8.29799612154744</v>
      </c>
      <c r="C7345" s="1">
        <v>44592</v>
      </c>
    </row>
    <row r="7346" spans="1:3">
      <c r="A7346" t="s">
        <v>115</v>
      </c>
      <c r="B7346">
        <v>3.4175824175914302</v>
      </c>
      <c r="C7346" s="1">
        <v>44592</v>
      </c>
    </row>
    <row r="7347" spans="1:3">
      <c r="A7347" t="s">
        <v>117</v>
      </c>
      <c r="B7347">
        <v>3.2967032967119998</v>
      </c>
      <c r="C7347" s="1">
        <v>44592</v>
      </c>
    </row>
    <row r="7348" spans="1:3">
      <c r="A7348" t="s">
        <v>119</v>
      </c>
      <c r="B7348">
        <v>34.950872656847203</v>
      </c>
      <c r="C7348" s="1">
        <v>44592</v>
      </c>
    </row>
    <row r="7349" spans="1:3">
      <c r="A7349" t="s">
        <v>121</v>
      </c>
      <c r="B7349">
        <v>8.5746606335068005</v>
      </c>
      <c r="C7349" s="1">
        <v>44592</v>
      </c>
    </row>
    <row r="7350" spans="1:3">
      <c r="A7350" t="s">
        <v>123</v>
      </c>
      <c r="B7350">
        <v>4.0627020038891999</v>
      </c>
      <c r="C7350" s="1">
        <v>44592</v>
      </c>
    </row>
    <row r="7351" spans="1:3">
      <c r="A7351" t="s">
        <v>125</v>
      </c>
      <c r="B7351">
        <v>159.15061409220999</v>
      </c>
      <c r="C7351" s="1">
        <v>44592</v>
      </c>
    </row>
    <row r="7352" spans="1:3">
      <c r="A7352" t="s">
        <v>127</v>
      </c>
      <c r="B7352">
        <v>12.4188752424374</v>
      </c>
      <c r="C7352" s="1">
        <v>44592</v>
      </c>
    </row>
    <row r="7353" spans="1:3">
      <c r="A7353" t="s">
        <v>129</v>
      </c>
      <c r="B7353">
        <v>3.98901098902151</v>
      </c>
      <c r="C7353" s="1">
        <v>44592</v>
      </c>
    </row>
    <row r="7354" spans="1:3">
      <c r="A7354" t="s">
        <v>131</v>
      </c>
      <c r="B7354">
        <v>2.4647705236005599</v>
      </c>
      <c r="C7354" s="1">
        <v>44592</v>
      </c>
    </row>
    <row r="7355" spans="1:3">
      <c r="A7355" t="s">
        <v>134</v>
      </c>
      <c r="B7355">
        <v>2.15061409179624</v>
      </c>
      <c r="C7355" s="1">
        <v>44592</v>
      </c>
    </row>
    <row r="7356" spans="1:3">
      <c r="A7356" t="s">
        <v>136</v>
      </c>
      <c r="B7356">
        <v>13.575307045931099</v>
      </c>
      <c r="C7356" s="1">
        <v>44592</v>
      </c>
    </row>
    <row r="7357" spans="1:3">
      <c r="A7357" t="s">
        <v>138</v>
      </c>
      <c r="B7357">
        <v>12.1331609567223</v>
      </c>
      <c r="C7357" s="1">
        <v>44592</v>
      </c>
    </row>
    <row r="7358" spans="1:3">
      <c r="A7358" t="s">
        <v>140</v>
      </c>
      <c r="B7358">
        <v>19.076923076973401</v>
      </c>
      <c r="C7358" s="1">
        <v>44592</v>
      </c>
    </row>
    <row r="7359" spans="1:3">
      <c r="A7359" t="s">
        <v>142</v>
      </c>
      <c r="B7359">
        <v>5.6056884292326297</v>
      </c>
      <c r="C7359" s="1">
        <v>44592</v>
      </c>
    </row>
    <row r="7360" spans="1:3">
      <c r="A7360" t="s">
        <v>144</v>
      </c>
      <c r="B7360">
        <v>3.0872656755091099</v>
      </c>
      <c r="C7360" s="1">
        <v>44592</v>
      </c>
    </row>
    <row r="7361" spans="1:3">
      <c r="A7361" t="s">
        <v>146</v>
      </c>
      <c r="B7361">
        <v>2.7640594699491099</v>
      </c>
      <c r="C7361" s="1">
        <v>44592</v>
      </c>
    </row>
    <row r="7362" spans="1:3">
      <c r="A7362" t="s">
        <v>148</v>
      </c>
      <c r="B7362">
        <v>9.6580478345439094</v>
      </c>
      <c r="C7362" s="1">
        <v>44592</v>
      </c>
    </row>
    <row r="7363" spans="1:3">
      <c r="A7363" t="s">
        <v>150</v>
      </c>
      <c r="B7363">
        <v>4.9263089851455097</v>
      </c>
      <c r="C7363" s="1">
        <v>44592</v>
      </c>
    </row>
    <row r="7364" spans="1:3">
      <c r="A7364" t="s">
        <v>152</v>
      </c>
      <c r="B7364">
        <v>18.545572075032702</v>
      </c>
      <c r="C7364" s="1">
        <v>44592</v>
      </c>
    </row>
    <row r="7365" spans="1:3">
      <c r="A7365" t="s">
        <v>154</v>
      </c>
      <c r="B7365">
        <v>11.8468002585962</v>
      </c>
      <c r="C7365" s="1">
        <v>44592</v>
      </c>
    </row>
    <row r="7366" spans="1:3">
      <c r="A7366" t="s">
        <v>156</v>
      </c>
      <c r="B7366">
        <v>22.296056884351</v>
      </c>
      <c r="C7366" s="1">
        <v>44592</v>
      </c>
    </row>
    <row r="7367" spans="1:3">
      <c r="A7367" t="s">
        <v>158</v>
      </c>
      <c r="B7367">
        <v>119.926308985449</v>
      </c>
      <c r="C7367" s="1">
        <v>44592</v>
      </c>
    </row>
    <row r="7368" spans="1:3">
      <c r="A7368" t="s">
        <v>160</v>
      </c>
      <c r="B7368">
        <v>12.3154492566582</v>
      </c>
      <c r="C7368" s="1">
        <v>44592</v>
      </c>
    </row>
    <row r="7369" spans="1:3">
      <c r="A7369" t="s">
        <v>162</v>
      </c>
      <c r="B7369">
        <v>15.1344537815525</v>
      </c>
      <c r="C7369" s="1">
        <v>44592</v>
      </c>
    </row>
    <row r="7370" spans="1:3">
      <c r="A7370" t="s">
        <v>164</v>
      </c>
      <c r="B7370">
        <v>10.432449903065599</v>
      </c>
      <c r="C7370" s="1">
        <v>44592</v>
      </c>
    </row>
    <row r="7371" spans="1:3">
      <c r="A7371" t="s">
        <v>166</v>
      </c>
      <c r="B7371">
        <v>8.5985778927182395</v>
      </c>
      <c r="C7371" s="1">
        <v>44592</v>
      </c>
    </row>
    <row r="7372" spans="1:3">
      <c r="A7372" t="s">
        <v>168</v>
      </c>
      <c r="B7372">
        <v>14.7252747253136</v>
      </c>
      <c r="C7372" s="1">
        <v>44592</v>
      </c>
    </row>
    <row r="7373" spans="1:3">
      <c r="A7373" t="s">
        <v>4</v>
      </c>
      <c r="B7373">
        <v>0.290567869275</v>
      </c>
      <c r="C7373" s="1">
        <v>44620</v>
      </c>
    </row>
    <row r="7374" spans="1:3">
      <c r="A7374" t="s">
        <v>8</v>
      </c>
      <c r="B7374">
        <v>21.225691635524999</v>
      </c>
      <c r="C7374" s="1">
        <v>44620</v>
      </c>
    </row>
    <row r="7375" spans="1:3">
      <c r="A7375" t="s">
        <v>11</v>
      </c>
      <c r="B7375">
        <v>43.568354634899997</v>
      </c>
      <c r="C7375" s="1">
        <v>44620</v>
      </c>
    </row>
    <row r="7376" spans="1:3">
      <c r="A7376" t="s">
        <v>14</v>
      </c>
      <c r="B7376">
        <v>5.4243649894499901</v>
      </c>
      <c r="C7376" s="1">
        <v>44620</v>
      </c>
    </row>
    <row r="7377" spans="1:3">
      <c r="A7377" t="s">
        <v>17</v>
      </c>
      <c r="B7377">
        <v>13.389419187749899</v>
      </c>
      <c r="C7377" s="1">
        <v>44620</v>
      </c>
    </row>
    <row r="7378" spans="1:3">
      <c r="A7378" t="s">
        <v>20</v>
      </c>
      <c r="B7378">
        <v>0.49441837889999901</v>
      </c>
      <c r="C7378" s="1">
        <v>44620</v>
      </c>
    </row>
    <row r="7379" spans="1:3">
      <c r="A7379" t="s">
        <v>24</v>
      </c>
      <c r="B7379">
        <v>0.87040931887499895</v>
      </c>
      <c r="C7379" s="1">
        <v>44620</v>
      </c>
    </row>
    <row r="7380" spans="1:3">
      <c r="A7380" t="s">
        <v>27</v>
      </c>
      <c r="B7380">
        <v>50.605403656049901</v>
      </c>
      <c r="C7380" s="1">
        <v>44620</v>
      </c>
    </row>
    <row r="7381" spans="1:3">
      <c r="A7381" t="s">
        <v>29</v>
      </c>
      <c r="B7381">
        <v>1.4508979129499999</v>
      </c>
      <c r="C7381" s="1">
        <v>44620</v>
      </c>
    </row>
    <row r="7382" spans="1:3">
      <c r="A7382" t="s">
        <v>32</v>
      </c>
      <c r="B7382">
        <v>9.5783853744749994</v>
      </c>
      <c r="C7382" s="1">
        <v>44620</v>
      </c>
    </row>
    <row r="7383" spans="1:3">
      <c r="A7383" t="s">
        <v>35</v>
      </c>
      <c r="B7383">
        <v>3.3392654909999999</v>
      </c>
      <c r="C7383" s="1">
        <v>44620</v>
      </c>
    </row>
    <row r="7384" spans="1:3">
      <c r="A7384" t="s">
        <v>37</v>
      </c>
      <c r="B7384">
        <v>0.34298657174999903</v>
      </c>
      <c r="C7384" s="1">
        <v>44620</v>
      </c>
    </row>
    <row r="7385" spans="1:3">
      <c r="A7385" t="s">
        <v>39</v>
      </c>
      <c r="B7385">
        <v>2.5937550557999902</v>
      </c>
      <c r="C7385" s="1">
        <v>44620</v>
      </c>
    </row>
    <row r="7386" spans="1:3">
      <c r="A7386" t="s">
        <v>42</v>
      </c>
      <c r="B7386">
        <v>4.3035107587499999</v>
      </c>
      <c r="C7386" s="1">
        <v>44620</v>
      </c>
    </row>
    <row r="7387" spans="1:3">
      <c r="A7387" t="s">
        <v>44</v>
      </c>
      <c r="B7387">
        <v>12.817343471849901</v>
      </c>
      <c r="C7387" s="1">
        <v>44620</v>
      </c>
    </row>
    <row r="7388" spans="1:3">
      <c r="A7388" t="s">
        <v>47</v>
      </c>
      <c r="B7388">
        <v>7.7294936093999898</v>
      </c>
      <c r="C7388" s="1">
        <v>44620</v>
      </c>
    </row>
    <row r="7389" spans="1:3">
      <c r="A7389" t="s">
        <v>49</v>
      </c>
      <c r="B7389">
        <v>10.6183465458</v>
      </c>
      <c r="C7389" s="1">
        <v>44620</v>
      </c>
    </row>
    <row r="7390" spans="1:3">
      <c r="A7390" t="s">
        <v>51</v>
      </c>
      <c r="B7390">
        <v>0.81281346059999904</v>
      </c>
      <c r="C7390" s="1">
        <v>44620</v>
      </c>
    </row>
    <row r="7391" spans="1:3">
      <c r="A7391" t="s">
        <v>53</v>
      </c>
      <c r="B7391">
        <v>0.75262902442500001</v>
      </c>
      <c r="C7391" s="1">
        <v>44620</v>
      </c>
    </row>
    <row r="7392" spans="1:3">
      <c r="A7392" t="s">
        <v>55</v>
      </c>
      <c r="B7392">
        <v>2.973628862625</v>
      </c>
      <c r="C7392" s="1">
        <v>44620</v>
      </c>
    </row>
    <row r="7393" spans="1:3">
      <c r="A7393" t="s">
        <v>57</v>
      </c>
      <c r="B7393">
        <v>2.6765895485999902</v>
      </c>
      <c r="C7393" s="1">
        <v>44620</v>
      </c>
    </row>
    <row r="7394" spans="1:3">
      <c r="A7394" t="s">
        <v>59</v>
      </c>
      <c r="B7394">
        <v>3.7696165668749901</v>
      </c>
      <c r="C7394" s="1">
        <v>44620</v>
      </c>
    </row>
    <row r="7395" spans="1:3">
      <c r="A7395" t="s">
        <v>61</v>
      </c>
      <c r="B7395">
        <v>134.24041417162499</v>
      </c>
      <c r="C7395" s="1">
        <v>44620</v>
      </c>
    </row>
    <row r="7396" spans="1:3">
      <c r="A7396" t="s">
        <v>63</v>
      </c>
      <c r="B7396">
        <v>10.516097718749901</v>
      </c>
      <c r="C7396" s="1">
        <v>44620</v>
      </c>
    </row>
    <row r="7397" spans="1:3">
      <c r="A7397" t="s">
        <v>65</v>
      </c>
      <c r="B7397">
        <v>0.27309496844999998</v>
      </c>
      <c r="C7397" s="1">
        <v>44620</v>
      </c>
    </row>
    <row r="7398" spans="1:3">
      <c r="A7398" t="s">
        <v>67</v>
      </c>
      <c r="B7398">
        <v>10.211939815499999</v>
      </c>
      <c r="C7398" s="1">
        <v>44620</v>
      </c>
    </row>
    <row r="7399" spans="1:3">
      <c r="A7399" t="s">
        <v>69</v>
      </c>
      <c r="B7399">
        <v>3.7903251900749901</v>
      </c>
      <c r="C7399" s="1">
        <v>44620</v>
      </c>
    </row>
    <row r="7400" spans="1:3">
      <c r="A7400" t="s">
        <v>71</v>
      </c>
      <c r="B7400">
        <v>1.0354311599999999</v>
      </c>
      <c r="C7400" s="1">
        <v>44620</v>
      </c>
    </row>
    <row r="7401" spans="1:3">
      <c r="A7401" t="s">
        <v>73</v>
      </c>
      <c r="B7401">
        <v>0.94741951139999903</v>
      </c>
      <c r="C7401" s="1">
        <v>44620</v>
      </c>
    </row>
    <row r="7402" spans="1:3">
      <c r="A7402" t="s">
        <v>75</v>
      </c>
      <c r="B7402">
        <v>0.15660896294999899</v>
      </c>
      <c r="C7402" s="1">
        <v>44620</v>
      </c>
    </row>
    <row r="7403" spans="1:3">
      <c r="A7403" t="s">
        <v>77</v>
      </c>
      <c r="B7403">
        <v>0.86717359649999903</v>
      </c>
      <c r="C7403" s="1">
        <v>44620</v>
      </c>
    </row>
    <row r="7404" spans="1:3">
      <c r="A7404" t="s">
        <v>79</v>
      </c>
      <c r="B7404">
        <v>4.6290244296749998</v>
      </c>
      <c r="C7404" s="1">
        <v>44620</v>
      </c>
    </row>
    <row r="7405" spans="1:3">
      <c r="A7405" t="s">
        <v>81</v>
      </c>
      <c r="B7405">
        <v>5.4036563662499999</v>
      </c>
      <c r="C7405" s="1">
        <v>44620</v>
      </c>
    </row>
    <row r="7406" spans="1:3">
      <c r="A7406" t="s">
        <v>83</v>
      </c>
      <c r="B7406">
        <v>0.30286361429999997</v>
      </c>
      <c r="C7406" s="1">
        <v>44620</v>
      </c>
    </row>
    <row r="7407" spans="1:3">
      <c r="A7407" t="s">
        <v>85</v>
      </c>
      <c r="B7407">
        <v>2.2268241384749898</v>
      </c>
      <c r="C7407" s="1">
        <v>44620</v>
      </c>
    </row>
    <row r="7408" spans="1:3">
      <c r="A7408" t="s">
        <v>87</v>
      </c>
      <c r="B7408">
        <v>13.0076039474999</v>
      </c>
      <c r="C7408" s="1">
        <v>44620</v>
      </c>
    </row>
    <row r="7409" spans="1:3">
      <c r="A7409" t="s">
        <v>89</v>
      </c>
      <c r="B7409">
        <v>6.1543439572499903</v>
      </c>
      <c r="C7409" s="1">
        <v>44620</v>
      </c>
    </row>
    <row r="7410" spans="1:3">
      <c r="A7410" t="s">
        <v>91</v>
      </c>
      <c r="B7410">
        <v>17.731758614999901</v>
      </c>
      <c r="C7410" s="1">
        <v>44620</v>
      </c>
    </row>
    <row r="7411" spans="1:3">
      <c r="A7411" t="s">
        <v>93</v>
      </c>
      <c r="B7411">
        <v>17.914900501424999</v>
      </c>
      <c r="C7411" s="1">
        <v>44620</v>
      </c>
    </row>
    <row r="7412" spans="1:3">
      <c r="A7412" t="s">
        <v>95</v>
      </c>
      <c r="B7412">
        <v>0.38052095129999902</v>
      </c>
      <c r="C7412" s="1">
        <v>44620</v>
      </c>
    </row>
    <row r="7413" spans="1:3">
      <c r="A7413" t="s">
        <v>97</v>
      </c>
      <c r="B7413">
        <v>4.1210160167999996</v>
      </c>
      <c r="C7413" s="1">
        <v>44620</v>
      </c>
    </row>
    <row r="7414" spans="1:3">
      <c r="A7414" t="s">
        <v>99</v>
      </c>
      <c r="B7414">
        <v>3.4939330205249899</v>
      </c>
      <c r="C7414" s="1">
        <v>44620</v>
      </c>
    </row>
    <row r="7415" spans="1:3">
      <c r="A7415" t="s">
        <v>101</v>
      </c>
      <c r="B7415">
        <v>9.5777382299999996</v>
      </c>
      <c r="C7415" s="1">
        <v>44620</v>
      </c>
    </row>
    <row r="7416" spans="1:3">
      <c r="A7416" t="s">
        <v>105</v>
      </c>
      <c r="B7416">
        <v>0.263387801325</v>
      </c>
      <c r="C7416" s="1">
        <v>44620</v>
      </c>
    </row>
    <row r="7417" spans="1:3">
      <c r="A7417" t="s">
        <v>107</v>
      </c>
      <c r="B7417">
        <v>1.6178611875</v>
      </c>
      <c r="C7417" s="1">
        <v>44620</v>
      </c>
    </row>
    <row r="7418" spans="1:3">
      <c r="A7418" t="s">
        <v>109</v>
      </c>
      <c r="B7418">
        <v>4.3481637275249998</v>
      </c>
      <c r="C7418" s="1">
        <v>44620</v>
      </c>
    </row>
    <row r="7419" spans="1:3">
      <c r="A7419" t="s">
        <v>111</v>
      </c>
      <c r="B7419">
        <v>7.00986895319999</v>
      </c>
      <c r="C7419" s="1">
        <v>44620</v>
      </c>
    </row>
    <row r="7420" spans="1:3">
      <c r="A7420" t="s">
        <v>113</v>
      </c>
      <c r="B7420">
        <v>8.0601844361249899</v>
      </c>
      <c r="C7420" s="1">
        <v>44620</v>
      </c>
    </row>
    <row r="7421" spans="1:3">
      <c r="A7421" t="s">
        <v>115</v>
      </c>
      <c r="B7421">
        <v>3.2680795987499902</v>
      </c>
      <c r="C7421" s="1">
        <v>44620</v>
      </c>
    </row>
    <row r="7422" spans="1:3">
      <c r="A7422" t="s">
        <v>117</v>
      </c>
      <c r="B7422">
        <v>2.9768645849999902</v>
      </c>
      <c r="C7422" s="1">
        <v>44620</v>
      </c>
    </row>
    <row r="7423" spans="1:3">
      <c r="A7423" t="s">
        <v>119</v>
      </c>
      <c r="B7423">
        <v>39.117294935849998</v>
      </c>
      <c r="C7423" s="1">
        <v>44620</v>
      </c>
    </row>
    <row r="7424" spans="1:3">
      <c r="A7424" t="s">
        <v>121</v>
      </c>
      <c r="B7424">
        <v>9.0425497491749898</v>
      </c>
      <c r="C7424" s="1">
        <v>44620</v>
      </c>
    </row>
    <row r="7425" spans="1:3">
      <c r="A7425" t="s">
        <v>123</v>
      </c>
      <c r="B7425">
        <v>4.1844361753499904</v>
      </c>
      <c r="C7425" s="1">
        <v>44620</v>
      </c>
    </row>
    <row r="7426" spans="1:3">
      <c r="A7426" t="s">
        <v>125</v>
      </c>
      <c r="B7426">
        <v>124.79922342584899</v>
      </c>
      <c r="C7426" s="1">
        <v>44620</v>
      </c>
    </row>
    <row r="7427" spans="1:3">
      <c r="A7427" t="s">
        <v>127</v>
      </c>
      <c r="B7427">
        <v>12.3992881409999</v>
      </c>
      <c r="C7427" s="1">
        <v>44620</v>
      </c>
    </row>
    <row r="7428" spans="1:3">
      <c r="A7428" t="s">
        <v>129</v>
      </c>
      <c r="B7428">
        <v>4.2789192687000002</v>
      </c>
      <c r="C7428" s="1">
        <v>44620</v>
      </c>
    </row>
    <row r="7429" spans="1:3">
      <c r="A7429" t="s">
        <v>131</v>
      </c>
      <c r="B7429">
        <v>2.3685487784999899</v>
      </c>
      <c r="C7429" s="1">
        <v>44620</v>
      </c>
    </row>
    <row r="7430" spans="1:3">
      <c r="A7430" t="s">
        <v>134</v>
      </c>
      <c r="B7430">
        <v>2.0294450735999998</v>
      </c>
      <c r="C7430" s="1">
        <v>44620</v>
      </c>
    </row>
    <row r="7431" spans="1:3">
      <c r="A7431" t="s">
        <v>136</v>
      </c>
      <c r="B7431">
        <v>14.819608477499999</v>
      </c>
      <c r="C7431" s="1">
        <v>44620</v>
      </c>
    </row>
    <row r="7432" spans="1:3">
      <c r="A7432" t="s">
        <v>138</v>
      </c>
      <c r="B7432">
        <v>13.617861187425</v>
      </c>
      <c r="C7432" s="1">
        <v>44620</v>
      </c>
    </row>
    <row r="7433" spans="1:3">
      <c r="A7433" t="s">
        <v>140</v>
      </c>
      <c r="B7433">
        <v>19.346384080124999</v>
      </c>
      <c r="C7433" s="1">
        <v>44620</v>
      </c>
    </row>
    <row r="7434" spans="1:3">
      <c r="A7434" t="s">
        <v>142</v>
      </c>
      <c r="B7434">
        <v>5.5945639863749896</v>
      </c>
      <c r="C7434" s="1">
        <v>44620</v>
      </c>
    </row>
    <row r="7435" spans="1:3">
      <c r="A7435" t="s">
        <v>144</v>
      </c>
      <c r="B7435">
        <v>3.034460443275</v>
      </c>
      <c r="C7435" s="1">
        <v>44620</v>
      </c>
    </row>
    <row r="7436" spans="1:3">
      <c r="A7436" t="s">
        <v>146</v>
      </c>
      <c r="B7436">
        <v>3.2952596666999998</v>
      </c>
      <c r="C7436" s="1">
        <v>44620</v>
      </c>
    </row>
    <row r="7437" spans="1:3">
      <c r="A7437" t="s">
        <v>148</v>
      </c>
      <c r="B7437">
        <v>10.5251577413999</v>
      </c>
      <c r="C7437" s="1">
        <v>44620</v>
      </c>
    </row>
    <row r="7438" spans="1:3">
      <c r="A7438" t="s">
        <v>150</v>
      </c>
      <c r="B7438">
        <v>4.6367901633750002</v>
      </c>
      <c r="C7438" s="1">
        <v>44620</v>
      </c>
    </row>
    <row r="7439" spans="1:3">
      <c r="A7439" t="s">
        <v>152</v>
      </c>
      <c r="B7439">
        <v>23.522407377299999</v>
      </c>
      <c r="C7439" s="1">
        <v>44620</v>
      </c>
    </row>
    <row r="7440" spans="1:3">
      <c r="A7440" t="s">
        <v>154</v>
      </c>
      <c r="B7440">
        <v>10.57045785465</v>
      </c>
      <c r="C7440" s="1">
        <v>44620</v>
      </c>
    </row>
    <row r="7441" spans="1:3">
      <c r="A7441" t="s">
        <v>156</v>
      </c>
      <c r="B7441">
        <v>22.688238149024901</v>
      </c>
      <c r="C7441" s="1">
        <v>44620</v>
      </c>
    </row>
    <row r="7442" spans="1:3">
      <c r="A7442" t="s">
        <v>158</v>
      </c>
      <c r="B7442">
        <v>155.314674</v>
      </c>
      <c r="C7442" s="1">
        <v>44620</v>
      </c>
    </row>
    <row r="7443" spans="1:3">
      <c r="A7443" t="s">
        <v>160</v>
      </c>
      <c r="B7443">
        <v>14.1459310790249</v>
      </c>
      <c r="C7443" s="1">
        <v>44620</v>
      </c>
    </row>
    <row r="7444" spans="1:3">
      <c r="A7444" t="s">
        <v>162</v>
      </c>
      <c r="B7444">
        <v>19.0208704092</v>
      </c>
      <c r="C7444" s="1">
        <v>44620</v>
      </c>
    </row>
    <row r="7445" spans="1:3">
      <c r="A7445" t="s">
        <v>164</v>
      </c>
      <c r="B7445">
        <v>13.902604756424999</v>
      </c>
      <c r="C7445" s="1">
        <v>44620</v>
      </c>
    </row>
    <row r="7446" spans="1:3">
      <c r="A7446" t="s">
        <v>166</v>
      </c>
      <c r="B7446">
        <v>7.9501698753749901</v>
      </c>
      <c r="C7446" s="1">
        <v>44620</v>
      </c>
    </row>
    <row r="7447" spans="1:3">
      <c r="A7447" t="s">
        <v>168</v>
      </c>
      <c r="B7447">
        <v>17.708461413899901</v>
      </c>
      <c r="C7447" s="1">
        <v>44620</v>
      </c>
    </row>
    <row r="7448" spans="1:3">
      <c r="A7448" t="s">
        <v>4</v>
      </c>
      <c r="B7448">
        <v>0.28810949529712998</v>
      </c>
      <c r="C7448" s="1">
        <v>44651</v>
      </c>
    </row>
    <row r="7449" spans="1:3">
      <c r="A7449" t="s">
        <v>8</v>
      </c>
      <c r="B7449">
        <v>19.948674080549502</v>
      </c>
      <c r="C7449" s="1">
        <v>44651</v>
      </c>
    </row>
    <row r="7450" spans="1:3">
      <c r="A7450" t="s">
        <v>11</v>
      </c>
      <c r="B7450">
        <v>42.204277160259601</v>
      </c>
      <c r="C7450" s="1">
        <v>44651</v>
      </c>
    </row>
    <row r="7451" spans="1:3">
      <c r="A7451" t="s">
        <v>14</v>
      </c>
      <c r="B7451">
        <v>6.6408896493191198</v>
      </c>
      <c r="C7451" s="1">
        <v>44651</v>
      </c>
    </row>
    <row r="7452" spans="1:3">
      <c r="A7452" t="s">
        <v>17</v>
      </c>
      <c r="B7452">
        <v>12.942343883751301</v>
      </c>
      <c r="C7452" s="1">
        <v>44651</v>
      </c>
    </row>
    <row r="7453" spans="1:3">
      <c r="A7453" t="s">
        <v>20</v>
      </c>
      <c r="B7453">
        <v>0.50915312233031995</v>
      </c>
      <c r="C7453" s="1">
        <v>44651</v>
      </c>
    </row>
    <row r="7454" spans="1:3">
      <c r="A7454" t="s">
        <v>24</v>
      </c>
      <c r="B7454">
        <v>0.78015397776420004</v>
      </c>
      <c r="C7454" s="1">
        <v>44651</v>
      </c>
    </row>
    <row r="7455" spans="1:3">
      <c r="A7455" t="s">
        <v>27</v>
      </c>
      <c r="B7455">
        <v>52.7254063305638</v>
      </c>
      <c r="C7455" s="1">
        <v>44651</v>
      </c>
    </row>
    <row r="7456" spans="1:3">
      <c r="A7456" t="s">
        <v>29</v>
      </c>
      <c r="B7456">
        <v>1.5945252352549</v>
      </c>
      <c r="C7456" s="1">
        <v>44651</v>
      </c>
    </row>
    <row r="7457" spans="1:3">
      <c r="A7457" t="s">
        <v>32</v>
      </c>
      <c r="B7457">
        <v>10.94952951248</v>
      </c>
      <c r="C7457" s="1">
        <v>44651</v>
      </c>
    </row>
    <row r="7458" spans="1:3">
      <c r="A7458" t="s">
        <v>35</v>
      </c>
      <c r="B7458">
        <v>3.5825491873645499</v>
      </c>
      <c r="C7458" s="1">
        <v>44651</v>
      </c>
    </row>
    <row r="7459" spans="1:3">
      <c r="A7459" t="s">
        <v>37</v>
      </c>
      <c r="B7459">
        <v>0.42155688623047999</v>
      </c>
      <c r="C7459" s="1">
        <v>44651</v>
      </c>
    </row>
    <row r="7460" spans="1:3">
      <c r="A7460" t="s">
        <v>39</v>
      </c>
      <c r="B7460">
        <v>2.6997433704208502</v>
      </c>
      <c r="C7460" s="1">
        <v>44651</v>
      </c>
    </row>
    <row r="7461" spans="1:3">
      <c r="A7461" t="s">
        <v>42</v>
      </c>
      <c r="B7461">
        <v>4.7562018819835004</v>
      </c>
      <c r="C7461" s="1">
        <v>44651</v>
      </c>
    </row>
    <row r="7462" spans="1:3">
      <c r="A7462" t="s">
        <v>44</v>
      </c>
      <c r="B7462">
        <v>15.160307955623001</v>
      </c>
      <c r="C7462" s="1">
        <v>44651</v>
      </c>
    </row>
    <row r="7463" spans="1:3">
      <c r="A7463" t="s">
        <v>47</v>
      </c>
      <c r="B7463">
        <v>7.6475620188727502</v>
      </c>
      <c r="C7463" s="1">
        <v>44651</v>
      </c>
    </row>
    <row r="7464" spans="1:3">
      <c r="A7464" t="s">
        <v>49</v>
      </c>
      <c r="B7464">
        <v>11.6140290847686</v>
      </c>
      <c r="C7464" s="1">
        <v>44651</v>
      </c>
    </row>
    <row r="7465" spans="1:3">
      <c r="A7465" t="s">
        <v>51</v>
      </c>
      <c r="B7465">
        <v>0.96218990590917997</v>
      </c>
      <c r="C7465" s="1">
        <v>44651</v>
      </c>
    </row>
    <row r="7466" spans="1:3">
      <c r="A7466" t="s">
        <v>53</v>
      </c>
      <c r="B7466">
        <v>0.72335329341820997</v>
      </c>
      <c r="C7466" s="1">
        <v>44651</v>
      </c>
    </row>
    <row r="7467" spans="1:3">
      <c r="A7467" t="s">
        <v>55</v>
      </c>
      <c r="B7467">
        <v>3.1719418306465501</v>
      </c>
      <c r="C7467" s="1">
        <v>44651</v>
      </c>
    </row>
    <row r="7468" spans="1:3">
      <c r="A7468" t="s">
        <v>57</v>
      </c>
      <c r="B7468">
        <v>3.0439692044694402</v>
      </c>
      <c r="C7468" s="1">
        <v>44651</v>
      </c>
    </row>
    <row r="7469" spans="1:3">
      <c r="A7469" t="s">
        <v>59</v>
      </c>
      <c r="B7469">
        <v>4.1724550898494099</v>
      </c>
      <c r="C7469" s="1">
        <v>44651</v>
      </c>
    </row>
    <row r="7470" spans="1:3">
      <c r="A7470" t="s">
        <v>61</v>
      </c>
      <c r="B7470">
        <v>160.24294268717199</v>
      </c>
      <c r="C7470" s="1">
        <v>44651</v>
      </c>
    </row>
    <row r="7471" spans="1:3">
      <c r="A7471" t="s">
        <v>63</v>
      </c>
      <c r="B7471">
        <v>10.3904191617489</v>
      </c>
      <c r="C7471" s="1">
        <v>44651</v>
      </c>
    </row>
    <row r="7472" spans="1:3">
      <c r="A7472" t="s">
        <v>65</v>
      </c>
      <c r="B7472">
        <v>0.31616766467286</v>
      </c>
      <c r="C7472" s="1">
        <v>44651</v>
      </c>
    </row>
    <row r="7473" spans="1:3">
      <c r="A7473" t="s">
        <v>67</v>
      </c>
      <c r="B7473">
        <v>12.466723695553</v>
      </c>
      <c r="C7473" s="1">
        <v>44651</v>
      </c>
    </row>
    <row r="7474" spans="1:3">
      <c r="A7474" t="s">
        <v>69</v>
      </c>
      <c r="B7474">
        <v>3.9931565440825501</v>
      </c>
      <c r="C7474" s="1">
        <v>44651</v>
      </c>
    </row>
    <row r="7475" spans="1:3">
      <c r="A7475" t="s">
        <v>71</v>
      </c>
      <c r="B7475">
        <v>1.22566295980323</v>
      </c>
      <c r="C7475" s="1">
        <v>44651</v>
      </c>
    </row>
    <row r="7476" spans="1:3">
      <c r="A7476" t="s">
        <v>73</v>
      </c>
      <c r="B7476">
        <v>1.1017964071933</v>
      </c>
      <c r="C7476" s="1">
        <v>44651</v>
      </c>
    </row>
    <row r="7477" spans="1:3">
      <c r="A7477" t="s">
        <v>75</v>
      </c>
      <c r="B7477">
        <v>0.17177074422703001</v>
      </c>
      <c r="C7477" s="1">
        <v>44651</v>
      </c>
    </row>
    <row r="7478" spans="1:3">
      <c r="A7478" t="s">
        <v>77</v>
      </c>
      <c r="B7478">
        <v>1.0073567151481599</v>
      </c>
      <c r="C7478" s="1">
        <v>44651</v>
      </c>
    </row>
    <row r="7479" spans="1:3">
      <c r="A7479" t="s">
        <v>79</v>
      </c>
      <c r="B7479">
        <v>4.3257485030241298</v>
      </c>
      <c r="C7479" s="1">
        <v>44651</v>
      </c>
    </row>
    <row r="7480" spans="1:3">
      <c r="A7480" t="s">
        <v>81</v>
      </c>
      <c r="B7480">
        <v>5.5390932421258201</v>
      </c>
      <c r="C7480" s="1">
        <v>44651</v>
      </c>
    </row>
    <row r="7481" spans="1:3">
      <c r="A7481" t="s">
        <v>83</v>
      </c>
      <c r="B7481">
        <v>0.33396065013064002</v>
      </c>
      <c r="C7481" s="1">
        <v>44651</v>
      </c>
    </row>
    <row r="7482" spans="1:3">
      <c r="A7482" t="s">
        <v>85</v>
      </c>
      <c r="B7482">
        <v>2.395209580855</v>
      </c>
      <c r="C7482" s="1">
        <v>44651</v>
      </c>
    </row>
    <row r="7483" spans="1:3">
      <c r="A7483" t="s">
        <v>87</v>
      </c>
      <c r="B7483">
        <v>13.5931565441493</v>
      </c>
      <c r="C7483" s="1">
        <v>44651</v>
      </c>
    </row>
    <row r="7484" spans="1:3">
      <c r="A7484" t="s">
        <v>89</v>
      </c>
      <c r="B7484">
        <v>8.0752780154539998</v>
      </c>
      <c r="C7484" s="1">
        <v>44651</v>
      </c>
    </row>
    <row r="7485" spans="1:3">
      <c r="A7485" t="s">
        <v>91</v>
      </c>
      <c r="B7485">
        <v>19.777587681917002</v>
      </c>
      <c r="C7485" s="1">
        <v>44651</v>
      </c>
    </row>
    <row r="7486" spans="1:3">
      <c r="A7486" t="s">
        <v>93</v>
      </c>
      <c r="B7486">
        <v>18.846193327761601</v>
      </c>
      <c r="C7486" s="1">
        <v>44651</v>
      </c>
    </row>
    <row r="7487" spans="1:3">
      <c r="A7487" t="s">
        <v>95</v>
      </c>
      <c r="B7487">
        <v>0.46330196749681002</v>
      </c>
      <c r="C7487" s="1">
        <v>44651</v>
      </c>
    </row>
    <row r="7488" spans="1:3">
      <c r="A7488" t="s">
        <v>97</v>
      </c>
      <c r="B7488">
        <v>5.1462788708655998</v>
      </c>
      <c r="C7488" s="1">
        <v>44651</v>
      </c>
    </row>
    <row r="7489" spans="1:3">
      <c r="A7489" t="s">
        <v>99</v>
      </c>
      <c r="B7489">
        <v>3.9007698888209998</v>
      </c>
      <c r="C7489" s="1">
        <v>44651</v>
      </c>
    </row>
    <row r="7490" spans="1:3">
      <c r="A7490" t="s">
        <v>101</v>
      </c>
      <c r="B7490">
        <v>10.1974337040915</v>
      </c>
      <c r="C7490" s="1">
        <v>44651</v>
      </c>
    </row>
    <row r="7491" spans="1:3">
      <c r="A7491" t="s">
        <v>105</v>
      </c>
      <c r="B7491">
        <v>0.29084687767525003</v>
      </c>
      <c r="C7491" s="1">
        <v>44651</v>
      </c>
    </row>
    <row r="7492" spans="1:3">
      <c r="A7492" t="s">
        <v>107</v>
      </c>
      <c r="B7492">
        <v>2.05098374680641</v>
      </c>
      <c r="C7492" s="1">
        <v>44651</v>
      </c>
    </row>
    <row r="7493" spans="1:3">
      <c r="A7493" t="s">
        <v>109</v>
      </c>
      <c r="B7493">
        <v>5.05594525238764</v>
      </c>
      <c r="C7493" s="1">
        <v>44651</v>
      </c>
    </row>
    <row r="7494" spans="1:3">
      <c r="A7494" t="s">
        <v>111</v>
      </c>
      <c r="B7494">
        <v>7.9712574850854399</v>
      </c>
      <c r="C7494" s="1">
        <v>44651</v>
      </c>
    </row>
    <row r="7495" spans="1:3">
      <c r="A7495" t="s">
        <v>113</v>
      </c>
      <c r="B7495">
        <v>10.0858853721831</v>
      </c>
      <c r="C7495" s="1">
        <v>44651</v>
      </c>
    </row>
    <row r="7496" spans="1:3">
      <c r="A7496" t="s">
        <v>115</v>
      </c>
      <c r="B7496">
        <v>3.9541488451943398</v>
      </c>
      <c r="C7496" s="1">
        <v>44651</v>
      </c>
    </row>
    <row r="7497" spans="1:3">
      <c r="A7497" t="s">
        <v>117</v>
      </c>
      <c r="B7497">
        <v>3.6790419161932801</v>
      </c>
      <c r="C7497" s="1">
        <v>44651</v>
      </c>
    </row>
    <row r="7498" spans="1:3">
      <c r="A7498" t="s">
        <v>119</v>
      </c>
      <c r="B7498">
        <v>44.849957228712597</v>
      </c>
      <c r="C7498" s="1">
        <v>44651</v>
      </c>
    </row>
    <row r="7499" spans="1:3">
      <c r="A7499" t="s">
        <v>121</v>
      </c>
      <c r="B7499">
        <v>10.252865697248399</v>
      </c>
      <c r="C7499" s="1">
        <v>44651</v>
      </c>
    </row>
    <row r="7500" spans="1:3">
      <c r="A7500" t="s">
        <v>123</v>
      </c>
      <c r="B7500">
        <v>4.9409751925065999</v>
      </c>
      <c r="C7500" s="1">
        <v>44651</v>
      </c>
    </row>
    <row r="7501" spans="1:3">
      <c r="A7501" t="s">
        <v>125</v>
      </c>
      <c r="B7501">
        <v>113.883319076926</v>
      </c>
      <c r="C7501" s="1">
        <v>44651</v>
      </c>
    </row>
    <row r="7502" spans="1:3">
      <c r="A7502" t="s">
        <v>127</v>
      </c>
      <c r="B7502">
        <v>13.00256629607</v>
      </c>
      <c r="C7502" s="1">
        <v>44651</v>
      </c>
    </row>
    <row r="7503" spans="1:3">
      <c r="A7503" t="s">
        <v>129</v>
      </c>
      <c r="B7503">
        <v>5.3016253208239101</v>
      </c>
      <c r="C7503" s="1">
        <v>44651</v>
      </c>
    </row>
    <row r="7504" spans="1:3">
      <c r="A7504" t="s">
        <v>131</v>
      </c>
      <c r="B7504">
        <v>2.7832335329535098</v>
      </c>
      <c r="C7504" s="1">
        <v>44651</v>
      </c>
    </row>
    <row r="7505" spans="1:3">
      <c r="A7505" t="s">
        <v>134</v>
      </c>
      <c r="B7505">
        <v>2.0119760479181998</v>
      </c>
      <c r="C7505" s="1">
        <v>44651</v>
      </c>
    </row>
    <row r="7506" spans="1:3">
      <c r="A7506" t="s">
        <v>136</v>
      </c>
      <c r="B7506">
        <v>16.1957228401469</v>
      </c>
      <c r="C7506" s="1">
        <v>44651</v>
      </c>
    </row>
    <row r="7507" spans="1:3">
      <c r="A7507" t="s">
        <v>138</v>
      </c>
      <c r="B7507">
        <v>15.308810949636101</v>
      </c>
      <c r="C7507" s="1">
        <v>44651</v>
      </c>
    </row>
    <row r="7508" spans="1:3">
      <c r="A7508" t="s">
        <v>140</v>
      </c>
      <c r="B7508">
        <v>21.1497005989496</v>
      </c>
      <c r="C7508" s="1">
        <v>44651</v>
      </c>
    </row>
    <row r="7509" spans="1:3">
      <c r="A7509" t="s">
        <v>142</v>
      </c>
      <c r="B7509">
        <v>6.6730538922620299</v>
      </c>
      <c r="C7509" s="1">
        <v>44651</v>
      </c>
    </row>
    <row r="7510" spans="1:3">
      <c r="A7510" t="s">
        <v>144</v>
      </c>
      <c r="B7510">
        <v>3.0781864841959399</v>
      </c>
      <c r="C7510" s="1">
        <v>44651</v>
      </c>
    </row>
    <row r="7511" spans="1:3">
      <c r="A7511" t="s">
        <v>146</v>
      </c>
      <c r="B7511">
        <v>3.8939264328757002</v>
      </c>
      <c r="C7511" s="1">
        <v>44651</v>
      </c>
    </row>
    <row r="7512" spans="1:3">
      <c r="A7512" t="s">
        <v>148</v>
      </c>
      <c r="B7512">
        <v>12.4646706587694</v>
      </c>
      <c r="C7512" s="1">
        <v>44651</v>
      </c>
    </row>
    <row r="7513" spans="1:3">
      <c r="A7513" t="s">
        <v>150</v>
      </c>
      <c r="B7513">
        <v>4.9341317365612998</v>
      </c>
      <c r="C7513" s="1">
        <v>44651</v>
      </c>
    </row>
    <row r="7514" spans="1:3">
      <c r="A7514" t="s">
        <v>152</v>
      </c>
      <c r="B7514">
        <v>23.9863130882765</v>
      </c>
      <c r="C7514" s="1">
        <v>44651</v>
      </c>
    </row>
    <row r="7515" spans="1:3">
      <c r="A7515" t="s">
        <v>154</v>
      </c>
      <c r="B7515">
        <v>11.079555175440699</v>
      </c>
      <c r="C7515" s="1">
        <v>44651</v>
      </c>
    </row>
    <row r="7516" spans="1:3">
      <c r="A7516" t="s">
        <v>156</v>
      </c>
      <c r="B7516">
        <v>24.294268605814999</v>
      </c>
      <c r="C7516" s="1">
        <v>44651</v>
      </c>
    </row>
    <row r="7517" spans="1:3">
      <c r="A7517" t="s">
        <v>158</v>
      </c>
      <c r="B7517">
        <v>137.31531223363299</v>
      </c>
      <c r="C7517" s="1">
        <v>44651</v>
      </c>
    </row>
    <row r="7518" spans="1:3">
      <c r="A7518" t="s">
        <v>160</v>
      </c>
      <c r="B7518">
        <v>15.950042771710701</v>
      </c>
      <c r="C7518" s="1">
        <v>44651</v>
      </c>
    </row>
    <row r="7519" spans="1:3">
      <c r="A7519" t="s">
        <v>162</v>
      </c>
      <c r="B7519">
        <v>15.3998289137085</v>
      </c>
      <c r="C7519" s="1">
        <v>44651</v>
      </c>
    </row>
    <row r="7520" spans="1:3">
      <c r="A7520" t="s">
        <v>164</v>
      </c>
      <c r="B7520">
        <v>15.6065012832566</v>
      </c>
      <c r="C7520" s="1">
        <v>44651</v>
      </c>
    </row>
    <row r="7521" spans="1:3">
      <c r="A7521" t="s">
        <v>166</v>
      </c>
      <c r="B7521">
        <v>7.9726261762744999</v>
      </c>
      <c r="C7521" s="1">
        <v>44651</v>
      </c>
    </row>
    <row r="7522" spans="1:3">
      <c r="A7522" t="s">
        <v>168</v>
      </c>
      <c r="B7522">
        <v>19.582549187475902</v>
      </c>
      <c r="C7522" s="1">
        <v>44651</v>
      </c>
    </row>
    <row r="7523" spans="1:3">
      <c r="A7523" t="s">
        <v>4</v>
      </c>
      <c r="B7523">
        <v>0.27250454437503902</v>
      </c>
      <c r="C7523" s="1">
        <v>44681</v>
      </c>
    </row>
    <row r="7524" spans="1:3">
      <c r="A7524" t="s">
        <v>8</v>
      </c>
      <c r="B7524">
        <v>18.999446771391899</v>
      </c>
      <c r="C7524" s="1">
        <v>44681</v>
      </c>
    </row>
    <row r="7525" spans="1:3">
      <c r="A7525" t="s">
        <v>11</v>
      </c>
      <c r="B7525">
        <v>41.978977317356801</v>
      </c>
      <c r="C7525" s="1">
        <v>44681</v>
      </c>
    </row>
    <row r="7526" spans="1:3">
      <c r="A7526" t="s">
        <v>14</v>
      </c>
      <c r="B7526">
        <v>5.9432545640959997</v>
      </c>
      <c r="C7526" s="1">
        <v>44681</v>
      </c>
    </row>
    <row r="7527" spans="1:3">
      <c r="A7527" t="s">
        <v>17</v>
      </c>
      <c r="B7527">
        <v>11.9636449853004</v>
      </c>
      <c r="C7527" s="1">
        <v>44681</v>
      </c>
    </row>
    <row r="7528" spans="1:3">
      <c r="A7528" t="s">
        <v>20</v>
      </c>
      <c r="B7528">
        <v>0.43120208645887997</v>
      </c>
      <c r="C7528" s="1">
        <v>44681</v>
      </c>
    </row>
    <row r="7529" spans="1:3">
      <c r="A7529" t="s">
        <v>24</v>
      </c>
      <c r="B7529">
        <v>0.66387418003200005</v>
      </c>
      <c r="C7529" s="1">
        <v>44681</v>
      </c>
    </row>
    <row r="7530" spans="1:3">
      <c r="A7530" t="s">
        <v>27</v>
      </c>
      <c r="B7530">
        <v>45.095392396764097</v>
      </c>
      <c r="C7530" s="1">
        <v>44681</v>
      </c>
    </row>
    <row r="7531" spans="1:3">
      <c r="A7531" t="s">
        <v>29</v>
      </c>
      <c r="B7531">
        <v>1.3606259385036701</v>
      </c>
      <c r="C7531" s="1">
        <v>44681</v>
      </c>
    </row>
    <row r="7532" spans="1:3">
      <c r="A7532" t="s">
        <v>32</v>
      </c>
      <c r="B7532">
        <v>9.6091045601203096</v>
      </c>
      <c r="C7532" s="1">
        <v>44681</v>
      </c>
    </row>
    <row r="7533" spans="1:3">
      <c r="A7533" t="s">
        <v>35</v>
      </c>
      <c r="B7533">
        <v>3.39460997389696</v>
      </c>
      <c r="C7533" s="1">
        <v>44681</v>
      </c>
    </row>
    <row r="7534" spans="1:3">
      <c r="A7534" t="s">
        <v>37</v>
      </c>
      <c r="B7534">
        <v>0.35596301272191999</v>
      </c>
      <c r="C7534" s="1">
        <v>44681</v>
      </c>
    </row>
    <row r="7535" spans="1:3">
      <c r="A7535" t="s">
        <v>39</v>
      </c>
      <c r="B7535">
        <v>2.67509681496704</v>
      </c>
      <c r="C7535" s="1">
        <v>44681</v>
      </c>
    </row>
    <row r="7536" spans="1:3">
      <c r="A7536" t="s">
        <v>42</v>
      </c>
      <c r="B7536">
        <v>4.12487157193216</v>
      </c>
      <c r="C7536" s="1">
        <v>44681</v>
      </c>
    </row>
    <row r="7537" spans="1:3">
      <c r="A7537" t="s">
        <v>44</v>
      </c>
      <c r="B7537">
        <v>14.320714454976001</v>
      </c>
      <c r="C7537" s="1">
        <v>44681</v>
      </c>
    </row>
    <row r="7538" spans="1:3">
      <c r="A7538" t="s">
        <v>47</v>
      </c>
      <c r="B7538">
        <v>7.0180984746239998</v>
      </c>
      <c r="C7538" s="1">
        <v>44681</v>
      </c>
    </row>
    <row r="7539" spans="1:3">
      <c r="A7539" t="s">
        <v>49</v>
      </c>
      <c r="B7539">
        <v>10.462024816180399</v>
      </c>
      <c r="C7539" s="1">
        <v>44681</v>
      </c>
    </row>
    <row r="7540" spans="1:3">
      <c r="A7540" t="s">
        <v>51</v>
      </c>
      <c r="B7540">
        <v>0.85039121156479902</v>
      </c>
      <c r="C7540" s="1">
        <v>44681</v>
      </c>
    </row>
    <row r="7541" spans="1:3">
      <c r="A7541" t="s">
        <v>53</v>
      </c>
      <c r="B7541">
        <v>0.68790010273792002</v>
      </c>
      <c r="C7541" s="1">
        <v>44681</v>
      </c>
    </row>
    <row r="7542" spans="1:3">
      <c r="A7542" t="s">
        <v>55</v>
      </c>
      <c r="B7542">
        <v>2.6441160198988798</v>
      </c>
      <c r="C7542" s="1">
        <v>44681</v>
      </c>
    </row>
    <row r="7543" spans="1:3">
      <c r="A7543" t="s">
        <v>57</v>
      </c>
      <c r="B7543">
        <v>2.98806607126784</v>
      </c>
      <c r="C7543" s="1">
        <v>44681</v>
      </c>
    </row>
    <row r="7544" spans="1:3">
      <c r="A7544" t="s">
        <v>59</v>
      </c>
      <c r="B7544">
        <v>3.6645854737766399</v>
      </c>
      <c r="C7544" s="1">
        <v>44681</v>
      </c>
    </row>
    <row r="7545" spans="1:3">
      <c r="A7545" t="s">
        <v>61</v>
      </c>
      <c r="B7545">
        <v>140.56176400761299</v>
      </c>
      <c r="C7545" s="1">
        <v>44681</v>
      </c>
    </row>
    <row r="7546" spans="1:3">
      <c r="A7546" t="s">
        <v>63</v>
      </c>
      <c r="B7546">
        <v>9.6615822333990398</v>
      </c>
      <c r="C7546" s="1">
        <v>44681</v>
      </c>
    </row>
    <row r="7547" spans="1:3">
      <c r="A7547" t="s">
        <v>65</v>
      </c>
      <c r="B7547">
        <v>0.27693037224191902</v>
      </c>
      <c r="C7547" s="1">
        <v>44681</v>
      </c>
    </row>
    <row r="7548" spans="1:3">
      <c r="A7548" t="s">
        <v>67</v>
      </c>
      <c r="B7548">
        <v>9.6268078715878396</v>
      </c>
      <c r="C7548" s="1">
        <v>44681</v>
      </c>
    </row>
    <row r="7549" spans="1:3">
      <c r="A7549" t="s">
        <v>69</v>
      </c>
      <c r="B7549">
        <v>3.5558365604761599</v>
      </c>
      <c r="C7549" s="1">
        <v>44681</v>
      </c>
    </row>
    <row r="7550" spans="1:3">
      <c r="A7550" t="s">
        <v>71</v>
      </c>
      <c r="B7550">
        <v>1.1254248004352001</v>
      </c>
      <c r="C7550" s="1">
        <v>44681</v>
      </c>
    </row>
    <row r="7551" spans="1:3">
      <c r="A7551" t="s">
        <v>73</v>
      </c>
      <c r="B7551">
        <v>0.96419821385600002</v>
      </c>
      <c r="C7551" s="1">
        <v>44681</v>
      </c>
    </row>
    <row r="7552" spans="1:3">
      <c r="A7552" t="s">
        <v>75</v>
      </c>
      <c r="B7552">
        <v>0.142258752864</v>
      </c>
      <c r="C7552" s="1">
        <v>44681</v>
      </c>
    </row>
    <row r="7553" spans="1:3">
      <c r="A7553" t="s">
        <v>77</v>
      </c>
      <c r="B7553">
        <v>0.89275270686207997</v>
      </c>
      <c r="C7553" s="1">
        <v>44681</v>
      </c>
    </row>
    <row r="7554" spans="1:3">
      <c r="A7554" t="s">
        <v>79</v>
      </c>
      <c r="B7554">
        <v>4.0338259700991896</v>
      </c>
      <c r="C7554" s="1">
        <v>44681</v>
      </c>
    </row>
    <row r="7555" spans="1:3">
      <c r="A7555" t="s">
        <v>81</v>
      </c>
      <c r="B7555">
        <v>4.7147712004748703</v>
      </c>
      <c r="C7555" s="1">
        <v>44681</v>
      </c>
    </row>
    <row r="7556" spans="1:3">
      <c r="A7556" t="s">
        <v>83</v>
      </c>
      <c r="B7556">
        <v>0.3224531731584</v>
      </c>
      <c r="C7556" s="1">
        <v>44681</v>
      </c>
    </row>
    <row r="7557" spans="1:3">
      <c r="A7557" t="s">
        <v>85</v>
      </c>
      <c r="B7557">
        <v>2.2887852683008001</v>
      </c>
      <c r="C7557" s="1">
        <v>44681</v>
      </c>
    </row>
    <row r="7558" spans="1:3">
      <c r="A7558" t="s">
        <v>87</v>
      </c>
      <c r="B7558">
        <v>10.7566584998899</v>
      </c>
      <c r="C7558" s="1">
        <v>44681</v>
      </c>
    </row>
    <row r="7559" spans="1:3">
      <c r="A7559" t="s">
        <v>89</v>
      </c>
      <c r="B7559">
        <v>9.2411285860454395</v>
      </c>
      <c r="C7559" s="1">
        <v>44681</v>
      </c>
    </row>
    <row r="7560" spans="1:3">
      <c r="A7560" t="s">
        <v>91</v>
      </c>
      <c r="B7560">
        <v>18.470244210737899</v>
      </c>
      <c r="C7560" s="1">
        <v>44681</v>
      </c>
    </row>
    <row r="7561" spans="1:3">
      <c r="A7561" t="s">
        <v>93</v>
      </c>
      <c r="B7561">
        <v>17.990990278867201</v>
      </c>
      <c r="C7561" s="1">
        <v>44681</v>
      </c>
    </row>
    <row r="7562" spans="1:3">
      <c r="A7562" t="s">
        <v>95</v>
      </c>
      <c r="B7562">
        <v>0.43309886983039902</v>
      </c>
      <c r="C7562" s="1">
        <v>44681</v>
      </c>
    </row>
    <row r="7563" spans="1:3">
      <c r="A7563" t="s">
        <v>97</v>
      </c>
      <c r="B7563">
        <v>5.2736900339494399</v>
      </c>
      <c r="C7563" s="1">
        <v>44681</v>
      </c>
    </row>
    <row r="7564" spans="1:3">
      <c r="A7564" t="s">
        <v>99</v>
      </c>
      <c r="B7564">
        <v>3.5248557654080002</v>
      </c>
      <c r="C7564" s="1">
        <v>44681</v>
      </c>
    </row>
    <row r="7565" spans="1:3">
      <c r="A7565" t="s">
        <v>101</v>
      </c>
      <c r="B7565">
        <v>9.3663162885657592</v>
      </c>
      <c r="C7565" s="1">
        <v>44681</v>
      </c>
    </row>
    <row r="7566" spans="1:3">
      <c r="A7566" t="s">
        <v>105</v>
      </c>
      <c r="B7566">
        <v>0.24405279380223999</v>
      </c>
      <c r="C7566" s="1">
        <v>44681</v>
      </c>
    </row>
    <row r="7567" spans="1:3">
      <c r="A7567" t="s">
        <v>107</v>
      </c>
      <c r="B7567">
        <v>1.81332490317312</v>
      </c>
      <c r="C7567" s="1">
        <v>44681</v>
      </c>
    </row>
    <row r="7568" spans="1:3">
      <c r="A7568" t="s">
        <v>109</v>
      </c>
      <c r="B7568">
        <v>4.1602781948671996</v>
      </c>
      <c r="C7568" s="1">
        <v>44681</v>
      </c>
    </row>
    <row r="7569" spans="1:3">
      <c r="A7569" t="s">
        <v>111</v>
      </c>
      <c r="B7569">
        <v>6.43831502406272</v>
      </c>
      <c r="C7569" s="1">
        <v>44681</v>
      </c>
    </row>
    <row r="7570" spans="1:3">
      <c r="A7570" t="s">
        <v>113</v>
      </c>
      <c r="B7570">
        <v>8.7833715323852797</v>
      </c>
      <c r="C7570" s="1">
        <v>44681</v>
      </c>
    </row>
    <row r="7571" spans="1:3">
      <c r="A7571" t="s">
        <v>115</v>
      </c>
      <c r="B7571">
        <v>3.7568955978572798</v>
      </c>
      <c r="C7571" s="1">
        <v>44681</v>
      </c>
    </row>
    <row r="7572" spans="1:3">
      <c r="A7572" t="s">
        <v>117</v>
      </c>
      <c r="B7572">
        <v>3.63992728994688</v>
      </c>
      <c r="C7572" s="1">
        <v>44681</v>
      </c>
    </row>
    <row r="7573" spans="1:3">
      <c r="A7573" t="s">
        <v>119</v>
      </c>
      <c r="B7573">
        <v>33.762744013056</v>
      </c>
      <c r="C7573" s="1">
        <v>44681</v>
      </c>
    </row>
    <row r="7574" spans="1:3">
      <c r="A7574" t="s">
        <v>121</v>
      </c>
      <c r="B7574">
        <v>9.0040306646054393</v>
      </c>
      <c r="C7574" s="1">
        <v>44681</v>
      </c>
    </row>
    <row r="7575" spans="1:3">
      <c r="A7575" t="s">
        <v>123</v>
      </c>
      <c r="B7575">
        <v>4.1621749782387196</v>
      </c>
      <c r="C7575" s="1">
        <v>44681</v>
      </c>
    </row>
    <row r="7576" spans="1:3">
      <c r="A7576" t="s">
        <v>125</v>
      </c>
      <c r="B7576">
        <v>101.651782185375</v>
      </c>
      <c r="C7576" s="1">
        <v>44681</v>
      </c>
    </row>
    <row r="7577" spans="1:3">
      <c r="A7577" t="s">
        <v>127</v>
      </c>
      <c r="B7577">
        <v>10.665612898056899</v>
      </c>
      <c r="C7577" s="1">
        <v>44681</v>
      </c>
    </row>
    <row r="7578" spans="1:3">
      <c r="A7578" t="s">
        <v>129</v>
      </c>
      <c r="B7578">
        <v>4.3303564371801597</v>
      </c>
      <c r="C7578" s="1">
        <v>44681</v>
      </c>
    </row>
    <row r="7579" spans="1:3">
      <c r="A7579" t="s">
        <v>131</v>
      </c>
      <c r="B7579">
        <v>2.4835216944435201</v>
      </c>
      <c r="C7579" s="1">
        <v>44681</v>
      </c>
    </row>
    <row r="7580" spans="1:3">
      <c r="A7580" t="s">
        <v>134</v>
      </c>
      <c r="B7580">
        <v>1.6995179008819199</v>
      </c>
      <c r="C7580" s="1">
        <v>44681</v>
      </c>
    </row>
    <row r="7581" spans="1:3">
      <c r="A7581" t="s">
        <v>136</v>
      </c>
      <c r="B7581">
        <v>14.4800442581836</v>
      </c>
      <c r="C7581" s="1">
        <v>44681</v>
      </c>
    </row>
    <row r="7582" spans="1:3">
      <c r="A7582" t="s">
        <v>138</v>
      </c>
      <c r="B7582">
        <v>13.786453805331201</v>
      </c>
      <c r="C7582" s="1">
        <v>44681</v>
      </c>
    </row>
    <row r="7583" spans="1:3">
      <c r="A7583" t="s">
        <v>140</v>
      </c>
      <c r="B7583">
        <v>19.651940251194802</v>
      </c>
      <c r="C7583" s="1">
        <v>44681</v>
      </c>
    </row>
    <row r="7584" spans="1:3">
      <c r="A7584" t="s">
        <v>142</v>
      </c>
      <c r="B7584">
        <v>6.0842487947123196</v>
      </c>
      <c r="C7584" s="1">
        <v>44681</v>
      </c>
    </row>
    <row r="7585" spans="1:3">
      <c r="A7585" t="s">
        <v>144</v>
      </c>
      <c r="B7585">
        <v>2.7844779893913598</v>
      </c>
      <c r="C7585" s="1">
        <v>44681</v>
      </c>
    </row>
    <row r="7586" spans="1:3">
      <c r="A7586" t="s">
        <v>146</v>
      </c>
      <c r="B7586">
        <v>3.68671461311104</v>
      </c>
      <c r="C7586" s="1">
        <v>44681</v>
      </c>
    </row>
    <row r="7587" spans="1:3">
      <c r="A7587" t="s">
        <v>148</v>
      </c>
      <c r="B7587">
        <v>10.621986880512001</v>
      </c>
      <c r="C7587" s="1">
        <v>44681</v>
      </c>
    </row>
    <row r="7588" spans="1:3">
      <c r="A7588" t="s">
        <v>150</v>
      </c>
      <c r="B7588">
        <v>4.34805974864768</v>
      </c>
      <c r="C7588" s="1">
        <v>44681</v>
      </c>
    </row>
    <row r="7589" spans="1:3">
      <c r="A7589" t="s">
        <v>152</v>
      </c>
      <c r="B7589">
        <v>20.809610368945901</v>
      </c>
      <c r="C7589" s="1">
        <v>44681</v>
      </c>
    </row>
    <row r="7590" spans="1:3">
      <c r="A7590" t="s">
        <v>154</v>
      </c>
      <c r="B7590">
        <v>9.8000474195200002</v>
      </c>
      <c r="C7590" s="1">
        <v>44681</v>
      </c>
    </row>
    <row r="7591" spans="1:3">
      <c r="A7591" t="s">
        <v>156</v>
      </c>
      <c r="B7591">
        <v>24.833952422187501</v>
      </c>
      <c r="C7591" s="1">
        <v>44681</v>
      </c>
    </row>
    <row r="7592" spans="1:3">
      <c r="A7592" t="s">
        <v>158</v>
      </c>
      <c r="B7592">
        <v>110.941594877957</v>
      </c>
      <c r="C7592" s="1">
        <v>44681</v>
      </c>
    </row>
    <row r="7593" spans="1:3">
      <c r="A7593" t="s">
        <v>160</v>
      </c>
      <c r="B7593">
        <v>14.016596854408901</v>
      </c>
      <c r="C7593" s="1">
        <v>44681</v>
      </c>
    </row>
    <row r="7594" spans="1:3">
      <c r="A7594" t="s">
        <v>162</v>
      </c>
      <c r="B7594">
        <v>13.0378566347046</v>
      </c>
      <c r="C7594" s="1">
        <v>44681</v>
      </c>
    </row>
    <row r="7595" spans="1:3">
      <c r="A7595" t="s">
        <v>164</v>
      </c>
      <c r="B7595">
        <v>13.7611633603776</v>
      </c>
      <c r="C7595" s="1">
        <v>44681</v>
      </c>
    </row>
    <row r="7596" spans="1:3">
      <c r="A7596" t="s">
        <v>166</v>
      </c>
      <c r="B7596">
        <v>7.24950604594944</v>
      </c>
      <c r="C7596" s="1">
        <v>44681</v>
      </c>
    </row>
    <row r="7597" spans="1:3">
      <c r="A7597" t="s">
        <v>168</v>
      </c>
      <c r="B7597">
        <v>16.558286572245699</v>
      </c>
      <c r="C7597" s="1">
        <v>44681</v>
      </c>
    </row>
    <row r="7598" spans="1:3">
      <c r="A7598" t="s">
        <v>4</v>
      </c>
      <c r="B7598">
        <v>0.25090238228884998</v>
      </c>
      <c r="C7598" s="1">
        <v>44712</v>
      </c>
    </row>
    <row r="7599" spans="1:3">
      <c r="A7599" t="s">
        <v>8</v>
      </c>
      <c r="B7599">
        <v>19.481190342473599</v>
      </c>
      <c r="C7599" s="1">
        <v>44712</v>
      </c>
    </row>
    <row r="7600" spans="1:3">
      <c r="A7600" t="s">
        <v>11</v>
      </c>
      <c r="B7600">
        <v>44.266623886992399</v>
      </c>
      <c r="C7600" s="1">
        <v>44712</v>
      </c>
    </row>
    <row r="7601" spans="1:3">
      <c r="A7601" t="s">
        <v>14</v>
      </c>
      <c r="B7601">
        <v>6.1358787198106999</v>
      </c>
      <c r="C7601" s="1">
        <v>44712</v>
      </c>
    </row>
    <row r="7602" spans="1:3">
      <c r="A7602" t="s">
        <v>17</v>
      </c>
      <c r="B7602">
        <v>11.123766744187201</v>
      </c>
      <c r="C7602" s="1">
        <v>44712</v>
      </c>
    </row>
    <row r="7603" spans="1:3">
      <c r="A7603" t="s">
        <v>20</v>
      </c>
      <c r="B7603">
        <v>0.43635196919800001</v>
      </c>
      <c r="C7603" s="1">
        <v>44712</v>
      </c>
    </row>
    <row r="7604" spans="1:3">
      <c r="A7604" t="s">
        <v>24</v>
      </c>
      <c r="B7604">
        <v>0.66030320044814905</v>
      </c>
      <c r="C7604" s="1">
        <v>44712</v>
      </c>
    </row>
    <row r="7605" spans="1:3">
      <c r="A7605" t="s">
        <v>27</v>
      </c>
      <c r="B7605">
        <v>48.89708831307</v>
      </c>
      <c r="C7605" s="1">
        <v>44712</v>
      </c>
    </row>
    <row r="7606" spans="1:3">
      <c r="A7606" t="s">
        <v>29</v>
      </c>
      <c r="B7606">
        <v>1.18135878719635</v>
      </c>
      <c r="C7606" s="1">
        <v>44712</v>
      </c>
    </row>
    <row r="7607" spans="1:3">
      <c r="A7607" t="s">
        <v>32</v>
      </c>
      <c r="B7607">
        <v>9.4329028635449994</v>
      </c>
      <c r="C7607" s="1">
        <v>44712</v>
      </c>
    </row>
    <row r="7608" spans="1:3">
      <c r="A7608" t="s">
        <v>35</v>
      </c>
      <c r="B7608">
        <v>3.5569102430360502</v>
      </c>
      <c r="C7608" s="1">
        <v>44712</v>
      </c>
    </row>
    <row r="7609" spans="1:3">
      <c r="A7609" t="s">
        <v>37</v>
      </c>
      <c r="B7609">
        <v>0.36127376273305001</v>
      </c>
      <c r="C7609" s="1">
        <v>44712</v>
      </c>
    </row>
    <row r="7610" spans="1:3">
      <c r="A7610" t="s">
        <v>39</v>
      </c>
      <c r="B7610">
        <v>2.5346915857824999</v>
      </c>
      <c r="C7610" s="1">
        <v>44712</v>
      </c>
    </row>
    <row r="7611" spans="1:3">
      <c r="A7611" t="s">
        <v>42</v>
      </c>
      <c r="B7611">
        <v>4.1819202695049498</v>
      </c>
      <c r="C7611" s="1">
        <v>44712</v>
      </c>
    </row>
    <row r="7612" spans="1:3">
      <c r="A7612" t="s">
        <v>44</v>
      </c>
      <c r="B7612">
        <v>14.1987647388884</v>
      </c>
      <c r="C7612" s="1">
        <v>44712</v>
      </c>
    </row>
    <row r="7613" spans="1:3">
      <c r="A7613" t="s">
        <v>47</v>
      </c>
      <c r="B7613">
        <v>7.2132830672863504</v>
      </c>
      <c r="C7613" s="1">
        <v>44712</v>
      </c>
    </row>
    <row r="7614" spans="1:3">
      <c r="A7614" t="s">
        <v>49</v>
      </c>
      <c r="B7614">
        <v>9.8378118231978497</v>
      </c>
      <c r="C7614" s="1">
        <v>44712</v>
      </c>
    </row>
    <row r="7615" spans="1:3">
      <c r="A7615" t="s">
        <v>51</v>
      </c>
      <c r="B7615">
        <v>0.88232934948124997</v>
      </c>
      <c r="C7615" s="1">
        <v>44712</v>
      </c>
    </row>
    <row r="7616" spans="1:3">
      <c r="A7616" t="s">
        <v>53</v>
      </c>
      <c r="B7616">
        <v>0.66607844709929998</v>
      </c>
      <c r="C7616" s="1">
        <v>44712</v>
      </c>
    </row>
    <row r="7617" spans="1:3">
      <c r="A7617" t="s">
        <v>55</v>
      </c>
      <c r="B7617">
        <v>2.3986524424443001</v>
      </c>
      <c r="C7617" s="1">
        <v>44712</v>
      </c>
    </row>
    <row r="7618" spans="1:3">
      <c r="A7618" t="s">
        <v>57</v>
      </c>
      <c r="B7618">
        <v>2.9825940482828002</v>
      </c>
      <c r="C7618" s="1">
        <v>44712</v>
      </c>
    </row>
    <row r="7619" spans="1:3">
      <c r="A7619" t="s">
        <v>59</v>
      </c>
      <c r="B7619">
        <v>3.4972326943074998</v>
      </c>
      <c r="C7619" s="1">
        <v>44712</v>
      </c>
    </row>
    <row r="7620" spans="1:3">
      <c r="A7620" t="s">
        <v>61</v>
      </c>
      <c r="B7620">
        <v>144.58779177004601</v>
      </c>
      <c r="C7620" s="1">
        <v>44712</v>
      </c>
    </row>
    <row r="7621" spans="1:3">
      <c r="A7621" t="s">
        <v>63</v>
      </c>
      <c r="B7621">
        <v>12.3340017646393</v>
      </c>
      <c r="C7621" s="1">
        <v>44712</v>
      </c>
    </row>
    <row r="7622" spans="1:3">
      <c r="A7622" t="s">
        <v>65</v>
      </c>
      <c r="B7622">
        <v>0.28106200368930001</v>
      </c>
      <c r="C7622" s="1">
        <v>44712</v>
      </c>
    </row>
    <row r="7623" spans="1:3">
      <c r="A7623" t="s">
        <v>67</v>
      </c>
      <c r="B7623">
        <v>9.3334402823307503</v>
      </c>
      <c r="C7623" s="1">
        <v>44712</v>
      </c>
    </row>
    <row r="7624" spans="1:3">
      <c r="A7624" t="s">
        <v>69</v>
      </c>
      <c r="B7624">
        <v>3.4959493061628</v>
      </c>
      <c r="C7624" s="1">
        <v>44712</v>
      </c>
    </row>
    <row r="7625" spans="1:3">
      <c r="A7625" t="s">
        <v>71</v>
      </c>
      <c r="B7625">
        <v>1.2275607604055501</v>
      </c>
      <c r="C7625" s="1">
        <v>44712</v>
      </c>
    </row>
    <row r="7626" spans="1:3">
      <c r="A7626" t="s">
        <v>73</v>
      </c>
      <c r="B7626">
        <v>0.98307531884020005</v>
      </c>
      <c r="C7626" s="1">
        <v>44712</v>
      </c>
    </row>
    <row r="7627" spans="1:3">
      <c r="A7627" t="s">
        <v>75</v>
      </c>
      <c r="B7627">
        <v>0.13860591962759999</v>
      </c>
      <c r="C7627" s="1">
        <v>44712</v>
      </c>
    </row>
    <row r="7628" spans="1:3">
      <c r="A7628" t="s">
        <v>77</v>
      </c>
      <c r="B7628">
        <v>0.92403946418399996</v>
      </c>
      <c r="C7628" s="1">
        <v>44712</v>
      </c>
    </row>
    <row r="7629" spans="1:3">
      <c r="A7629" t="s">
        <v>79</v>
      </c>
      <c r="B7629">
        <v>3.9361514397948998</v>
      </c>
      <c r="C7629" s="1">
        <v>44712</v>
      </c>
    </row>
    <row r="7630" spans="1:3">
      <c r="A7630" t="s">
        <v>81</v>
      </c>
      <c r="B7630">
        <v>5.2381487125930501</v>
      </c>
      <c r="C7630" s="1">
        <v>44712</v>
      </c>
    </row>
    <row r="7631" spans="1:3">
      <c r="A7631" t="s">
        <v>83</v>
      </c>
      <c r="B7631">
        <v>0.30095451993215</v>
      </c>
      <c r="C7631" s="1">
        <v>44712</v>
      </c>
    </row>
    <row r="7632" spans="1:3">
      <c r="A7632" t="s">
        <v>85</v>
      </c>
      <c r="B7632">
        <v>2.3736263736226499</v>
      </c>
      <c r="C7632" s="1">
        <v>44712</v>
      </c>
    </row>
    <row r="7633" spans="1:3">
      <c r="A7633" t="s">
        <v>87</v>
      </c>
      <c r="B7633">
        <v>10.3723429854654</v>
      </c>
      <c r="C7633" s="1">
        <v>44712</v>
      </c>
    </row>
    <row r="7634" spans="1:3">
      <c r="A7634" t="s">
        <v>89</v>
      </c>
      <c r="B7634">
        <v>10.8125451190975</v>
      </c>
      <c r="C7634" s="1">
        <v>44712</v>
      </c>
    </row>
    <row r="7635" spans="1:3">
      <c r="A7635" t="s">
        <v>91</v>
      </c>
      <c r="B7635">
        <v>18.758001122935202</v>
      </c>
      <c r="C7635" s="1">
        <v>44712</v>
      </c>
    </row>
    <row r="7636" spans="1:3">
      <c r="A7636" t="s">
        <v>93</v>
      </c>
      <c r="B7636">
        <v>17.932782545893101</v>
      </c>
      <c r="C7636" s="1">
        <v>44712</v>
      </c>
    </row>
    <row r="7637" spans="1:3">
      <c r="A7637" t="s">
        <v>95</v>
      </c>
      <c r="B7637">
        <v>0.53645624448459905</v>
      </c>
      <c r="C7637" s="1">
        <v>44712</v>
      </c>
    </row>
    <row r="7638" spans="1:3">
      <c r="A7638" t="s">
        <v>97</v>
      </c>
      <c r="B7638">
        <v>5.3639207507736497</v>
      </c>
      <c r="C7638" s="1">
        <v>44712</v>
      </c>
    </row>
    <row r="7639" spans="1:3">
      <c r="A7639" t="s">
        <v>99</v>
      </c>
      <c r="B7639">
        <v>3.6210796502710498</v>
      </c>
      <c r="C7639" s="1">
        <v>44712</v>
      </c>
    </row>
    <row r="7640" spans="1:3">
      <c r="A7640" t="s">
        <v>101</v>
      </c>
      <c r="B7640">
        <v>9.9783428250424997</v>
      </c>
      <c r="C7640" s="1">
        <v>44712</v>
      </c>
    </row>
    <row r="7641" spans="1:3">
      <c r="A7641" t="s">
        <v>105</v>
      </c>
      <c r="B7641">
        <v>0.24063527713124999</v>
      </c>
      <c r="C7641" s="1">
        <v>44712</v>
      </c>
    </row>
    <row r="7642" spans="1:3">
      <c r="A7642" t="s">
        <v>107</v>
      </c>
      <c r="B7642">
        <v>2.0091441405278498</v>
      </c>
      <c r="C7642" s="1">
        <v>44712</v>
      </c>
    </row>
    <row r="7643" spans="1:3">
      <c r="A7643" t="s">
        <v>109</v>
      </c>
      <c r="B7643">
        <v>3.4747734017752498</v>
      </c>
      <c r="C7643" s="1">
        <v>44712</v>
      </c>
    </row>
    <row r="7644" spans="1:3">
      <c r="A7644" t="s">
        <v>111</v>
      </c>
      <c r="B7644">
        <v>6.6383251784607502</v>
      </c>
      <c r="C7644" s="1">
        <v>44712</v>
      </c>
    </row>
    <row r="7645" spans="1:3">
      <c r="A7645" t="s">
        <v>113</v>
      </c>
      <c r="B7645">
        <v>9.09087992298244</v>
      </c>
      <c r="C7645" s="1">
        <v>44712</v>
      </c>
    </row>
    <row r="7646" spans="1:3">
      <c r="A7646" t="s">
        <v>115</v>
      </c>
      <c r="B7646">
        <v>3.5723109007724498</v>
      </c>
      <c r="C7646" s="1">
        <v>44712</v>
      </c>
    </row>
    <row r="7647" spans="1:3">
      <c r="A7647" t="s">
        <v>117</v>
      </c>
      <c r="B7647">
        <v>3.52995909199735</v>
      </c>
      <c r="C7647" s="1">
        <v>44712</v>
      </c>
    </row>
    <row r="7648" spans="1:3">
      <c r="A7648" t="s">
        <v>119</v>
      </c>
      <c r="B7648">
        <v>37.838132670190099</v>
      </c>
      <c r="C7648" s="1">
        <v>44712</v>
      </c>
    </row>
    <row r="7649" spans="1:3">
      <c r="A7649" t="s">
        <v>121</v>
      </c>
      <c r="B7649">
        <v>9.6600625651569008</v>
      </c>
      <c r="C7649" s="1">
        <v>44712</v>
      </c>
    </row>
    <row r="7650" spans="1:3">
      <c r="A7650" t="s">
        <v>123</v>
      </c>
      <c r="B7650">
        <v>4.3295099061454501</v>
      </c>
      <c r="C7650" s="1">
        <v>44712</v>
      </c>
    </row>
    <row r="7651" spans="1:3">
      <c r="A7651" t="s">
        <v>125</v>
      </c>
      <c r="B7651">
        <v>110.01395684590101</v>
      </c>
      <c r="C7651" s="1">
        <v>44712</v>
      </c>
    </row>
    <row r="7652" spans="1:3">
      <c r="A7652" t="s">
        <v>127</v>
      </c>
      <c r="B7652">
        <v>10.831795941268</v>
      </c>
      <c r="C7652" s="1">
        <v>44712</v>
      </c>
    </row>
    <row r="7653" spans="1:3">
      <c r="A7653" t="s">
        <v>129</v>
      </c>
      <c r="B7653">
        <v>4.6465067778863496</v>
      </c>
      <c r="C7653" s="1">
        <v>44712</v>
      </c>
    </row>
    <row r="7654" spans="1:3">
      <c r="A7654" t="s">
        <v>131</v>
      </c>
      <c r="B7654">
        <v>2.3755514558397</v>
      </c>
      <c r="C7654" s="1">
        <v>44712</v>
      </c>
    </row>
    <row r="7655" spans="1:3">
      <c r="A7655" t="s">
        <v>134</v>
      </c>
      <c r="B7655">
        <v>1.912248335603</v>
      </c>
      <c r="C7655" s="1">
        <v>44712</v>
      </c>
    </row>
    <row r="7656" spans="1:3">
      <c r="A7656" t="s">
        <v>136</v>
      </c>
      <c r="B7656">
        <v>13.8374909761553</v>
      </c>
      <c r="C7656" s="1">
        <v>44712</v>
      </c>
    </row>
    <row r="7657" spans="1:3">
      <c r="A7657" t="s">
        <v>138</v>
      </c>
      <c r="B7657">
        <v>13.998556188315201</v>
      </c>
      <c r="C7657" s="1">
        <v>44712</v>
      </c>
    </row>
    <row r="7658" spans="1:3">
      <c r="A7658" t="s">
        <v>140</v>
      </c>
      <c r="B7658">
        <v>19.537659420840399</v>
      </c>
      <c r="C7658" s="1">
        <v>44712</v>
      </c>
    </row>
    <row r="7659" spans="1:3">
      <c r="A7659" t="s">
        <v>142</v>
      </c>
      <c r="B7659">
        <v>6.1929894922498496</v>
      </c>
      <c r="C7659" s="1">
        <v>44712</v>
      </c>
    </row>
    <row r="7660" spans="1:3">
      <c r="A7660" t="s">
        <v>144</v>
      </c>
      <c r="B7660">
        <v>2.6270955322009</v>
      </c>
      <c r="C7660" s="1">
        <v>44712</v>
      </c>
    </row>
    <row r="7661" spans="1:3">
      <c r="A7661" t="s">
        <v>146</v>
      </c>
      <c r="B7661">
        <v>3.6499558835268</v>
      </c>
      <c r="C7661" s="1">
        <v>44712</v>
      </c>
    </row>
    <row r="7662" spans="1:3">
      <c r="A7662" t="s">
        <v>148</v>
      </c>
      <c r="B7662">
        <v>11.4683564610392</v>
      </c>
      <c r="C7662" s="1">
        <v>44712</v>
      </c>
    </row>
    <row r="7663" spans="1:3">
      <c r="A7663" t="s">
        <v>150</v>
      </c>
      <c r="B7663">
        <v>4.2351808775100004</v>
      </c>
      <c r="C7663" s="1">
        <v>44712</v>
      </c>
    </row>
    <row r="7664" spans="1:3">
      <c r="A7664" t="s">
        <v>152</v>
      </c>
      <c r="B7664">
        <v>17.590117911258201</v>
      </c>
      <c r="C7664" s="1">
        <v>44712</v>
      </c>
    </row>
    <row r="7665" spans="1:3">
      <c r="A7665" t="s">
        <v>154</v>
      </c>
      <c r="B7665">
        <v>9.1794337049667494</v>
      </c>
      <c r="C7665" s="1">
        <v>44712</v>
      </c>
    </row>
    <row r="7666" spans="1:3">
      <c r="A7666" t="s">
        <v>156</v>
      </c>
      <c r="B7666">
        <v>26.637362637320798</v>
      </c>
      <c r="C7666" s="1">
        <v>44712</v>
      </c>
    </row>
    <row r="7667" spans="1:3">
      <c r="A7667" t="s">
        <v>158</v>
      </c>
      <c r="B7667">
        <v>109.948504050521</v>
      </c>
      <c r="C7667" s="1">
        <v>44712</v>
      </c>
    </row>
    <row r="7668" spans="1:3">
      <c r="A7668" t="s">
        <v>160</v>
      </c>
      <c r="B7668">
        <v>15.233817277589001</v>
      </c>
      <c r="C7668" s="1">
        <v>44712</v>
      </c>
    </row>
    <row r="7669" spans="1:3">
      <c r="A7669" t="s">
        <v>162</v>
      </c>
      <c r="B7669">
        <v>13.734178230507</v>
      </c>
      <c r="C7669" s="1">
        <v>44712</v>
      </c>
    </row>
    <row r="7670" spans="1:3">
      <c r="A7670" t="s">
        <v>164</v>
      </c>
      <c r="B7670">
        <v>9.8211277773167502</v>
      </c>
      <c r="C7670" s="1">
        <v>44712</v>
      </c>
    </row>
    <row r="7671" spans="1:3">
      <c r="A7671" t="s">
        <v>166</v>
      </c>
      <c r="B7671">
        <v>6.3335204940944996</v>
      </c>
      <c r="C7671" s="1">
        <v>44712</v>
      </c>
    </row>
    <row r="7672" spans="1:3">
      <c r="A7672" t="s">
        <v>168</v>
      </c>
      <c r="B7672">
        <v>16.721905831368598</v>
      </c>
      <c r="C7672" s="1">
        <v>44712</v>
      </c>
    </row>
    <row r="7673" spans="1:3">
      <c r="A7673" t="s">
        <v>4</v>
      </c>
      <c r="B7673">
        <v>0.24050053410618</v>
      </c>
      <c r="C7673" s="1">
        <v>44742</v>
      </c>
    </row>
    <row r="7674" spans="1:3">
      <c r="A7674" t="s">
        <v>8</v>
      </c>
      <c r="B7674">
        <v>17.652372958925401</v>
      </c>
      <c r="C7674" s="1">
        <v>44742</v>
      </c>
    </row>
    <row r="7675" spans="1:3">
      <c r="A7675" t="s">
        <v>11</v>
      </c>
      <c r="B7675">
        <v>42.7504959559909</v>
      </c>
      <c r="C7675" s="1">
        <v>44742</v>
      </c>
    </row>
    <row r="7676" spans="1:3">
      <c r="A7676" t="s">
        <v>14</v>
      </c>
      <c r="B7676">
        <v>5.3349610865177999</v>
      </c>
      <c r="C7676" s="1">
        <v>44742</v>
      </c>
    </row>
    <row r="7677" spans="1:3">
      <c r="A7677" t="s">
        <v>17</v>
      </c>
      <c r="B7677">
        <v>10.5319700900203</v>
      </c>
      <c r="C7677" s="1">
        <v>44742</v>
      </c>
    </row>
    <row r="7678" spans="1:3">
      <c r="A7678" t="s">
        <v>20</v>
      </c>
      <c r="B7678">
        <v>0.33877613306834897</v>
      </c>
      <c r="C7678" s="1">
        <v>44742</v>
      </c>
    </row>
    <row r="7679" spans="1:3">
      <c r="A7679" t="s">
        <v>24</v>
      </c>
      <c r="B7679">
        <v>0.55913322142452004</v>
      </c>
      <c r="C7679" s="1">
        <v>44742</v>
      </c>
    </row>
    <row r="7680" spans="1:3">
      <c r="A7680" t="s">
        <v>27</v>
      </c>
      <c r="B7680">
        <v>35.433541889161503</v>
      </c>
      <c r="C7680" s="1">
        <v>44742</v>
      </c>
    </row>
    <row r="7681" spans="1:3">
      <c r="A7681" t="s">
        <v>29</v>
      </c>
      <c r="B7681">
        <v>1.0932397375232701</v>
      </c>
      <c r="C7681" s="1">
        <v>44742</v>
      </c>
    </row>
    <row r="7682" spans="1:3">
      <c r="A7682" t="s">
        <v>32</v>
      </c>
      <c r="B7682">
        <v>8.0042728521176105</v>
      </c>
      <c r="C7682" s="1">
        <v>44742</v>
      </c>
    </row>
    <row r="7683" spans="1:3">
      <c r="A7683" t="s">
        <v>35</v>
      </c>
      <c r="B7683">
        <v>3.03128338165302</v>
      </c>
      <c r="C7683" s="1">
        <v>44742</v>
      </c>
    </row>
    <row r="7684" spans="1:3">
      <c r="A7684" t="s">
        <v>37</v>
      </c>
      <c r="B7684">
        <v>0.37967343201533998</v>
      </c>
      <c r="C7684" s="1">
        <v>44742</v>
      </c>
    </row>
    <row r="7685" spans="1:3">
      <c r="A7685" t="s">
        <v>39</v>
      </c>
      <c r="B7685">
        <v>2.0936975431070999</v>
      </c>
      <c r="C7685" s="1">
        <v>44742</v>
      </c>
    </row>
    <row r="7686" spans="1:3">
      <c r="A7686" t="s">
        <v>42</v>
      </c>
      <c r="B7686">
        <v>3.4488020753805002</v>
      </c>
      <c r="C7686" s="1">
        <v>44742</v>
      </c>
    </row>
    <row r="7687" spans="1:3">
      <c r="A7687" t="s">
        <v>44</v>
      </c>
      <c r="B7687">
        <v>12.0970547840514</v>
      </c>
      <c r="C7687" s="1">
        <v>44742</v>
      </c>
    </row>
    <row r="7688" spans="1:3">
      <c r="A7688" t="s">
        <v>47</v>
      </c>
      <c r="B7688">
        <v>6.1364260643894104</v>
      </c>
      <c r="C7688" s="1">
        <v>44742</v>
      </c>
    </row>
    <row r="7689" spans="1:3">
      <c r="A7689" t="s">
        <v>49</v>
      </c>
      <c r="B7689">
        <v>8.4309476575496394</v>
      </c>
      <c r="C7689" s="1">
        <v>44742</v>
      </c>
    </row>
    <row r="7690" spans="1:3">
      <c r="A7690" t="s">
        <v>51</v>
      </c>
      <c r="B7690">
        <v>0.77521745765189998</v>
      </c>
      <c r="C7690" s="1">
        <v>44742</v>
      </c>
    </row>
    <row r="7691" spans="1:3">
      <c r="A7691" t="s">
        <v>53</v>
      </c>
      <c r="B7691">
        <v>0.54997710971996905</v>
      </c>
      <c r="C7691" s="1">
        <v>44742</v>
      </c>
    </row>
    <row r="7692" spans="1:3">
      <c r="A7692" t="s">
        <v>55</v>
      </c>
      <c r="B7692">
        <v>1.9972531664858399</v>
      </c>
      <c r="C7692" s="1">
        <v>44742</v>
      </c>
    </row>
    <row r="7693" spans="1:3">
      <c r="A7693" t="s">
        <v>57</v>
      </c>
      <c r="B7693">
        <v>2.2316496261223202</v>
      </c>
      <c r="C7693" s="1">
        <v>44742</v>
      </c>
    </row>
    <row r="7694" spans="1:3">
      <c r="A7694" t="s">
        <v>59</v>
      </c>
      <c r="B7694">
        <v>3.2607965817137399</v>
      </c>
      <c r="C7694" s="1">
        <v>44742</v>
      </c>
    </row>
    <row r="7695" spans="1:3">
      <c r="A7695" t="s">
        <v>61</v>
      </c>
      <c r="B7695">
        <v>120.990691286264</v>
      </c>
      <c r="C7695" s="1">
        <v>44742</v>
      </c>
    </row>
    <row r="7696" spans="1:3">
      <c r="A7696" t="s">
        <v>63</v>
      </c>
      <c r="B7696">
        <v>11.4994658934678</v>
      </c>
      <c r="C7696" s="1">
        <v>44742</v>
      </c>
    </row>
    <row r="7697" spans="1:3">
      <c r="A7697" t="s">
        <v>65</v>
      </c>
      <c r="B7697">
        <v>0.22401953303798999</v>
      </c>
      <c r="C7697" s="1">
        <v>44742</v>
      </c>
    </row>
    <row r="7698" spans="1:3">
      <c r="A7698" t="s">
        <v>67</v>
      </c>
      <c r="B7698">
        <v>7.8193193956856897</v>
      </c>
      <c r="C7698" s="1">
        <v>44742</v>
      </c>
    </row>
    <row r="7699" spans="1:3">
      <c r="A7699" t="s">
        <v>69</v>
      </c>
      <c r="B7699">
        <v>3.0923241263500199</v>
      </c>
      <c r="C7699" s="1">
        <v>44742</v>
      </c>
    </row>
    <row r="7700" spans="1:3">
      <c r="A7700" t="s">
        <v>71</v>
      </c>
      <c r="B7700">
        <v>1.05722569815204</v>
      </c>
      <c r="C7700" s="1">
        <v>44742</v>
      </c>
    </row>
    <row r="7701" spans="1:3">
      <c r="A7701" t="s">
        <v>73</v>
      </c>
      <c r="B7701">
        <v>0.87105142682618997</v>
      </c>
      <c r="C7701" s="1">
        <v>44742</v>
      </c>
    </row>
    <row r="7702" spans="1:3">
      <c r="A7702" t="s">
        <v>75</v>
      </c>
      <c r="B7702">
        <v>0.11780863726521</v>
      </c>
      <c r="C7702" s="1">
        <v>44742</v>
      </c>
    </row>
    <row r="7703" spans="1:3">
      <c r="A7703" t="s">
        <v>77</v>
      </c>
      <c r="B7703">
        <v>0.75385319700794995</v>
      </c>
      <c r="C7703" s="1">
        <v>44742</v>
      </c>
    </row>
    <row r="7704" spans="1:3">
      <c r="A7704" t="s">
        <v>79</v>
      </c>
      <c r="B7704">
        <v>3.61483290095634</v>
      </c>
      <c r="C7704" s="1">
        <v>44742</v>
      </c>
    </row>
    <row r="7705" spans="1:3">
      <c r="A7705" t="s">
        <v>81</v>
      </c>
      <c r="B7705">
        <v>4.9369754310933596</v>
      </c>
      <c r="C7705" s="1">
        <v>44742</v>
      </c>
    </row>
    <row r="7706" spans="1:3">
      <c r="A7706" t="s">
        <v>83</v>
      </c>
      <c r="B7706">
        <v>0.26857927666679998</v>
      </c>
      <c r="C7706" s="1">
        <v>44742</v>
      </c>
    </row>
    <row r="7707" spans="1:3">
      <c r="A7707" t="s">
        <v>85</v>
      </c>
      <c r="B7707">
        <v>2.0259423164934298</v>
      </c>
      <c r="C7707" s="1">
        <v>44742</v>
      </c>
    </row>
    <row r="7708" spans="1:3">
      <c r="A7708" t="s">
        <v>87</v>
      </c>
      <c r="B7708">
        <v>8.4871051426708792</v>
      </c>
      <c r="C7708" s="1">
        <v>44742</v>
      </c>
    </row>
    <row r="7709" spans="1:3">
      <c r="A7709" t="s">
        <v>89</v>
      </c>
      <c r="B7709">
        <v>9.4204181290880094</v>
      </c>
      <c r="C7709" s="1">
        <v>44742</v>
      </c>
    </row>
    <row r="7710" spans="1:3">
      <c r="A7710" t="s">
        <v>91</v>
      </c>
      <c r="B7710">
        <v>15.364565847681799</v>
      </c>
      <c r="C7710" s="1">
        <v>44742</v>
      </c>
    </row>
    <row r="7711" spans="1:3">
      <c r="A7711" t="s">
        <v>93</v>
      </c>
      <c r="B7711">
        <v>15.011139935886201</v>
      </c>
      <c r="C7711" s="1">
        <v>44742</v>
      </c>
    </row>
    <row r="7712" spans="1:3">
      <c r="A7712" t="s">
        <v>95</v>
      </c>
      <c r="B7712">
        <v>0.549366702273</v>
      </c>
      <c r="C7712" s="1">
        <v>44742</v>
      </c>
    </row>
    <row r="7713" spans="1:3">
      <c r="A7713" t="s">
        <v>97</v>
      </c>
      <c r="B7713">
        <v>4.43583091713099</v>
      </c>
      <c r="C7713" s="1">
        <v>44742</v>
      </c>
    </row>
    <row r="7714" spans="1:3">
      <c r="A7714" t="s">
        <v>99</v>
      </c>
      <c r="B7714">
        <v>2.7163131390165001</v>
      </c>
      <c r="C7714" s="1">
        <v>44742</v>
      </c>
    </row>
    <row r="7715" spans="1:3">
      <c r="A7715" t="s">
        <v>101</v>
      </c>
      <c r="B7715">
        <v>9.0950709598530004</v>
      </c>
      <c r="C7715" s="1">
        <v>44742</v>
      </c>
    </row>
    <row r="7716" spans="1:3">
      <c r="A7716" t="s">
        <v>105</v>
      </c>
      <c r="B7716">
        <v>0.17518693728039</v>
      </c>
      <c r="C7716" s="1">
        <v>44742</v>
      </c>
    </row>
    <row r="7717" spans="1:3">
      <c r="A7717" t="s">
        <v>107</v>
      </c>
      <c r="B7717">
        <v>1.7561422249326899</v>
      </c>
      <c r="C7717" s="1">
        <v>44742</v>
      </c>
    </row>
    <row r="7718" spans="1:3">
      <c r="A7718" t="s">
        <v>109</v>
      </c>
      <c r="B7718">
        <v>3.1722875019030901</v>
      </c>
      <c r="C7718" s="1">
        <v>44742</v>
      </c>
    </row>
    <row r="7719" spans="1:3">
      <c r="A7719" t="s">
        <v>111</v>
      </c>
      <c r="B7719">
        <v>5.82572867388168</v>
      </c>
      <c r="C7719" s="1">
        <v>44742</v>
      </c>
    </row>
    <row r="7720" spans="1:3">
      <c r="A7720" t="s">
        <v>113</v>
      </c>
      <c r="B7720">
        <v>7.4469708530340002</v>
      </c>
      <c r="C7720" s="1">
        <v>44742</v>
      </c>
    </row>
    <row r="7721" spans="1:3">
      <c r="A7721" t="s">
        <v>115</v>
      </c>
      <c r="B7721">
        <v>3.3114603998122498</v>
      </c>
      <c r="C7721" s="1">
        <v>44742</v>
      </c>
    </row>
    <row r="7722" spans="1:3">
      <c r="A7722" t="s">
        <v>117</v>
      </c>
      <c r="B7722">
        <v>3.4311002594183702</v>
      </c>
      <c r="C7722" s="1">
        <v>44742</v>
      </c>
    </row>
    <row r="7723" spans="1:3">
      <c r="A7723" t="s">
        <v>119</v>
      </c>
      <c r="B7723">
        <v>32.086067449978003</v>
      </c>
      <c r="C7723" s="1">
        <v>44742</v>
      </c>
    </row>
    <row r="7724" spans="1:3">
      <c r="A7724" t="s">
        <v>121</v>
      </c>
      <c r="B7724">
        <v>7.9298031435872698</v>
      </c>
      <c r="C7724" s="1">
        <v>44742</v>
      </c>
    </row>
    <row r="7725" spans="1:3">
      <c r="A7725" t="s">
        <v>123</v>
      </c>
      <c r="B7725">
        <v>3.22722417213039</v>
      </c>
      <c r="C7725" s="1">
        <v>44742</v>
      </c>
    </row>
    <row r="7726" spans="1:3">
      <c r="A7726" t="s">
        <v>125</v>
      </c>
      <c r="B7726">
        <v>144.52739203397999</v>
      </c>
      <c r="C7726" s="1">
        <v>44742</v>
      </c>
    </row>
    <row r="7727" spans="1:3">
      <c r="A7727" t="s">
        <v>127</v>
      </c>
      <c r="B7727">
        <v>8.05981992979188</v>
      </c>
      <c r="C7727" s="1">
        <v>44742</v>
      </c>
    </row>
    <row r="7728" spans="1:3">
      <c r="A7728" t="s">
        <v>129</v>
      </c>
      <c r="B7728">
        <v>3.8071112467518899</v>
      </c>
      <c r="C7728" s="1">
        <v>44742</v>
      </c>
    </row>
    <row r="7729" spans="1:3">
      <c r="A7729" t="s">
        <v>131</v>
      </c>
      <c r="B7729">
        <v>2.51426827406942</v>
      </c>
      <c r="C7729" s="1">
        <v>44742</v>
      </c>
    </row>
    <row r="7730" spans="1:3">
      <c r="A7730" t="s">
        <v>134</v>
      </c>
      <c r="B7730">
        <v>1.7952083015387701</v>
      </c>
      <c r="C7730" s="1">
        <v>44742</v>
      </c>
    </row>
    <row r="7731" spans="1:3">
      <c r="A7731" t="s">
        <v>136</v>
      </c>
      <c r="B7731">
        <v>12.078742560642301</v>
      </c>
      <c r="C7731" s="1">
        <v>44742</v>
      </c>
    </row>
    <row r="7732" spans="1:3">
      <c r="A7732" t="s">
        <v>138</v>
      </c>
      <c r="B7732">
        <v>12.7935296810442</v>
      </c>
      <c r="C7732" s="1">
        <v>44742</v>
      </c>
    </row>
    <row r="7733" spans="1:3">
      <c r="A7733" t="s">
        <v>140</v>
      </c>
      <c r="B7733">
        <v>16.683045933136999</v>
      </c>
      <c r="C7733" s="1">
        <v>44742</v>
      </c>
    </row>
    <row r="7734" spans="1:3">
      <c r="A7734" t="s">
        <v>142</v>
      </c>
      <c r="B7734">
        <v>5.3636502365253902</v>
      </c>
      <c r="C7734" s="1">
        <v>44742</v>
      </c>
    </row>
    <row r="7735" spans="1:3">
      <c r="A7735" t="s">
        <v>144</v>
      </c>
      <c r="B7735">
        <v>2.4416297878800002</v>
      </c>
      <c r="C7735" s="1">
        <v>44742</v>
      </c>
    </row>
    <row r="7736" spans="1:3">
      <c r="A7736" t="s">
        <v>146</v>
      </c>
      <c r="B7736">
        <v>3.2876545093804199</v>
      </c>
      <c r="C7736" s="1">
        <v>44742</v>
      </c>
    </row>
    <row r="7737" spans="1:3">
      <c r="A7737" t="s">
        <v>148</v>
      </c>
      <c r="B7737">
        <v>9.4716923546334897</v>
      </c>
      <c r="C7737" s="1">
        <v>44742</v>
      </c>
    </row>
    <row r="7738" spans="1:3">
      <c r="A7738" t="s">
        <v>150</v>
      </c>
      <c r="B7738">
        <v>4.01159774148684</v>
      </c>
      <c r="C7738" s="1">
        <v>44742</v>
      </c>
    </row>
    <row r="7739" spans="1:3">
      <c r="A7739" t="s">
        <v>152</v>
      </c>
      <c r="B7739">
        <v>14.9568136731059</v>
      </c>
      <c r="C7739" s="1">
        <v>44742</v>
      </c>
    </row>
    <row r="7740" spans="1:3">
      <c r="A7740" t="s">
        <v>154</v>
      </c>
      <c r="B7740">
        <v>8.6702273767618792</v>
      </c>
      <c r="C7740" s="1">
        <v>44742</v>
      </c>
    </row>
    <row r="7741" spans="1:3">
      <c r="A7741" t="s">
        <v>156</v>
      </c>
      <c r="B7741">
        <v>22.687623988980899</v>
      </c>
      <c r="C7741" s="1">
        <v>44742</v>
      </c>
    </row>
    <row r="7742" spans="1:3">
      <c r="A7742" t="s">
        <v>158</v>
      </c>
      <c r="B7742">
        <v>86.983061193224998</v>
      </c>
      <c r="C7742" s="1">
        <v>44742</v>
      </c>
    </row>
    <row r="7743" spans="1:3">
      <c r="A7743" t="s">
        <v>160</v>
      </c>
      <c r="B7743">
        <v>12.6513047459002</v>
      </c>
      <c r="C7743" s="1">
        <v>44742</v>
      </c>
    </row>
    <row r="7744" spans="1:3">
      <c r="A7744" t="s">
        <v>162</v>
      </c>
      <c r="B7744">
        <v>11.0569204944145</v>
      </c>
      <c r="C7744" s="1">
        <v>44742</v>
      </c>
    </row>
    <row r="7745" spans="1:3">
      <c r="A7745" t="s">
        <v>164</v>
      </c>
      <c r="B7745">
        <v>9.3392339386409997</v>
      </c>
      <c r="C7745" s="1">
        <v>44742</v>
      </c>
    </row>
    <row r="7746" spans="1:3">
      <c r="A7746" t="s">
        <v>166</v>
      </c>
      <c r="B7746">
        <v>5.4784068365557497</v>
      </c>
      <c r="C7746" s="1">
        <v>44742</v>
      </c>
    </row>
    <row r="7747" spans="1:3">
      <c r="A7747" t="s">
        <v>168</v>
      </c>
      <c r="B7747">
        <v>13.047459178983701</v>
      </c>
      <c r="C7747" s="1">
        <v>44742</v>
      </c>
    </row>
    <row r="7748" spans="1:3">
      <c r="A7748" t="s">
        <v>4</v>
      </c>
      <c r="B7748">
        <v>0.24310599421454901</v>
      </c>
      <c r="C7748" s="1">
        <v>44773</v>
      </c>
    </row>
    <row r="7749" spans="1:3">
      <c r="A7749" t="s">
        <v>8</v>
      </c>
      <c r="B7749">
        <v>18.831410495058901</v>
      </c>
      <c r="C7749" s="1">
        <v>44773</v>
      </c>
    </row>
    <row r="7750" spans="1:3">
      <c r="A7750" t="s">
        <v>11</v>
      </c>
      <c r="B7750">
        <v>39.257116102794001</v>
      </c>
      <c r="C7750" s="1">
        <v>44773</v>
      </c>
    </row>
    <row r="7751" spans="1:3">
      <c r="A7751" t="s">
        <v>14</v>
      </c>
      <c r="B7751">
        <v>5.3123161698735002</v>
      </c>
      <c r="C7751" s="1">
        <v>44773</v>
      </c>
    </row>
    <row r="7752" spans="1:3">
      <c r="A7752" t="s">
        <v>17</v>
      </c>
      <c r="B7752">
        <v>11.8593706856712</v>
      </c>
      <c r="C7752" s="1">
        <v>44773</v>
      </c>
    </row>
    <row r="7753" spans="1:3">
      <c r="A7753" t="s">
        <v>20</v>
      </c>
      <c r="B7753">
        <v>0.37756461817518999</v>
      </c>
      <c r="C7753" s="1">
        <v>44773</v>
      </c>
    </row>
    <row r="7754" spans="1:3">
      <c r="A7754" t="s">
        <v>24</v>
      </c>
      <c r="B7754">
        <v>0.64648186609646996</v>
      </c>
      <c r="C7754" s="1">
        <v>44773</v>
      </c>
    </row>
    <row r="7755" spans="1:3">
      <c r="A7755" t="s">
        <v>27</v>
      </c>
      <c r="B7755">
        <v>35.977286096896897</v>
      </c>
      <c r="C7755" s="1">
        <v>44773</v>
      </c>
    </row>
    <row r="7756" spans="1:3">
      <c r="A7756" t="s">
        <v>29</v>
      </c>
      <c r="B7756">
        <v>1.1795142682261499</v>
      </c>
      <c r="C7756" s="1">
        <v>44773</v>
      </c>
    </row>
    <row r="7757" spans="1:3">
      <c r="A7757" t="s">
        <v>32</v>
      </c>
      <c r="B7757">
        <v>8.2794098227192308</v>
      </c>
      <c r="C7757" s="1">
        <v>44773</v>
      </c>
    </row>
    <row r="7758" spans="1:3">
      <c r="A7758" t="s">
        <v>35</v>
      </c>
      <c r="B7758">
        <v>3.07273971452909</v>
      </c>
      <c r="C7758" s="1">
        <v>44773</v>
      </c>
    </row>
    <row r="7759" spans="1:3">
      <c r="A7759" t="s">
        <v>37</v>
      </c>
      <c r="B7759">
        <v>0.42558555530399</v>
      </c>
      <c r="C7759" s="1">
        <v>44773</v>
      </c>
    </row>
    <row r="7760" spans="1:3">
      <c r="A7760" t="s">
        <v>39</v>
      </c>
      <c r="B7760">
        <v>2.2059617993542502</v>
      </c>
      <c r="C7760" s="1">
        <v>44773</v>
      </c>
    </row>
    <row r="7761" spans="1:3">
      <c r="A7761" t="s">
        <v>42</v>
      </c>
      <c r="B7761">
        <v>3.0919480893806099</v>
      </c>
      <c r="C7761" s="1">
        <v>44773</v>
      </c>
    </row>
    <row r="7762" spans="1:3">
      <c r="A7762" t="s">
        <v>44</v>
      </c>
      <c r="B7762">
        <v>12.118683746166701</v>
      </c>
      <c r="C7762" s="1">
        <v>44773</v>
      </c>
    </row>
    <row r="7763" spans="1:3">
      <c r="A7763" t="s">
        <v>47</v>
      </c>
      <c r="B7763">
        <v>6.5620610586505199</v>
      </c>
      <c r="C7763" s="1">
        <v>44773</v>
      </c>
    </row>
    <row r="7764" spans="1:3">
      <c r="A7764" t="s">
        <v>49</v>
      </c>
      <c r="B7764">
        <v>8.0591137736408598</v>
      </c>
      <c r="C7764" s="1">
        <v>44773</v>
      </c>
    </row>
    <row r="7765" spans="1:3">
      <c r="A7765" t="s">
        <v>51</v>
      </c>
      <c r="B7765">
        <v>0.85237163403619998</v>
      </c>
      <c r="C7765" s="1">
        <v>44773</v>
      </c>
    </row>
    <row r="7766" spans="1:3">
      <c r="A7766" t="s">
        <v>53</v>
      </c>
      <c r="B7766">
        <v>0.61166668667808999</v>
      </c>
      <c r="C7766" s="1">
        <v>44773</v>
      </c>
    </row>
    <row r="7767" spans="1:3">
      <c r="A7767" t="s">
        <v>55</v>
      </c>
      <c r="B7767">
        <v>2.040889827974</v>
      </c>
      <c r="C7767" s="1">
        <v>44773</v>
      </c>
    </row>
    <row r="7768" spans="1:3">
      <c r="A7768" t="s">
        <v>57</v>
      </c>
      <c r="B7768">
        <v>2.6159405500913802</v>
      </c>
      <c r="C7768" s="1">
        <v>44773</v>
      </c>
    </row>
    <row r="7769" spans="1:3">
      <c r="A7769" t="s">
        <v>59</v>
      </c>
      <c r="B7769">
        <v>3.46290982870058</v>
      </c>
      <c r="C7769" s="1">
        <v>44773</v>
      </c>
    </row>
    <row r="7770" spans="1:3">
      <c r="A7770" t="s">
        <v>61</v>
      </c>
      <c r="B7770">
        <v>119.573934235854</v>
      </c>
      <c r="C7770" s="1">
        <v>44773</v>
      </c>
    </row>
    <row r="7771" spans="1:3">
      <c r="A7771" t="s">
        <v>63</v>
      </c>
      <c r="B7771">
        <v>12.0034334970576</v>
      </c>
      <c r="C7771" s="1">
        <v>44773</v>
      </c>
    </row>
    <row r="7772" spans="1:3">
      <c r="A7772" t="s">
        <v>65</v>
      </c>
      <c r="B7772">
        <v>0.24490677935687999</v>
      </c>
      <c r="C7772" s="1">
        <v>44773</v>
      </c>
    </row>
    <row r="7773" spans="1:3">
      <c r="A7773" t="s">
        <v>67</v>
      </c>
      <c r="B7773">
        <v>7.7007575303171896</v>
      </c>
      <c r="C7773" s="1">
        <v>44773</v>
      </c>
    </row>
    <row r="7774" spans="1:3">
      <c r="A7774" t="s">
        <v>69</v>
      </c>
      <c r="B7774">
        <v>3.07273971452909</v>
      </c>
      <c r="C7774" s="1">
        <v>44773</v>
      </c>
    </row>
    <row r="7775" spans="1:3">
      <c r="A7775" t="s">
        <v>71</v>
      </c>
      <c r="B7775">
        <v>0.98743051971094997</v>
      </c>
      <c r="C7775" s="1">
        <v>44773</v>
      </c>
    </row>
    <row r="7776" spans="1:3">
      <c r="A7776" t="s">
        <v>73</v>
      </c>
      <c r="B7776">
        <v>0.91239780544719995</v>
      </c>
      <c r="C7776" s="1">
        <v>44773</v>
      </c>
    </row>
    <row r="7777" spans="1:3">
      <c r="A7777" t="s">
        <v>75</v>
      </c>
      <c r="B7777">
        <v>0.12965653024776</v>
      </c>
      <c r="C7777" s="1">
        <v>44773</v>
      </c>
    </row>
    <row r="7778" spans="1:3">
      <c r="A7778" t="s">
        <v>77</v>
      </c>
      <c r="B7778">
        <v>0.81335462261905001</v>
      </c>
      <c r="C7778" s="1">
        <v>44773</v>
      </c>
    </row>
    <row r="7779" spans="1:3">
      <c r="A7779" t="s">
        <v>79</v>
      </c>
      <c r="B7779">
        <v>3.8236671188806999</v>
      </c>
      <c r="C7779" s="1">
        <v>44773</v>
      </c>
    </row>
    <row r="7780" spans="1:3">
      <c r="A7780" t="s">
        <v>81</v>
      </c>
      <c r="B7780">
        <v>5.4125598761298699</v>
      </c>
      <c r="C7780" s="1">
        <v>44773</v>
      </c>
    </row>
    <row r="7781" spans="1:3">
      <c r="A7781" t="s">
        <v>83</v>
      </c>
      <c r="B7781">
        <v>0.25931306049552</v>
      </c>
      <c r="C7781" s="1">
        <v>44773</v>
      </c>
    </row>
    <row r="7782" spans="1:3">
      <c r="A7782" t="s">
        <v>85</v>
      </c>
      <c r="B7782">
        <v>2.2185672953505602</v>
      </c>
      <c r="C7782" s="1">
        <v>44773</v>
      </c>
    </row>
    <row r="7783" spans="1:3">
      <c r="A7783" t="s">
        <v>87</v>
      </c>
      <c r="B7783">
        <v>8.7158000888771898</v>
      </c>
      <c r="C7783" s="1">
        <v>44773</v>
      </c>
    </row>
    <row r="7784" spans="1:3">
      <c r="A7784" t="s">
        <v>89</v>
      </c>
      <c r="B7784">
        <v>8.9438995402390002</v>
      </c>
      <c r="C7784" s="1">
        <v>44773</v>
      </c>
    </row>
    <row r="7785" spans="1:3">
      <c r="A7785" t="s">
        <v>91</v>
      </c>
      <c r="B7785">
        <v>14.623575879147801</v>
      </c>
      <c r="C7785" s="1">
        <v>44773</v>
      </c>
    </row>
    <row r="7786" spans="1:3">
      <c r="A7786" t="s">
        <v>93</v>
      </c>
      <c r="B7786">
        <v>15.080975305299599</v>
      </c>
      <c r="C7786" s="1">
        <v>44773</v>
      </c>
    </row>
    <row r="7787" spans="1:3">
      <c r="A7787" t="s">
        <v>95</v>
      </c>
      <c r="B7787">
        <v>0.52943083184502004</v>
      </c>
      <c r="C7787" s="1">
        <v>44773</v>
      </c>
    </row>
    <row r="7788" spans="1:3">
      <c r="A7788" t="s">
        <v>97</v>
      </c>
      <c r="B7788">
        <v>3.8242673805948102</v>
      </c>
      <c r="C7788" s="1">
        <v>44773</v>
      </c>
    </row>
    <row r="7789" spans="1:3">
      <c r="A7789" t="s">
        <v>99</v>
      </c>
      <c r="B7789">
        <v>2.9274763797144701</v>
      </c>
      <c r="C7789" s="1">
        <v>44773</v>
      </c>
    </row>
    <row r="7790" spans="1:3">
      <c r="A7790" t="s">
        <v>101</v>
      </c>
      <c r="B7790">
        <v>8.9775141962291602</v>
      </c>
      <c r="C7790" s="1">
        <v>44773</v>
      </c>
    </row>
    <row r="7791" spans="1:3">
      <c r="A7791" t="s">
        <v>105</v>
      </c>
      <c r="B7791">
        <v>0.17107458852134999</v>
      </c>
      <c r="C7791" s="1">
        <v>44773</v>
      </c>
    </row>
    <row r="7792" spans="1:3">
      <c r="A7792" t="s">
        <v>107</v>
      </c>
      <c r="B7792">
        <v>1.6663265183693601</v>
      </c>
      <c r="C7792" s="1">
        <v>44773</v>
      </c>
    </row>
    <row r="7793" spans="1:3">
      <c r="A7793" t="s">
        <v>109</v>
      </c>
      <c r="B7793">
        <v>3.17598472935601</v>
      </c>
      <c r="C7793" s="1">
        <v>44773</v>
      </c>
    </row>
    <row r="7794" spans="1:3">
      <c r="A7794" t="s">
        <v>111</v>
      </c>
      <c r="B7794">
        <v>5.4623815984009996</v>
      </c>
      <c r="C7794" s="1">
        <v>44773</v>
      </c>
    </row>
    <row r="7795" spans="1:3">
      <c r="A7795" t="s">
        <v>113</v>
      </c>
      <c r="B7795">
        <v>7.2835756390107402</v>
      </c>
      <c r="C7795" s="1">
        <v>44773</v>
      </c>
    </row>
    <row r="7796" spans="1:3">
      <c r="A7796" t="s">
        <v>115</v>
      </c>
      <c r="B7796">
        <v>3.17358368249957</v>
      </c>
      <c r="C7796" s="1">
        <v>44773</v>
      </c>
    </row>
    <row r="7797" spans="1:3">
      <c r="A7797" t="s">
        <v>117</v>
      </c>
      <c r="B7797">
        <v>3.3086425681743199</v>
      </c>
      <c r="C7797" s="1">
        <v>44773</v>
      </c>
    </row>
    <row r="7798" spans="1:3">
      <c r="A7798" t="s">
        <v>119</v>
      </c>
      <c r="B7798">
        <v>29.565890728488</v>
      </c>
      <c r="C7798" s="1">
        <v>44773</v>
      </c>
    </row>
    <row r="7799" spans="1:3">
      <c r="A7799" t="s">
        <v>121</v>
      </c>
      <c r="B7799">
        <v>8.2025763233131492</v>
      </c>
      <c r="C7799" s="1">
        <v>44773</v>
      </c>
    </row>
    <row r="7800" spans="1:3">
      <c r="A7800" t="s">
        <v>123</v>
      </c>
      <c r="B7800">
        <v>3.2720266036136101</v>
      </c>
      <c r="C7800" s="1">
        <v>44773</v>
      </c>
    </row>
    <row r="7801" spans="1:3">
      <c r="A7801" t="s">
        <v>125</v>
      </c>
      <c r="B7801">
        <v>141.44747109802199</v>
      </c>
      <c r="C7801" s="1">
        <v>44773</v>
      </c>
    </row>
    <row r="7802" spans="1:3">
      <c r="A7802" t="s">
        <v>127</v>
      </c>
      <c r="B7802">
        <v>8.3490401815559903</v>
      </c>
      <c r="C7802" s="1">
        <v>44773</v>
      </c>
    </row>
    <row r="7803" spans="1:3">
      <c r="A7803" t="s">
        <v>129</v>
      </c>
      <c r="B7803">
        <v>3.93471553599105</v>
      </c>
      <c r="C7803" s="1">
        <v>44773</v>
      </c>
    </row>
    <row r="7804" spans="1:3">
      <c r="A7804" t="s">
        <v>131</v>
      </c>
      <c r="B7804">
        <v>2.6411515420840002</v>
      </c>
      <c r="C7804" s="1">
        <v>44773</v>
      </c>
    </row>
    <row r="7805" spans="1:3">
      <c r="A7805" t="s">
        <v>134</v>
      </c>
      <c r="B7805">
        <v>1.68013253779389</v>
      </c>
      <c r="C7805" s="1">
        <v>44773</v>
      </c>
    </row>
    <row r="7806" spans="1:3">
      <c r="A7806" t="s">
        <v>136</v>
      </c>
      <c r="B7806">
        <v>13.460268677202601</v>
      </c>
      <c r="C7806" s="1">
        <v>44773</v>
      </c>
    </row>
    <row r="7807" spans="1:3">
      <c r="A7807" t="s">
        <v>138</v>
      </c>
      <c r="B7807">
        <v>12.8323949242435</v>
      </c>
      <c r="C7807" s="1">
        <v>44773</v>
      </c>
    </row>
    <row r="7808" spans="1:3">
      <c r="A7808" t="s">
        <v>140</v>
      </c>
      <c r="B7808">
        <v>16.7959230225119</v>
      </c>
      <c r="C7808" s="1">
        <v>44773</v>
      </c>
    </row>
    <row r="7809" spans="1:3">
      <c r="A7809" t="s">
        <v>142</v>
      </c>
      <c r="B7809">
        <v>5.3261221892980304</v>
      </c>
      <c r="C7809" s="1">
        <v>44773</v>
      </c>
    </row>
    <row r="7810" spans="1:3">
      <c r="A7810" t="s">
        <v>144</v>
      </c>
      <c r="B7810">
        <v>2.4616732895651099</v>
      </c>
      <c r="C7810" s="1">
        <v>44773</v>
      </c>
    </row>
    <row r="7811" spans="1:3">
      <c r="A7811" t="s">
        <v>146</v>
      </c>
      <c r="B7811">
        <v>3.3014394276050001</v>
      </c>
      <c r="C7811" s="1">
        <v>44773</v>
      </c>
    </row>
    <row r="7812" spans="1:3">
      <c r="A7812" t="s">
        <v>148</v>
      </c>
      <c r="B7812">
        <v>9.6035871640458907</v>
      </c>
      <c r="C7812" s="1">
        <v>44773</v>
      </c>
    </row>
    <row r="7813" spans="1:3">
      <c r="A7813" t="s">
        <v>150</v>
      </c>
      <c r="B7813">
        <v>4.1580128936399596</v>
      </c>
      <c r="C7813" s="1">
        <v>44773</v>
      </c>
    </row>
    <row r="7814" spans="1:3">
      <c r="A7814" t="s">
        <v>152</v>
      </c>
      <c r="B7814">
        <v>14.774841831103499</v>
      </c>
      <c r="C7814" s="1">
        <v>44773</v>
      </c>
    </row>
    <row r="7815" spans="1:3">
      <c r="A7815" t="s">
        <v>154</v>
      </c>
      <c r="B7815">
        <v>9.8713038885389501</v>
      </c>
      <c r="C7815" s="1">
        <v>44773</v>
      </c>
    </row>
    <row r="7816" spans="1:3">
      <c r="A7816" t="s">
        <v>156</v>
      </c>
      <c r="B7816">
        <v>20.9881508338561</v>
      </c>
      <c r="C7816" s="1">
        <v>44773</v>
      </c>
    </row>
    <row r="7817" spans="1:3">
      <c r="A7817" t="s">
        <v>158</v>
      </c>
      <c r="B7817">
        <v>76.301667527378498</v>
      </c>
      <c r="C7817" s="1">
        <v>44773</v>
      </c>
    </row>
    <row r="7818" spans="1:3">
      <c r="A7818" t="s">
        <v>160</v>
      </c>
      <c r="B7818">
        <v>13.0196765790459</v>
      </c>
      <c r="C7818" s="1">
        <v>44773</v>
      </c>
    </row>
    <row r="7819" spans="1:3">
      <c r="A7819" t="s">
        <v>162</v>
      </c>
      <c r="B7819">
        <v>11.0778299339</v>
      </c>
      <c r="C7819" s="1">
        <v>44773</v>
      </c>
    </row>
    <row r="7820" spans="1:3">
      <c r="A7820" t="s">
        <v>164</v>
      </c>
      <c r="B7820">
        <v>9.2446306590081093</v>
      </c>
      <c r="C7820" s="1">
        <v>44773</v>
      </c>
    </row>
    <row r="7821" spans="1:3">
      <c r="A7821" t="s">
        <v>166</v>
      </c>
      <c r="B7821">
        <v>5.4965965161052699</v>
      </c>
      <c r="C7821" s="1">
        <v>44773</v>
      </c>
    </row>
    <row r="7822" spans="1:3">
      <c r="A7822" t="s">
        <v>168</v>
      </c>
      <c r="B7822">
        <v>14.034719137605901</v>
      </c>
      <c r="C7822" s="1">
        <v>44773</v>
      </c>
    </row>
    <row r="7823" spans="1:3">
      <c r="A7823" t="s">
        <v>4</v>
      </c>
      <c r="B7823">
        <v>0.21179977001122</v>
      </c>
      <c r="C7823" s="1">
        <v>44804</v>
      </c>
    </row>
    <row r="7824" spans="1:3">
      <c r="A7824" t="s">
        <v>8</v>
      </c>
      <c r="B7824">
        <v>17.159301588692902</v>
      </c>
      <c r="C7824" s="1">
        <v>44804</v>
      </c>
    </row>
    <row r="7825" spans="1:3">
      <c r="A7825" t="s">
        <v>11</v>
      </c>
      <c r="B7825">
        <v>40.180939193873698</v>
      </c>
      <c r="C7825" s="1">
        <v>44804</v>
      </c>
    </row>
    <row r="7826" spans="1:3">
      <c r="A7826" t="s">
        <v>14</v>
      </c>
      <c r="B7826">
        <v>4.8408861561290202</v>
      </c>
      <c r="C7826" s="1">
        <v>44804</v>
      </c>
    </row>
    <row r="7827" spans="1:3">
      <c r="A7827" t="s">
        <v>17</v>
      </c>
      <c r="B7827">
        <v>11.3133932551976</v>
      </c>
      <c r="C7827" s="1">
        <v>44804</v>
      </c>
    </row>
    <row r="7828" spans="1:3">
      <c r="A7828" t="s">
        <v>20</v>
      </c>
      <c r="B7828">
        <v>0.34615474877180002</v>
      </c>
      <c r="C7828" s="1">
        <v>44804</v>
      </c>
    </row>
    <row r="7829" spans="1:3">
      <c r="A7829" t="s">
        <v>24</v>
      </c>
      <c r="B7829">
        <v>0.62777217150139997</v>
      </c>
      <c r="C7829" s="1">
        <v>44804</v>
      </c>
    </row>
    <row r="7830" spans="1:3">
      <c r="A7830" t="s">
        <v>27</v>
      </c>
      <c r="B7830">
        <v>32.359601980523003</v>
      </c>
      <c r="C7830" s="1">
        <v>44804</v>
      </c>
    </row>
    <row r="7831" spans="1:3">
      <c r="A7831" t="s">
        <v>29</v>
      </c>
      <c r="B7831">
        <v>1.1775128487881401</v>
      </c>
      <c r="C7831" s="1">
        <v>44804</v>
      </c>
    </row>
    <row r="7832" spans="1:3">
      <c r="A7832" t="s">
        <v>32</v>
      </c>
      <c r="B7832">
        <v>7.4012578911122997</v>
      </c>
      <c r="C7832" s="1">
        <v>44804</v>
      </c>
    </row>
    <row r="7833" spans="1:3">
      <c r="A7833" t="s">
        <v>35</v>
      </c>
      <c r="B7833">
        <v>2.90359296893498</v>
      </c>
      <c r="C7833" s="1">
        <v>44804</v>
      </c>
    </row>
    <row r="7834" spans="1:3">
      <c r="A7834" t="s">
        <v>37</v>
      </c>
      <c r="B7834">
        <v>0.36668935251250001</v>
      </c>
      <c r="C7834" s="1">
        <v>44804</v>
      </c>
    </row>
    <row r="7835" spans="1:3">
      <c r="A7835" t="s">
        <v>39</v>
      </c>
      <c r="B7835">
        <v>2.0534603740700001</v>
      </c>
      <c r="C7835" s="1">
        <v>44804</v>
      </c>
    </row>
    <row r="7836" spans="1:3">
      <c r="A7836" t="s">
        <v>42</v>
      </c>
      <c r="B7836">
        <v>2.9247142756397002</v>
      </c>
      <c r="C7836" s="1">
        <v>44804</v>
      </c>
    </row>
    <row r="7837" spans="1:3">
      <c r="A7837" t="s">
        <v>44</v>
      </c>
      <c r="B7837">
        <v>12.8088991104846</v>
      </c>
      <c r="C7837" s="1">
        <v>44804</v>
      </c>
    </row>
    <row r="7838" spans="1:3">
      <c r="A7838" t="s">
        <v>47</v>
      </c>
      <c r="B7838">
        <v>6.3000164276467601</v>
      </c>
      <c r="C7838" s="1">
        <v>44804</v>
      </c>
    </row>
    <row r="7839" spans="1:3">
      <c r="A7839" t="s">
        <v>49</v>
      </c>
      <c r="B7839">
        <v>9.1865950106251599</v>
      </c>
      <c r="C7839" s="1">
        <v>44804</v>
      </c>
    </row>
    <row r="7840" spans="1:3">
      <c r="A7840" t="s">
        <v>51</v>
      </c>
      <c r="B7840">
        <v>0.79146229846298</v>
      </c>
      <c r="C7840" s="1">
        <v>44804</v>
      </c>
    </row>
    <row r="7841" spans="1:3">
      <c r="A7841" t="s">
        <v>53</v>
      </c>
      <c r="B7841">
        <v>0.58670296402</v>
      </c>
      <c r="C7841" s="1">
        <v>44804</v>
      </c>
    </row>
    <row r="7842" spans="1:3">
      <c r="A7842" t="s">
        <v>55</v>
      </c>
      <c r="B7842">
        <v>1.8504611485190701</v>
      </c>
      <c r="C7842" s="1">
        <v>44804</v>
      </c>
    </row>
    <row r="7843" spans="1:3">
      <c r="A7843" t="s">
        <v>57</v>
      </c>
      <c r="B7843">
        <v>2.5791462298319199</v>
      </c>
      <c r="C7843" s="1">
        <v>44804</v>
      </c>
    </row>
    <row r="7844" spans="1:3">
      <c r="A7844" t="s">
        <v>59</v>
      </c>
      <c r="B7844">
        <v>3.1687827086720199</v>
      </c>
      <c r="C7844" s="1">
        <v>44804</v>
      </c>
    </row>
    <row r="7845" spans="1:3">
      <c r="A7845" t="s">
        <v>61</v>
      </c>
      <c r="B7845">
        <v>119.895684212307</v>
      </c>
      <c r="C7845" s="1">
        <v>44804</v>
      </c>
    </row>
    <row r="7846" spans="1:3">
      <c r="A7846" t="s">
        <v>63</v>
      </c>
      <c r="B7846">
        <v>12.1412311374298</v>
      </c>
      <c r="C7846" s="1">
        <v>44804</v>
      </c>
    </row>
    <row r="7847" spans="1:3">
      <c r="A7847" t="s">
        <v>65</v>
      </c>
      <c r="B7847">
        <v>0.2229471263276</v>
      </c>
      <c r="C7847" s="1">
        <v>44804</v>
      </c>
    </row>
    <row r="7848" spans="1:3">
      <c r="A7848" t="s">
        <v>67</v>
      </c>
      <c r="B7848">
        <v>7.2070592100216802</v>
      </c>
      <c r="C7848" s="1">
        <v>44804</v>
      </c>
    </row>
    <row r="7849" spans="1:3">
      <c r="A7849" t="s">
        <v>69</v>
      </c>
      <c r="B7849">
        <v>3.3606345779065601</v>
      </c>
      <c r="C7849" s="1">
        <v>44804</v>
      </c>
    </row>
    <row r="7850" spans="1:3">
      <c r="A7850" t="s">
        <v>71</v>
      </c>
      <c r="B7850">
        <v>0.96219286099279899</v>
      </c>
      <c r="C7850" s="1">
        <v>44804</v>
      </c>
    </row>
    <row r="7851" spans="1:3">
      <c r="A7851" t="s">
        <v>73</v>
      </c>
      <c r="B7851">
        <v>0.86480016896547995</v>
      </c>
      <c r="C7851" s="1">
        <v>44804</v>
      </c>
    </row>
    <row r="7852" spans="1:3">
      <c r="A7852" t="s">
        <v>75</v>
      </c>
      <c r="B7852">
        <v>0.12379432540822</v>
      </c>
      <c r="C7852" s="1">
        <v>44804</v>
      </c>
    </row>
    <row r="7853" spans="1:3">
      <c r="A7853" t="s">
        <v>77</v>
      </c>
      <c r="B7853">
        <v>0.74745957616147995</v>
      </c>
      <c r="C7853" s="1">
        <v>44804</v>
      </c>
    </row>
    <row r="7854" spans="1:3">
      <c r="A7854" t="s">
        <v>79</v>
      </c>
      <c r="B7854">
        <v>3.344206894914</v>
      </c>
      <c r="C7854" s="1">
        <v>44804</v>
      </c>
    </row>
    <row r="7855" spans="1:3">
      <c r="A7855" t="s">
        <v>81</v>
      </c>
      <c r="B7855">
        <v>5.1782403604405198</v>
      </c>
      <c r="C7855" s="1">
        <v>44804</v>
      </c>
    </row>
    <row r="7856" spans="1:3">
      <c r="A7856" t="s">
        <v>83</v>
      </c>
      <c r="B7856">
        <v>0.26636314566508001</v>
      </c>
      <c r="C7856" s="1">
        <v>44804</v>
      </c>
    </row>
    <row r="7857" spans="1:3">
      <c r="A7857" t="s">
        <v>85</v>
      </c>
      <c r="B7857">
        <v>2.0857290370910899</v>
      </c>
      <c r="C7857" s="1">
        <v>44804</v>
      </c>
    </row>
    <row r="7858" spans="1:3">
      <c r="A7858" t="s">
        <v>87</v>
      </c>
      <c r="B7858">
        <v>8.6538687192949997</v>
      </c>
      <c r="C7858" s="1">
        <v>44804</v>
      </c>
    </row>
    <row r="7859" spans="1:3">
      <c r="A7859" t="s">
        <v>89</v>
      </c>
      <c r="B7859">
        <v>10.7577855482707</v>
      </c>
      <c r="C7859" s="1">
        <v>44804</v>
      </c>
    </row>
    <row r="7860" spans="1:3">
      <c r="A7860" t="s">
        <v>91</v>
      </c>
      <c r="B7860">
        <v>14.315552322087999</v>
      </c>
      <c r="C7860" s="1">
        <v>44804</v>
      </c>
    </row>
    <row r="7861" spans="1:3">
      <c r="A7861" t="s">
        <v>93</v>
      </c>
      <c r="B7861">
        <v>13.3175705802899</v>
      </c>
      <c r="C7861" s="1">
        <v>44804</v>
      </c>
    </row>
    <row r="7862" spans="1:3">
      <c r="A7862" t="s">
        <v>95</v>
      </c>
      <c r="B7862">
        <v>0.62718546853738</v>
      </c>
      <c r="C7862" s="1">
        <v>44804</v>
      </c>
    </row>
    <row r="7863" spans="1:3">
      <c r="A7863" t="s">
        <v>97</v>
      </c>
      <c r="B7863">
        <v>3.6293445354277201</v>
      </c>
      <c r="C7863" s="1">
        <v>44804</v>
      </c>
    </row>
    <row r="7864" spans="1:3">
      <c r="A7864" t="s">
        <v>99</v>
      </c>
      <c r="B7864">
        <v>3.2209992724698</v>
      </c>
      <c r="C7864" s="1">
        <v>44804</v>
      </c>
    </row>
    <row r="7865" spans="1:3">
      <c r="A7865" t="s">
        <v>101</v>
      </c>
      <c r="B7865">
        <v>8.3188613268395795</v>
      </c>
      <c r="C7865" s="1">
        <v>44804</v>
      </c>
    </row>
    <row r="7866" spans="1:3">
      <c r="A7866" t="s">
        <v>105</v>
      </c>
      <c r="B7866">
        <v>0.14960925582509901</v>
      </c>
      <c r="C7866" s="1">
        <v>44804</v>
      </c>
    </row>
    <row r="7867" spans="1:3">
      <c r="A7867" t="s">
        <v>107</v>
      </c>
      <c r="B7867">
        <v>1.9214522071655</v>
      </c>
      <c r="C7867" s="1">
        <v>44804</v>
      </c>
    </row>
    <row r="7868" spans="1:3">
      <c r="A7868" t="s">
        <v>109</v>
      </c>
      <c r="B7868">
        <v>2.5322099927103099</v>
      </c>
      <c r="C7868" s="1">
        <v>44804</v>
      </c>
    </row>
    <row r="7869" spans="1:3">
      <c r="A7869" t="s">
        <v>111</v>
      </c>
      <c r="B7869">
        <v>4.8696346013660001</v>
      </c>
      <c r="C7869" s="1">
        <v>44804</v>
      </c>
    </row>
    <row r="7870" spans="1:3">
      <c r="A7870" t="s">
        <v>113</v>
      </c>
      <c r="B7870">
        <v>7.4605148904783096</v>
      </c>
      <c r="C7870" s="1">
        <v>44804</v>
      </c>
    </row>
    <row r="7871" spans="1:3">
      <c r="A7871" t="s">
        <v>115</v>
      </c>
      <c r="B7871">
        <v>3.285536598512</v>
      </c>
      <c r="C7871" s="1">
        <v>44804</v>
      </c>
    </row>
    <row r="7872" spans="1:3">
      <c r="A7872" t="s">
        <v>117</v>
      </c>
      <c r="B7872">
        <v>3.6264110206076201</v>
      </c>
      <c r="C7872" s="1">
        <v>44804</v>
      </c>
    </row>
    <row r="7873" spans="1:3">
      <c r="A7873" t="s">
        <v>119</v>
      </c>
      <c r="B7873">
        <v>22.324634483924999</v>
      </c>
      <c r="C7873" s="1">
        <v>44804</v>
      </c>
    </row>
    <row r="7874" spans="1:3">
      <c r="A7874" t="s">
        <v>121</v>
      </c>
      <c r="B7874">
        <v>7.4722489497587201</v>
      </c>
      <c r="C7874" s="1">
        <v>44804</v>
      </c>
    </row>
    <row r="7875" spans="1:3">
      <c r="A7875" t="s">
        <v>123</v>
      </c>
      <c r="B7875">
        <v>3.1283002041546402</v>
      </c>
      <c r="C7875" s="1">
        <v>44804</v>
      </c>
    </row>
    <row r="7876" spans="1:3">
      <c r="A7876" t="s">
        <v>125</v>
      </c>
      <c r="B7876">
        <v>142.320644903079</v>
      </c>
      <c r="C7876" s="1">
        <v>44804</v>
      </c>
    </row>
    <row r="7877" spans="1:3">
      <c r="A7877" t="s">
        <v>127</v>
      </c>
      <c r="B7877">
        <v>7.2897843279484897</v>
      </c>
      <c r="C7877" s="1">
        <v>44804</v>
      </c>
    </row>
    <row r="7878" spans="1:3">
      <c r="A7878" t="s">
        <v>129</v>
      </c>
      <c r="B7878">
        <v>3.76487292011634</v>
      </c>
      <c r="C7878" s="1">
        <v>44804</v>
      </c>
    </row>
    <row r="7879" spans="1:3">
      <c r="A7879" t="s">
        <v>131</v>
      </c>
      <c r="B7879">
        <v>2.4917274881929399</v>
      </c>
      <c r="C7879" s="1">
        <v>44804</v>
      </c>
    </row>
    <row r="7880" spans="1:3">
      <c r="A7880" t="s">
        <v>134</v>
      </c>
      <c r="B7880">
        <v>1.7131726549383901</v>
      </c>
      <c r="C7880" s="1">
        <v>44804</v>
      </c>
    </row>
    <row r="7881" spans="1:3">
      <c r="A7881" t="s">
        <v>136</v>
      </c>
      <c r="B7881">
        <v>13.6537513786734</v>
      </c>
      <c r="C7881" s="1">
        <v>44804</v>
      </c>
    </row>
    <row r="7882" spans="1:3">
      <c r="A7882" t="s">
        <v>138</v>
      </c>
      <c r="B7882">
        <v>12.611180211609801</v>
      </c>
      <c r="C7882" s="1">
        <v>44804</v>
      </c>
    </row>
    <row r="7883" spans="1:3">
      <c r="A7883" t="s">
        <v>140</v>
      </c>
      <c r="B7883">
        <v>17.484921733724001</v>
      </c>
      <c r="C7883" s="1">
        <v>44804</v>
      </c>
    </row>
    <row r="7884" spans="1:3">
      <c r="A7884" t="s">
        <v>142</v>
      </c>
      <c r="B7884">
        <v>4.72647907814512</v>
      </c>
      <c r="C7884" s="1">
        <v>44804</v>
      </c>
    </row>
    <row r="7885" spans="1:3">
      <c r="A7885" t="s">
        <v>144</v>
      </c>
      <c r="B7885">
        <v>2.6401633380899998</v>
      </c>
      <c r="C7885" s="1">
        <v>44804</v>
      </c>
    </row>
    <row r="7886" spans="1:3">
      <c r="A7886" t="s">
        <v>146</v>
      </c>
      <c r="B7886">
        <v>2.6847527633555099</v>
      </c>
      <c r="C7886" s="1">
        <v>44804</v>
      </c>
    </row>
    <row r="7887" spans="1:3">
      <c r="A7887" t="s">
        <v>148</v>
      </c>
      <c r="B7887">
        <v>8.9900495176784592</v>
      </c>
      <c r="C7887" s="1">
        <v>44804</v>
      </c>
    </row>
    <row r="7888" spans="1:3">
      <c r="A7888" t="s">
        <v>150</v>
      </c>
      <c r="B7888">
        <v>4.3181338151872</v>
      </c>
      <c r="C7888" s="1">
        <v>44804</v>
      </c>
    </row>
    <row r="7889" spans="1:3">
      <c r="A7889" t="s">
        <v>152</v>
      </c>
      <c r="B7889">
        <v>13.472460162791201</v>
      </c>
      <c r="C7889" s="1">
        <v>44804</v>
      </c>
    </row>
    <row r="7890" spans="1:3">
      <c r="A7890" t="s">
        <v>154</v>
      </c>
      <c r="B7890">
        <v>9.7815118161414407</v>
      </c>
      <c r="C7890" s="1">
        <v>44804</v>
      </c>
    </row>
    <row r="7891" spans="1:3">
      <c r="A7891" t="s">
        <v>156</v>
      </c>
      <c r="B7891">
        <v>19.468564455075601</v>
      </c>
      <c r="C7891" s="1">
        <v>44804</v>
      </c>
    </row>
    <row r="7892" spans="1:3">
      <c r="A7892" t="s">
        <v>158</v>
      </c>
      <c r="B7892">
        <v>70.330431108933396</v>
      </c>
      <c r="C7892" s="1">
        <v>44804</v>
      </c>
    </row>
    <row r="7893" spans="1:3">
      <c r="A7893" t="s">
        <v>160</v>
      </c>
      <c r="B7893">
        <v>11.8983361103256</v>
      </c>
      <c r="C7893" s="1">
        <v>44804</v>
      </c>
    </row>
    <row r="7894" spans="1:3">
      <c r="A7894" t="s">
        <v>162</v>
      </c>
      <c r="B7894">
        <v>10.582948064992699</v>
      </c>
      <c r="C7894" s="1">
        <v>44804</v>
      </c>
    </row>
    <row r="7895" spans="1:3">
      <c r="A7895" t="s">
        <v>164</v>
      </c>
      <c r="B7895">
        <v>8.1393302198494499</v>
      </c>
      <c r="C7895" s="1">
        <v>44804</v>
      </c>
    </row>
    <row r="7896" spans="1:3">
      <c r="A7896" t="s">
        <v>166</v>
      </c>
      <c r="B7896">
        <v>5.1043157869740003</v>
      </c>
      <c r="C7896" s="1">
        <v>44804</v>
      </c>
    </row>
    <row r="7897" spans="1:3">
      <c r="A7897" t="s">
        <v>168</v>
      </c>
      <c r="B7897">
        <v>13.862617633864501</v>
      </c>
      <c r="C7897" s="1">
        <v>44804</v>
      </c>
    </row>
    <row r="7898" spans="1:3">
      <c r="A7898" t="s">
        <v>4</v>
      </c>
      <c r="B7898">
        <v>0.19474196689500001</v>
      </c>
      <c r="C7898" s="1">
        <v>44834</v>
      </c>
    </row>
    <row r="7899" spans="1:3">
      <c r="A7899" t="s">
        <v>8</v>
      </c>
      <c r="B7899">
        <v>15.611072471922901</v>
      </c>
      <c r="C7899" s="1">
        <v>44834</v>
      </c>
    </row>
    <row r="7900" spans="1:3">
      <c r="A7900" t="s">
        <v>11</v>
      </c>
      <c r="B7900">
        <v>36.094032549939001</v>
      </c>
      <c r="C7900" s="1">
        <v>44834</v>
      </c>
    </row>
    <row r="7901" spans="1:3">
      <c r="A7901" t="s">
        <v>14</v>
      </c>
      <c r="B7901">
        <v>4.0267074697689003</v>
      </c>
      <c r="C7901" s="1">
        <v>44834</v>
      </c>
    </row>
    <row r="7902" spans="1:3">
      <c r="A7902" t="s">
        <v>17</v>
      </c>
      <c r="B7902">
        <v>9.5228821811654996</v>
      </c>
      <c r="C7902" s="1">
        <v>44834</v>
      </c>
    </row>
    <row r="7903" spans="1:3">
      <c r="A7903" t="s">
        <v>20</v>
      </c>
      <c r="B7903">
        <v>0.35053554041099999</v>
      </c>
      <c r="C7903" s="1">
        <v>44834</v>
      </c>
    </row>
    <row r="7904" spans="1:3">
      <c r="A7904" t="s">
        <v>24</v>
      </c>
      <c r="B7904">
        <v>0.48129086104050001</v>
      </c>
      <c r="C7904" s="1">
        <v>44834</v>
      </c>
    </row>
    <row r="7905" spans="1:3">
      <c r="A7905" t="s">
        <v>27</v>
      </c>
      <c r="B7905">
        <v>30.379746835620001</v>
      </c>
      <c r="C7905" s="1">
        <v>44834</v>
      </c>
    </row>
    <row r="7906" spans="1:3">
      <c r="A7906" t="s">
        <v>29</v>
      </c>
      <c r="B7906">
        <v>0.95979969398249998</v>
      </c>
      <c r="C7906" s="1">
        <v>44834</v>
      </c>
    </row>
    <row r="7907" spans="1:3">
      <c r="A7907" t="s">
        <v>32</v>
      </c>
      <c r="B7907">
        <v>6.7925998052976002</v>
      </c>
      <c r="C7907" s="1">
        <v>44834</v>
      </c>
    </row>
    <row r="7908" spans="1:3">
      <c r="A7908" t="s">
        <v>35</v>
      </c>
      <c r="B7908">
        <v>2.5344275977335</v>
      </c>
      <c r="C7908" s="1">
        <v>44834</v>
      </c>
    </row>
    <row r="7909" spans="1:3">
      <c r="A7909" t="s">
        <v>37</v>
      </c>
      <c r="B7909">
        <v>0.31047433579259998</v>
      </c>
      <c r="C7909" s="1">
        <v>44834</v>
      </c>
    </row>
    <row r="7910" spans="1:3">
      <c r="A7910" t="s">
        <v>39</v>
      </c>
      <c r="B7910">
        <v>1.9629990263015999</v>
      </c>
      <c r="C7910" s="1">
        <v>44834</v>
      </c>
    </row>
    <row r="7911" spans="1:3">
      <c r="A7911" t="s">
        <v>42</v>
      </c>
      <c r="B7911">
        <v>2.6707469745600001</v>
      </c>
      <c r="C7911" s="1">
        <v>44834</v>
      </c>
    </row>
    <row r="7912" spans="1:3">
      <c r="A7912" t="s">
        <v>44</v>
      </c>
      <c r="B7912">
        <v>11.263318959587099</v>
      </c>
      <c r="C7912" s="1">
        <v>44834</v>
      </c>
    </row>
    <row r="7913" spans="1:3">
      <c r="A7913" t="s">
        <v>47</v>
      </c>
      <c r="B7913">
        <v>5.6263736264063997</v>
      </c>
      <c r="C7913" s="1">
        <v>44834</v>
      </c>
    </row>
    <row r="7914" spans="1:3">
      <c r="A7914" t="s">
        <v>49</v>
      </c>
      <c r="B7914">
        <v>7.9766309640191997</v>
      </c>
      <c r="C7914" s="1">
        <v>44834</v>
      </c>
    </row>
    <row r="7915" spans="1:3">
      <c r="A7915" t="s">
        <v>51</v>
      </c>
      <c r="B7915">
        <v>0.68938656280830002</v>
      </c>
      <c r="C7915" s="1">
        <v>44834</v>
      </c>
    </row>
    <row r="7916" spans="1:3">
      <c r="A7916" t="s">
        <v>53</v>
      </c>
      <c r="B7916">
        <v>0.57254138267129995</v>
      </c>
      <c r="C7916" s="1">
        <v>44834</v>
      </c>
    </row>
    <row r="7917" spans="1:3">
      <c r="A7917" t="s">
        <v>55</v>
      </c>
      <c r="B7917">
        <v>1.6714424815788</v>
      </c>
      <c r="C7917" s="1">
        <v>44834</v>
      </c>
    </row>
    <row r="7918" spans="1:3">
      <c r="A7918" t="s">
        <v>57</v>
      </c>
      <c r="B7918">
        <v>2.5817220754079999</v>
      </c>
      <c r="C7918" s="1">
        <v>44834</v>
      </c>
    </row>
    <row r="7919" spans="1:3">
      <c r="A7919" t="s">
        <v>59</v>
      </c>
      <c r="B7919">
        <v>2.6674085408417998</v>
      </c>
      <c r="C7919" s="1">
        <v>44834</v>
      </c>
    </row>
    <row r="7920" spans="1:3">
      <c r="A7920" t="s">
        <v>61</v>
      </c>
      <c r="B7920">
        <v>86.409792739409994</v>
      </c>
      <c r="C7920" s="1">
        <v>44834</v>
      </c>
    </row>
    <row r="7921" spans="1:3">
      <c r="A7921" t="s">
        <v>63</v>
      </c>
      <c r="B7921">
        <v>10.748643761364599</v>
      </c>
      <c r="C7921" s="1">
        <v>44834</v>
      </c>
    </row>
    <row r="7922" spans="1:3">
      <c r="A7922" t="s">
        <v>65</v>
      </c>
      <c r="B7922">
        <v>0.19752399499349901</v>
      </c>
      <c r="C7922" s="1">
        <v>44834</v>
      </c>
    </row>
    <row r="7923" spans="1:3">
      <c r="A7923" t="s">
        <v>67</v>
      </c>
      <c r="B7923">
        <v>5.8383641675120996</v>
      </c>
      <c r="C7923" s="1">
        <v>44834</v>
      </c>
    </row>
    <row r="7924" spans="1:3">
      <c r="A7924" t="s">
        <v>69</v>
      </c>
      <c r="B7924">
        <v>2.7736820142044998</v>
      </c>
      <c r="C7924" s="1">
        <v>44834</v>
      </c>
    </row>
    <row r="7925" spans="1:3">
      <c r="A7925" t="s">
        <v>71</v>
      </c>
      <c r="B7925">
        <v>0.99040200306600001</v>
      </c>
      <c r="C7925" s="1">
        <v>44834</v>
      </c>
    </row>
    <row r="7926" spans="1:3">
      <c r="A7926" t="s">
        <v>73</v>
      </c>
      <c r="B7926">
        <v>0.76338851022840004</v>
      </c>
      <c r="C7926" s="1">
        <v>44834</v>
      </c>
    </row>
    <row r="7927" spans="1:3">
      <c r="A7927" t="s">
        <v>75</v>
      </c>
      <c r="B7927">
        <v>0.116845180137</v>
      </c>
      <c r="C7927" s="1">
        <v>44834</v>
      </c>
    </row>
    <row r="7928" spans="1:3">
      <c r="A7928" t="s">
        <v>77</v>
      </c>
      <c r="B7928">
        <v>0.65600222562629995</v>
      </c>
      <c r="C7928" s="1">
        <v>44834</v>
      </c>
    </row>
    <row r="7929" spans="1:3">
      <c r="A7929" t="s">
        <v>79</v>
      </c>
      <c r="B7929">
        <v>3.0452079566180998</v>
      </c>
      <c r="C7929" s="1">
        <v>44834</v>
      </c>
    </row>
    <row r="7930" spans="1:3">
      <c r="A7930" t="s">
        <v>81</v>
      </c>
      <c r="B7930">
        <v>4.7772986507441999</v>
      </c>
      <c r="C7930" s="1">
        <v>44834</v>
      </c>
    </row>
    <row r="7931" spans="1:3">
      <c r="A7931" t="s">
        <v>83</v>
      </c>
      <c r="B7931">
        <v>0.216998191683</v>
      </c>
      <c r="C7931" s="1">
        <v>44834</v>
      </c>
    </row>
    <row r="7932" spans="1:3">
      <c r="A7932" t="s">
        <v>85</v>
      </c>
      <c r="B7932">
        <v>1.9123661149089</v>
      </c>
      <c r="C7932" s="1">
        <v>44834</v>
      </c>
    </row>
    <row r="7933" spans="1:3">
      <c r="A7933" t="s">
        <v>87</v>
      </c>
      <c r="B7933">
        <v>7.4714146613316004</v>
      </c>
      <c r="C7933" s="1">
        <v>44834</v>
      </c>
    </row>
    <row r="7934" spans="1:3">
      <c r="A7934" t="s">
        <v>89</v>
      </c>
      <c r="B7934">
        <v>9.5640561970232998</v>
      </c>
      <c r="C7934" s="1">
        <v>44834</v>
      </c>
    </row>
    <row r="7935" spans="1:3">
      <c r="A7935" t="s">
        <v>91</v>
      </c>
      <c r="B7935">
        <v>13.911809709359099</v>
      </c>
      <c r="C7935" s="1">
        <v>44834</v>
      </c>
    </row>
    <row r="7936" spans="1:3">
      <c r="A7936" t="s">
        <v>93</v>
      </c>
      <c r="B7936">
        <v>11.072471832030001</v>
      </c>
      <c r="C7936" s="1">
        <v>44834</v>
      </c>
    </row>
    <row r="7937" spans="1:3">
      <c r="A7937" t="s">
        <v>95</v>
      </c>
      <c r="B7937">
        <v>0.50465989706790004</v>
      </c>
      <c r="C7937" s="1">
        <v>44834</v>
      </c>
    </row>
    <row r="7938" spans="1:3">
      <c r="A7938" t="s">
        <v>97</v>
      </c>
      <c r="B7938">
        <v>3.7613019891719999</v>
      </c>
      <c r="C7938" s="1">
        <v>44834</v>
      </c>
    </row>
    <row r="7939" spans="1:3">
      <c r="A7939" t="s">
        <v>99</v>
      </c>
      <c r="B7939">
        <v>2.9634163305221999</v>
      </c>
      <c r="C7939" s="1">
        <v>44834</v>
      </c>
    </row>
    <row r="7940" spans="1:3">
      <c r="A7940" t="s">
        <v>101</v>
      </c>
      <c r="B7940">
        <v>7.5114758659499996</v>
      </c>
      <c r="C7940" s="1">
        <v>44834</v>
      </c>
    </row>
    <row r="7941" spans="1:3">
      <c r="A7941" t="s">
        <v>105</v>
      </c>
      <c r="B7941">
        <v>0.12686048129159999</v>
      </c>
      <c r="C7941" s="1">
        <v>44834</v>
      </c>
    </row>
    <row r="7942" spans="1:3">
      <c r="A7942" t="s">
        <v>107</v>
      </c>
      <c r="B7942">
        <v>1.5584921407797001</v>
      </c>
      <c r="C7942" s="1">
        <v>44834</v>
      </c>
    </row>
    <row r="7943" spans="1:3">
      <c r="A7943" t="s">
        <v>109</v>
      </c>
      <c r="B7943">
        <v>2.3769648073584002</v>
      </c>
      <c r="C7943" s="1">
        <v>44834</v>
      </c>
    </row>
    <row r="7944" spans="1:3">
      <c r="A7944" t="s">
        <v>111</v>
      </c>
      <c r="B7944">
        <v>4.8006676867716003</v>
      </c>
      <c r="C7944" s="1">
        <v>44834</v>
      </c>
    </row>
    <row r="7945" spans="1:3">
      <c r="A7945" t="s">
        <v>113</v>
      </c>
      <c r="B7945">
        <v>6.5449993045310997</v>
      </c>
      <c r="C7945" s="1">
        <v>44834</v>
      </c>
    </row>
    <row r="7946" spans="1:3">
      <c r="A7946" t="s">
        <v>115</v>
      </c>
      <c r="B7946">
        <v>3.3979691195078998</v>
      </c>
      <c r="C7946" s="1">
        <v>44834</v>
      </c>
    </row>
    <row r="7947" spans="1:3">
      <c r="A7947" t="s">
        <v>117</v>
      </c>
      <c r="B7947">
        <v>3.0869383780956001</v>
      </c>
      <c r="C7947" s="1">
        <v>44834</v>
      </c>
    </row>
    <row r="7948" spans="1:3">
      <c r="A7948" t="s">
        <v>119</v>
      </c>
      <c r="B7948">
        <v>21.579079148824999</v>
      </c>
      <c r="C7948" s="1">
        <v>44834</v>
      </c>
    </row>
    <row r="7949" spans="1:3">
      <c r="A7949" t="s">
        <v>121</v>
      </c>
      <c r="B7949">
        <v>7.3862846015174997</v>
      </c>
      <c r="C7949" s="1">
        <v>44834</v>
      </c>
    </row>
    <row r="7950" spans="1:3">
      <c r="A7950" t="s">
        <v>123</v>
      </c>
      <c r="B7950">
        <v>2.8704965920322998</v>
      </c>
      <c r="C7950" s="1">
        <v>44834</v>
      </c>
    </row>
    <row r="7951" spans="1:3">
      <c r="A7951" t="s">
        <v>125</v>
      </c>
      <c r="B7951">
        <v>125.93072750108099</v>
      </c>
      <c r="C7951" s="1">
        <v>44834</v>
      </c>
    </row>
    <row r="7952" spans="1:3">
      <c r="A7952" t="s">
        <v>127</v>
      </c>
      <c r="B7952">
        <v>6.6701905689635996</v>
      </c>
      <c r="C7952" s="1">
        <v>44834</v>
      </c>
    </row>
    <row r="7953" spans="1:3">
      <c r="A7953" t="s">
        <v>129</v>
      </c>
      <c r="B7953">
        <v>3.3796077340577999</v>
      </c>
      <c r="C7953" s="1">
        <v>44834</v>
      </c>
    </row>
    <row r="7954" spans="1:3">
      <c r="A7954" t="s">
        <v>131</v>
      </c>
      <c r="B7954">
        <v>2.4498539435390998</v>
      </c>
      <c r="C7954" s="1">
        <v>44834</v>
      </c>
    </row>
    <row r="7955" spans="1:3">
      <c r="A7955" t="s">
        <v>134</v>
      </c>
      <c r="B7955">
        <v>1.4082626234607001</v>
      </c>
      <c r="C7955" s="1">
        <v>44834</v>
      </c>
    </row>
    <row r="7956" spans="1:3">
      <c r="A7956" t="s">
        <v>136</v>
      </c>
      <c r="B7956">
        <v>12.073445541870299</v>
      </c>
      <c r="C7956" s="1">
        <v>44834</v>
      </c>
    </row>
    <row r="7957" spans="1:3">
      <c r="A7957" t="s">
        <v>138</v>
      </c>
      <c r="B7957">
        <v>10.9355960495838</v>
      </c>
      <c r="C7957" s="1">
        <v>44834</v>
      </c>
    </row>
    <row r="7958" spans="1:3">
      <c r="A7958" t="s">
        <v>140</v>
      </c>
      <c r="B7958">
        <v>15.8831548199562</v>
      </c>
      <c r="C7958" s="1">
        <v>44834</v>
      </c>
    </row>
    <row r="7959" spans="1:3">
      <c r="A7959" t="s">
        <v>142</v>
      </c>
      <c r="B7959">
        <v>3.9860898595308001</v>
      </c>
      <c r="C7959" s="1">
        <v>44834</v>
      </c>
    </row>
    <row r="7960" spans="1:3">
      <c r="A7960" t="s">
        <v>144</v>
      </c>
      <c r="B7960">
        <v>2.4092363333010001</v>
      </c>
      <c r="C7960" s="1">
        <v>44834</v>
      </c>
    </row>
    <row r="7961" spans="1:3">
      <c r="A7961" t="s">
        <v>146</v>
      </c>
      <c r="B7961">
        <v>2.4492975379194002</v>
      </c>
      <c r="C7961" s="1">
        <v>44834</v>
      </c>
    </row>
    <row r="7962" spans="1:3">
      <c r="A7962" t="s">
        <v>148</v>
      </c>
      <c r="B7962">
        <v>8.0122409236800003</v>
      </c>
      <c r="C7962" s="1">
        <v>44834</v>
      </c>
    </row>
    <row r="7963" spans="1:3">
      <c r="A7963" t="s">
        <v>150</v>
      </c>
      <c r="B7963">
        <v>4.0506329114159998</v>
      </c>
      <c r="C7963" s="1">
        <v>44834</v>
      </c>
    </row>
    <row r="7964" spans="1:3">
      <c r="A7964" t="s">
        <v>152</v>
      </c>
      <c r="B7964">
        <v>13.891779107049899</v>
      </c>
      <c r="C7964" s="1">
        <v>44834</v>
      </c>
    </row>
    <row r="7965" spans="1:3">
      <c r="A7965" t="s">
        <v>154</v>
      </c>
      <c r="B7965">
        <v>9.4277368201968006</v>
      </c>
      <c r="C7965" s="1">
        <v>44834</v>
      </c>
    </row>
    <row r="7966" spans="1:3">
      <c r="A7966" t="s">
        <v>156</v>
      </c>
      <c r="B7966">
        <v>15.8987341773078</v>
      </c>
      <c r="C7966" s="1">
        <v>44834</v>
      </c>
    </row>
    <row r="7967" spans="1:3">
      <c r="A7967" t="s">
        <v>158</v>
      </c>
      <c r="B7967">
        <v>71.679510363472204</v>
      </c>
      <c r="C7967" s="1">
        <v>44834</v>
      </c>
    </row>
    <row r="7968" spans="1:3">
      <c r="A7968" t="s">
        <v>160</v>
      </c>
      <c r="B7968">
        <v>11.113645847887801</v>
      </c>
      <c r="C7968" s="1">
        <v>44834</v>
      </c>
    </row>
    <row r="7969" spans="1:3">
      <c r="A7969" t="s">
        <v>162</v>
      </c>
      <c r="B7969">
        <v>9.4405341494498902</v>
      </c>
      <c r="C7969" s="1">
        <v>44834</v>
      </c>
    </row>
    <row r="7970" spans="1:3">
      <c r="A7970" t="s">
        <v>164</v>
      </c>
      <c r="B7970">
        <v>8.2042008624764993</v>
      </c>
      <c r="C7970" s="1">
        <v>44834</v>
      </c>
    </row>
    <row r="7971" spans="1:3">
      <c r="A7971" t="s">
        <v>166</v>
      </c>
      <c r="B7971">
        <v>5.1339546529718998</v>
      </c>
      <c r="C7971" s="1">
        <v>44834</v>
      </c>
    </row>
    <row r="7972" spans="1:3">
      <c r="A7972" t="s">
        <v>168</v>
      </c>
      <c r="B7972">
        <v>13.6052302129044</v>
      </c>
      <c r="C7972" s="1">
        <v>44834</v>
      </c>
    </row>
    <row r="7973" spans="1:3">
      <c r="A7973" t="s">
        <v>4</v>
      </c>
      <c r="B7973">
        <v>0.19208270983376</v>
      </c>
      <c r="C7973" s="1">
        <v>44865</v>
      </c>
    </row>
    <row r="7974" spans="1:3">
      <c r="A7974" t="s">
        <v>8</v>
      </c>
      <c r="B7974">
        <v>17.099170180782</v>
      </c>
      <c r="C7974" s="1">
        <v>44865</v>
      </c>
    </row>
    <row r="7975" spans="1:3">
      <c r="A7975" t="s">
        <v>11</v>
      </c>
      <c r="B7975">
        <v>39.341586178416001</v>
      </c>
      <c r="C7975" s="1">
        <v>44865</v>
      </c>
    </row>
    <row r="7976" spans="1:3">
      <c r="A7976" t="s">
        <v>14</v>
      </c>
      <c r="B7976">
        <v>5.0224459256816001</v>
      </c>
      <c r="C7976" s="1">
        <v>44865</v>
      </c>
    </row>
    <row r="7977" spans="1:3">
      <c r="A7977" t="s">
        <v>17</v>
      </c>
      <c r="B7977">
        <v>9.7837028974816</v>
      </c>
      <c r="C7977" s="1">
        <v>44865</v>
      </c>
    </row>
    <row r="7978" spans="1:3">
      <c r="A7978" t="s">
        <v>20</v>
      </c>
      <c r="B7978">
        <v>0.37056182831952</v>
      </c>
      <c r="C7978" s="1">
        <v>44865</v>
      </c>
    </row>
    <row r="7979" spans="1:3">
      <c r="A7979" t="s">
        <v>24</v>
      </c>
      <c r="B7979">
        <v>0.45980138756239902</v>
      </c>
      <c r="C7979" s="1">
        <v>44865</v>
      </c>
    </row>
    <row r="7980" spans="1:3">
      <c r="A7980" t="s">
        <v>27</v>
      </c>
      <c r="B7980">
        <v>30.302815943150801</v>
      </c>
      <c r="C7980" s="1">
        <v>44865</v>
      </c>
    </row>
    <row r="7981" spans="1:3">
      <c r="A7981" t="s">
        <v>29</v>
      </c>
      <c r="B7981">
        <v>1.074683716492</v>
      </c>
      <c r="C7981" s="1">
        <v>44865</v>
      </c>
    </row>
    <row r="7982" spans="1:3">
      <c r="A7982" t="s">
        <v>32</v>
      </c>
      <c r="B7982">
        <v>6.8186641272715196</v>
      </c>
      <c r="C7982" s="1">
        <v>44865</v>
      </c>
    </row>
    <row r="7983" spans="1:3">
      <c r="A7983" t="s">
        <v>35</v>
      </c>
      <c r="B7983">
        <v>2.59502108554448</v>
      </c>
      <c r="C7983" s="1">
        <v>44865</v>
      </c>
    </row>
    <row r="7984" spans="1:3">
      <c r="A7984" t="s">
        <v>37</v>
      </c>
      <c r="B7984">
        <v>0.28077812542272002</v>
      </c>
      <c r="C7984" s="1">
        <v>44865</v>
      </c>
    </row>
    <row r="7985" spans="1:3">
      <c r="A7985" t="s">
        <v>39</v>
      </c>
      <c r="B7985">
        <v>1.5584274248268799</v>
      </c>
      <c r="C7985" s="1">
        <v>44865</v>
      </c>
    </row>
    <row r="7986" spans="1:3">
      <c r="A7986" t="s">
        <v>42</v>
      </c>
      <c r="B7986">
        <v>2.6118895388159999</v>
      </c>
      <c r="C7986" s="1">
        <v>44865</v>
      </c>
    </row>
    <row r="7987" spans="1:3">
      <c r="A7987" t="s">
        <v>44</v>
      </c>
      <c r="B7987">
        <v>11.128826009971799</v>
      </c>
      <c r="C7987" s="1">
        <v>44865</v>
      </c>
    </row>
    <row r="7988" spans="1:3">
      <c r="A7988" t="s">
        <v>47</v>
      </c>
      <c r="B7988">
        <v>5.5306760984428802</v>
      </c>
      <c r="C7988" s="1">
        <v>44865</v>
      </c>
    </row>
    <row r="7989" spans="1:3">
      <c r="A7989" t="s">
        <v>49</v>
      </c>
      <c r="B7989">
        <v>8.4750374098040009</v>
      </c>
      <c r="C7989" s="1">
        <v>44865</v>
      </c>
    </row>
    <row r="7990" spans="1:3">
      <c r="A7990" t="s">
        <v>51</v>
      </c>
      <c r="B7990">
        <v>0.73187321452239995</v>
      </c>
      <c r="C7990" s="1">
        <v>44865</v>
      </c>
    </row>
    <row r="7991" spans="1:3">
      <c r="A7991" t="s">
        <v>53</v>
      </c>
      <c r="B7991">
        <v>0.57135083661599995</v>
      </c>
      <c r="C7991" s="1">
        <v>44865</v>
      </c>
    </row>
    <row r="7992" spans="1:3">
      <c r="A7992" t="s">
        <v>55</v>
      </c>
      <c r="B7992">
        <v>1.7858794721654401</v>
      </c>
      <c r="C7992" s="1">
        <v>44865</v>
      </c>
    </row>
    <row r="7993" spans="1:3">
      <c r="A7993" t="s">
        <v>57</v>
      </c>
      <c r="B7993">
        <v>1.9866684804619199</v>
      </c>
      <c r="C7993" s="1">
        <v>44865</v>
      </c>
    </row>
    <row r="7994" spans="1:3">
      <c r="A7994" t="s">
        <v>59</v>
      </c>
      <c r="B7994">
        <v>2.7865596517243199</v>
      </c>
      <c r="C7994" s="1">
        <v>44865</v>
      </c>
    </row>
    <row r="7995" spans="1:3">
      <c r="A7995" t="s">
        <v>61</v>
      </c>
      <c r="B7995">
        <v>103.418310433073</v>
      </c>
      <c r="C7995" s="1">
        <v>44865</v>
      </c>
    </row>
    <row r="7996" spans="1:3">
      <c r="A7996" t="s">
        <v>63</v>
      </c>
      <c r="B7996">
        <v>9.5801931709155195</v>
      </c>
      <c r="C7996" s="1">
        <v>44865</v>
      </c>
    </row>
    <row r="7997" spans="1:3">
      <c r="A7997" t="s">
        <v>65</v>
      </c>
      <c r="B7997">
        <v>0.22201061079935999</v>
      </c>
      <c r="C7997" s="1">
        <v>44865</v>
      </c>
    </row>
    <row r="7998" spans="1:3">
      <c r="A7998" t="s">
        <v>67</v>
      </c>
      <c r="B7998">
        <v>6.5416950074262399</v>
      </c>
      <c r="C7998" s="1">
        <v>44865</v>
      </c>
    </row>
    <row r="7999" spans="1:3">
      <c r="A7999" t="s">
        <v>69</v>
      </c>
      <c r="B7999">
        <v>2.8436947353859199</v>
      </c>
      <c r="C7999" s="1">
        <v>44865</v>
      </c>
    </row>
    <row r="8000" spans="1:3">
      <c r="A8000" t="s">
        <v>71</v>
      </c>
      <c r="B8000">
        <v>0.96857570397759996</v>
      </c>
      <c r="C8000" s="1">
        <v>44865</v>
      </c>
    </row>
    <row r="8001" spans="1:3">
      <c r="A8001" t="s">
        <v>73</v>
      </c>
      <c r="B8001">
        <v>0.84777581280736003</v>
      </c>
      <c r="C8001" s="1">
        <v>44865</v>
      </c>
    </row>
    <row r="8002" spans="1:3">
      <c r="A8002" t="s">
        <v>75</v>
      </c>
      <c r="B8002">
        <v>0.12460889674768</v>
      </c>
      <c r="C8002" s="1">
        <v>44865</v>
      </c>
    </row>
    <row r="8003" spans="1:3">
      <c r="A8003" t="s">
        <v>77</v>
      </c>
      <c r="B8003">
        <v>0.70466603182639997</v>
      </c>
      <c r="C8003" s="1">
        <v>44865</v>
      </c>
    </row>
    <row r="8004" spans="1:3">
      <c r="A8004" t="s">
        <v>79</v>
      </c>
      <c r="B8004">
        <v>3.0689702081088002</v>
      </c>
      <c r="C8004" s="1">
        <v>44865</v>
      </c>
    </row>
    <row r="8005" spans="1:3">
      <c r="A8005" t="s">
        <v>81</v>
      </c>
      <c r="B8005">
        <v>5.24717725475056</v>
      </c>
      <c r="C8005" s="1">
        <v>44865</v>
      </c>
    </row>
    <row r="8006" spans="1:3">
      <c r="A8006" t="s">
        <v>83</v>
      </c>
      <c r="B8006">
        <v>0.25139436811103999</v>
      </c>
      <c r="C8006" s="1">
        <v>44865</v>
      </c>
    </row>
    <row r="8007" spans="1:3">
      <c r="A8007" t="s">
        <v>85</v>
      </c>
      <c r="B8007">
        <v>2.0149639504657602</v>
      </c>
      <c r="C8007" s="1">
        <v>44865</v>
      </c>
    </row>
    <row r="8008" spans="1:3">
      <c r="A8008" t="s">
        <v>87</v>
      </c>
      <c r="B8008">
        <v>8.2307169091939194</v>
      </c>
      <c r="C8008" s="1">
        <v>44865</v>
      </c>
    </row>
    <row r="8009" spans="1:3">
      <c r="A8009" t="s">
        <v>89</v>
      </c>
      <c r="B8009">
        <v>9.7945857705599995</v>
      </c>
      <c r="C8009" s="1">
        <v>44865</v>
      </c>
    </row>
    <row r="8010" spans="1:3">
      <c r="A8010" t="s">
        <v>91</v>
      </c>
      <c r="B8010">
        <v>13.840293837455199</v>
      </c>
      <c r="C8010" s="1">
        <v>44865</v>
      </c>
    </row>
    <row r="8011" spans="1:3">
      <c r="A8011" t="s">
        <v>93</v>
      </c>
      <c r="B8011">
        <v>10.447558155264</v>
      </c>
      <c r="C8011" s="1">
        <v>44865</v>
      </c>
    </row>
    <row r="8012" spans="1:3">
      <c r="A8012" t="s">
        <v>95</v>
      </c>
      <c r="B8012">
        <v>0.56373282546112002</v>
      </c>
      <c r="C8012" s="1">
        <v>44865</v>
      </c>
    </row>
    <row r="8013" spans="1:3">
      <c r="A8013" t="s">
        <v>97</v>
      </c>
      <c r="B8013">
        <v>3.9183784518779201</v>
      </c>
      <c r="C8013" s="1">
        <v>44865</v>
      </c>
    </row>
    <row r="8014" spans="1:3">
      <c r="A8014" t="s">
        <v>99</v>
      </c>
      <c r="B8014">
        <v>3.01401169906288</v>
      </c>
      <c r="C8014" s="1">
        <v>44865</v>
      </c>
    </row>
    <row r="8015" spans="1:3">
      <c r="A8015" t="s">
        <v>101</v>
      </c>
      <c r="B8015">
        <v>7.4547680587040004</v>
      </c>
      <c r="C8015" s="1">
        <v>44865</v>
      </c>
    </row>
    <row r="8016" spans="1:3">
      <c r="A8016" t="s">
        <v>105</v>
      </c>
      <c r="B8016">
        <v>0.12134403482415999</v>
      </c>
      <c r="C8016" s="1">
        <v>44865</v>
      </c>
    </row>
    <row r="8017" spans="1:3">
      <c r="A8017" t="s">
        <v>107</v>
      </c>
      <c r="B8017">
        <v>1.8011154944751999</v>
      </c>
      <c r="C8017" s="1">
        <v>44865</v>
      </c>
    </row>
    <row r="8018" spans="1:3">
      <c r="A8018" t="s">
        <v>109</v>
      </c>
      <c r="B8018">
        <v>2.7691470547988799</v>
      </c>
      <c r="C8018" s="1">
        <v>44865</v>
      </c>
    </row>
    <row r="8019" spans="1:3">
      <c r="A8019" t="s">
        <v>111</v>
      </c>
      <c r="B8019">
        <v>5.0224459256816001</v>
      </c>
      <c r="C8019" s="1">
        <v>44865</v>
      </c>
    </row>
    <row r="8020" spans="1:3">
      <c r="A8020" t="s">
        <v>113</v>
      </c>
      <c r="B8020">
        <v>6.2527547271947199</v>
      </c>
      <c r="C8020" s="1">
        <v>44865</v>
      </c>
    </row>
    <row r="8021" spans="1:3">
      <c r="A8021" t="s">
        <v>115</v>
      </c>
      <c r="B8021">
        <v>3.4330023125812801</v>
      </c>
      <c r="C8021" s="1">
        <v>44865</v>
      </c>
    </row>
    <row r="8022" spans="1:3">
      <c r="A8022" t="s">
        <v>117</v>
      </c>
      <c r="B8022">
        <v>3.21262413274368</v>
      </c>
      <c r="C8022" s="1">
        <v>44865</v>
      </c>
    </row>
    <row r="8023" spans="1:3">
      <c r="A8023" t="s">
        <v>119</v>
      </c>
      <c r="B8023">
        <v>18.826826281978001</v>
      </c>
      <c r="C8023" s="1">
        <v>44865</v>
      </c>
    </row>
    <row r="8024" spans="1:3">
      <c r="A8024" t="s">
        <v>121</v>
      </c>
      <c r="B8024">
        <v>7.4389878927403199</v>
      </c>
      <c r="C8024" s="1">
        <v>44865</v>
      </c>
    </row>
    <row r="8025" spans="1:3">
      <c r="A8025" t="s">
        <v>123</v>
      </c>
      <c r="B8025">
        <v>2.90790368654848</v>
      </c>
      <c r="C8025" s="1">
        <v>44865</v>
      </c>
    </row>
    <row r="8026" spans="1:3">
      <c r="A8026" t="s">
        <v>125</v>
      </c>
      <c r="B8026">
        <v>103.392735681339</v>
      </c>
      <c r="C8026" s="1">
        <v>44865</v>
      </c>
    </row>
    <row r="8027" spans="1:3">
      <c r="A8027" t="s">
        <v>127</v>
      </c>
      <c r="B8027">
        <v>7.0651612024972801</v>
      </c>
      <c r="C8027" s="1">
        <v>44865</v>
      </c>
    </row>
    <row r="8028" spans="1:3">
      <c r="A8028" t="s">
        <v>129</v>
      </c>
      <c r="B8028">
        <v>3.5015644129751999</v>
      </c>
      <c r="C8028" s="1">
        <v>44865</v>
      </c>
    </row>
    <row r="8029" spans="1:3">
      <c r="A8029" t="s">
        <v>131</v>
      </c>
      <c r="B8029">
        <v>2.2386069922268801</v>
      </c>
      <c r="C8029" s="1">
        <v>44865</v>
      </c>
    </row>
    <row r="8030" spans="1:3">
      <c r="A8030" t="s">
        <v>134</v>
      </c>
      <c r="B8030">
        <v>1.4136852128841599</v>
      </c>
      <c r="C8030" s="1">
        <v>44865</v>
      </c>
    </row>
    <row r="8031" spans="1:3">
      <c r="A8031" t="s">
        <v>136</v>
      </c>
      <c r="B8031">
        <v>12.7275200651888</v>
      </c>
      <c r="C8031" s="1">
        <v>44865</v>
      </c>
    </row>
    <row r="8032" spans="1:3">
      <c r="A8032" t="s">
        <v>138</v>
      </c>
      <c r="B8032">
        <v>11.5619643584921</v>
      </c>
      <c r="C8032" s="1">
        <v>44865</v>
      </c>
    </row>
    <row r="8033" spans="1:3">
      <c r="A8033" t="s">
        <v>140</v>
      </c>
      <c r="B8033">
        <v>16.93647122826</v>
      </c>
      <c r="C8033" s="1">
        <v>44865</v>
      </c>
    </row>
    <row r="8034" spans="1:3">
      <c r="A8034" t="s">
        <v>142</v>
      </c>
      <c r="B8034">
        <v>4.9163379131672</v>
      </c>
      <c r="C8034" s="1">
        <v>44865</v>
      </c>
    </row>
    <row r="8035" spans="1:3">
      <c r="A8035" t="s">
        <v>144</v>
      </c>
      <c r="B8035">
        <v>2.5144878247643199</v>
      </c>
      <c r="C8035" s="1">
        <v>44865</v>
      </c>
    </row>
    <row r="8036" spans="1:3">
      <c r="A8036" t="s">
        <v>146</v>
      </c>
      <c r="B8036">
        <v>3.0831179431107198</v>
      </c>
      <c r="C8036" s="1">
        <v>44865</v>
      </c>
    </row>
    <row r="8037" spans="1:3">
      <c r="A8037" t="s">
        <v>148</v>
      </c>
      <c r="B8037">
        <v>9.3402258195367995</v>
      </c>
      <c r="C8037" s="1">
        <v>44865</v>
      </c>
    </row>
    <row r="8038" spans="1:3">
      <c r="A8038" t="s">
        <v>150</v>
      </c>
      <c r="B8038">
        <v>3.9978234253502398</v>
      </c>
      <c r="C8038" s="1">
        <v>44865</v>
      </c>
    </row>
    <row r="8039" spans="1:3">
      <c r="A8039" t="s">
        <v>152</v>
      </c>
      <c r="B8039">
        <v>13.1285539381278</v>
      </c>
      <c r="C8039" s="1">
        <v>44865</v>
      </c>
    </row>
    <row r="8040" spans="1:3">
      <c r="A8040" t="s">
        <v>154</v>
      </c>
      <c r="B8040">
        <v>10.1227043938737</v>
      </c>
      <c r="C8040" s="1">
        <v>44865</v>
      </c>
    </row>
    <row r="8041" spans="1:3">
      <c r="A8041" t="s">
        <v>156</v>
      </c>
      <c r="B8041">
        <v>16.816215480743601</v>
      </c>
      <c r="C8041" s="1">
        <v>44865</v>
      </c>
    </row>
    <row r="8042" spans="1:3">
      <c r="A8042" t="s">
        <v>158</v>
      </c>
      <c r="B8042">
        <v>79.505917561559002</v>
      </c>
      <c r="C8042" s="1">
        <v>44865</v>
      </c>
    </row>
    <row r="8043" spans="1:3">
      <c r="A8043" t="s">
        <v>160</v>
      </c>
      <c r="B8043">
        <v>11.8383893346835</v>
      </c>
      <c r="C8043" s="1">
        <v>44865</v>
      </c>
    </row>
    <row r="8044" spans="1:3">
      <c r="A8044" t="s">
        <v>162</v>
      </c>
      <c r="B8044">
        <v>10.2353421302352</v>
      </c>
      <c r="C8044" s="1">
        <v>44865</v>
      </c>
    </row>
    <row r="8045" spans="1:3">
      <c r="A8045" t="s">
        <v>164</v>
      </c>
      <c r="B8045">
        <v>8.07998911705808</v>
      </c>
      <c r="C8045" s="1">
        <v>44865</v>
      </c>
    </row>
    <row r="8046" spans="1:3">
      <c r="A8046" t="s">
        <v>166</v>
      </c>
      <c r="B8046">
        <v>5.6019589171064004</v>
      </c>
      <c r="C8046" s="1">
        <v>44865</v>
      </c>
    </row>
    <row r="8047" spans="1:3">
      <c r="A8047" t="s">
        <v>168</v>
      </c>
      <c r="B8047">
        <v>14.074819752294699</v>
      </c>
      <c r="C8047" s="1">
        <v>44865</v>
      </c>
    </row>
    <row r="8048" spans="1:3">
      <c r="A8048" t="s">
        <v>4</v>
      </c>
      <c r="B8048">
        <v>0.20591263421049999</v>
      </c>
      <c r="C8048" s="1">
        <v>44895</v>
      </c>
    </row>
    <row r="8049" spans="1:3">
      <c r="A8049" t="s">
        <v>8</v>
      </c>
      <c r="B8049">
        <v>18.549786733305901</v>
      </c>
      <c r="C8049" s="1">
        <v>44895</v>
      </c>
    </row>
    <row r="8050" spans="1:3">
      <c r="A8050" t="s">
        <v>11</v>
      </c>
      <c r="B8050">
        <v>40.530077952558699</v>
      </c>
      <c r="C8050" s="1">
        <v>44895</v>
      </c>
    </row>
    <row r="8051" spans="1:3">
      <c r="A8051" t="s">
        <v>14</v>
      </c>
      <c r="B8051">
        <v>6.1920870716157497</v>
      </c>
      <c r="C8051" s="1">
        <v>44895</v>
      </c>
    </row>
    <row r="8052" spans="1:3">
      <c r="A8052" t="s">
        <v>17</v>
      </c>
      <c r="B8052">
        <v>12.94307986466</v>
      </c>
      <c r="C8052" s="1">
        <v>44895</v>
      </c>
    </row>
    <row r="8053" spans="1:3">
      <c r="A8053" t="s">
        <v>20</v>
      </c>
      <c r="B8053">
        <v>0.44947786439092002</v>
      </c>
      <c r="C8053" s="1">
        <v>44895</v>
      </c>
    </row>
    <row r="8054" spans="1:3">
      <c r="A8054" t="s">
        <v>24</v>
      </c>
      <c r="B8054">
        <v>0.50713340196986001</v>
      </c>
      <c r="C8054" s="1">
        <v>44895</v>
      </c>
    </row>
    <row r="8055" spans="1:3">
      <c r="A8055" t="s">
        <v>27</v>
      </c>
      <c r="B8055">
        <v>40.5436093542354</v>
      </c>
      <c r="C8055" s="1">
        <v>44895</v>
      </c>
    </row>
    <row r="8056" spans="1:3">
      <c r="A8056" t="s">
        <v>29</v>
      </c>
      <c r="B8056">
        <v>1.0248565965562599</v>
      </c>
      <c r="C8056" s="1">
        <v>44895</v>
      </c>
    </row>
    <row r="8057" spans="1:3">
      <c r="A8057" t="s">
        <v>32</v>
      </c>
      <c r="B8057">
        <v>7.3981467862772501</v>
      </c>
      <c r="C8057" s="1">
        <v>44895</v>
      </c>
    </row>
    <row r="8058" spans="1:3">
      <c r="A8058" t="s">
        <v>35</v>
      </c>
      <c r="B8058">
        <v>3.0592734225560001</v>
      </c>
      <c r="C8058" s="1">
        <v>44895</v>
      </c>
    </row>
    <row r="8059" spans="1:3">
      <c r="A8059" t="s">
        <v>37</v>
      </c>
      <c r="B8059">
        <v>0.30592734225559998</v>
      </c>
      <c r="C8059" s="1">
        <v>44895</v>
      </c>
    </row>
    <row r="8060" spans="1:3">
      <c r="A8060" t="s">
        <v>39</v>
      </c>
      <c r="B8060">
        <v>1.6473010736839999</v>
      </c>
      <c r="C8060" s="1">
        <v>44895</v>
      </c>
    </row>
    <row r="8061" spans="1:3">
      <c r="A8061" t="s">
        <v>42</v>
      </c>
      <c r="B8061">
        <v>2.7709957346612999</v>
      </c>
      <c r="C8061" s="1">
        <v>44895</v>
      </c>
    </row>
    <row r="8062" spans="1:3">
      <c r="A8062" t="s">
        <v>44</v>
      </c>
      <c r="B8062">
        <v>13.289013090133601</v>
      </c>
      <c r="C8062" s="1">
        <v>44895</v>
      </c>
    </row>
    <row r="8063" spans="1:3">
      <c r="A8063" t="s">
        <v>47</v>
      </c>
      <c r="B8063">
        <v>6.0385350786759204</v>
      </c>
      <c r="C8063" s="1">
        <v>44895</v>
      </c>
    </row>
    <row r="8064" spans="1:3">
      <c r="A8064" t="s">
        <v>49</v>
      </c>
      <c r="B8064">
        <v>7.83468157080351</v>
      </c>
      <c r="C8064" s="1">
        <v>44895</v>
      </c>
    </row>
    <row r="8065" spans="1:3">
      <c r="A8065" t="s">
        <v>51</v>
      </c>
      <c r="B8065">
        <v>0.81247242241342998</v>
      </c>
      <c r="C8065" s="1">
        <v>44895</v>
      </c>
    </row>
    <row r="8066" spans="1:3">
      <c r="A8066" t="s">
        <v>53</v>
      </c>
      <c r="B8066">
        <v>0.59302838652624001</v>
      </c>
      <c r="C8066" s="1">
        <v>44895</v>
      </c>
    </row>
    <row r="8067" spans="1:3">
      <c r="A8067" t="s">
        <v>55</v>
      </c>
      <c r="B8067">
        <v>2.0550080894207898</v>
      </c>
      <c r="C8067" s="1">
        <v>44895</v>
      </c>
    </row>
    <row r="8068" spans="1:3">
      <c r="A8068" t="s">
        <v>57</v>
      </c>
      <c r="B8068">
        <v>2.0397117223080099</v>
      </c>
      <c r="C8068" s="1">
        <v>44895</v>
      </c>
    </row>
    <row r="8069" spans="1:3">
      <c r="A8069" t="s">
        <v>59</v>
      </c>
      <c r="B8069">
        <v>3.1363435799319301</v>
      </c>
      <c r="C8069" s="1">
        <v>44895</v>
      </c>
    </row>
    <row r="8070" spans="1:3">
      <c r="A8070" t="s">
        <v>61</v>
      </c>
      <c r="B8070">
        <v>119.09398440923199</v>
      </c>
      <c r="C8070" s="1">
        <v>44895</v>
      </c>
    </row>
    <row r="8071" spans="1:3">
      <c r="A8071" t="s">
        <v>63</v>
      </c>
      <c r="B8071">
        <v>9.8426239152618997</v>
      </c>
      <c r="C8071" s="1">
        <v>44895</v>
      </c>
    </row>
    <row r="8072" spans="1:3">
      <c r="A8072" t="s">
        <v>65</v>
      </c>
      <c r="B8072">
        <v>0.23709369024808999</v>
      </c>
      <c r="C8072" s="1">
        <v>44895</v>
      </c>
    </row>
    <row r="8073" spans="1:3">
      <c r="A8073" t="s">
        <v>67</v>
      </c>
      <c r="B8073">
        <v>7.50580967787874</v>
      </c>
      <c r="C8073" s="1">
        <v>44895</v>
      </c>
    </row>
    <row r="8074" spans="1:3">
      <c r="A8074" t="s">
        <v>69</v>
      </c>
      <c r="B8074">
        <v>3.3587292248792702</v>
      </c>
      <c r="C8074" s="1">
        <v>44895</v>
      </c>
    </row>
    <row r="8075" spans="1:3">
      <c r="A8075" t="s">
        <v>71</v>
      </c>
      <c r="B8075">
        <v>1.09722017943595</v>
      </c>
      <c r="C8075" s="1">
        <v>44895</v>
      </c>
    </row>
    <row r="8076" spans="1:3">
      <c r="A8076" t="s">
        <v>73</v>
      </c>
      <c r="B8076">
        <v>0.86483306368409996</v>
      </c>
      <c r="C8076" s="1">
        <v>44895</v>
      </c>
    </row>
    <row r="8077" spans="1:3">
      <c r="A8077" t="s">
        <v>75</v>
      </c>
      <c r="B8077">
        <v>0.1353140167669</v>
      </c>
      <c r="C8077" s="1">
        <v>44895</v>
      </c>
    </row>
    <row r="8078" spans="1:3">
      <c r="A8078" t="s">
        <v>77</v>
      </c>
      <c r="B8078">
        <v>0.83541697308259999</v>
      </c>
      <c r="C8078" s="1">
        <v>44895</v>
      </c>
    </row>
    <row r="8079" spans="1:3">
      <c r="A8079" t="s">
        <v>79</v>
      </c>
      <c r="B8079">
        <v>3.5887630533829999</v>
      </c>
      <c r="C8079" s="1">
        <v>44895</v>
      </c>
    </row>
    <row r="8080" spans="1:3">
      <c r="A8080" t="s">
        <v>81</v>
      </c>
      <c r="B8080">
        <v>5.5772907780444001</v>
      </c>
      <c r="C8080" s="1">
        <v>44895</v>
      </c>
    </row>
    <row r="8081" spans="1:3">
      <c r="A8081" t="s">
        <v>83</v>
      </c>
      <c r="B8081">
        <v>0.26297984997740997</v>
      </c>
      <c r="C8081" s="1">
        <v>44895</v>
      </c>
    </row>
    <row r="8082" spans="1:3">
      <c r="A8082" t="s">
        <v>85</v>
      </c>
      <c r="B8082">
        <v>2.01970878069899</v>
      </c>
      <c r="C8082" s="1">
        <v>44895</v>
      </c>
    </row>
    <row r="8083" spans="1:3">
      <c r="A8083" t="s">
        <v>87</v>
      </c>
      <c r="B8083">
        <v>8.3465215472696102</v>
      </c>
      <c r="C8083" s="1">
        <v>44895</v>
      </c>
    </row>
    <row r="8084" spans="1:3">
      <c r="A8084" t="s">
        <v>89</v>
      </c>
      <c r="B8084">
        <v>10.003235769946</v>
      </c>
      <c r="C8084" s="1">
        <v>44895</v>
      </c>
    </row>
    <row r="8085" spans="1:3">
      <c r="A8085" t="s">
        <v>91</v>
      </c>
      <c r="B8085">
        <v>15.2881306074115</v>
      </c>
      <c r="C8085" s="1">
        <v>44895</v>
      </c>
    </row>
    <row r="8086" spans="1:3">
      <c r="A8086" t="s">
        <v>93</v>
      </c>
      <c r="B8086">
        <v>11.472275334584999</v>
      </c>
      <c r="C8086" s="1">
        <v>44895</v>
      </c>
    </row>
    <row r="8087" spans="1:3">
      <c r="A8087" t="s">
        <v>95</v>
      </c>
      <c r="B8087">
        <v>0.65774378584953996</v>
      </c>
      <c r="C8087" s="1">
        <v>44895</v>
      </c>
    </row>
    <row r="8088" spans="1:3">
      <c r="A8088" t="s">
        <v>97</v>
      </c>
      <c r="B8088">
        <v>4.1541403147438301</v>
      </c>
      <c r="C8088" s="1">
        <v>44895</v>
      </c>
    </row>
    <row r="8089" spans="1:3">
      <c r="A8089" t="s">
        <v>99</v>
      </c>
      <c r="B8089">
        <v>3.52993087218</v>
      </c>
      <c r="C8089" s="1">
        <v>44895</v>
      </c>
    </row>
    <row r="8090" spans="1:3">
      <c r="A8090" t="s">
        <v>101</v>
      </c>
      <c r="B8090">
        <v>8.2365053684199996</v>
      </c>
      <c r="C8090" s="1">
        <v>44895</v>
      </c>
    </row>
    <row r="8091" spans="1:3">
      <c r="A8091" t="s">
        <v>105</v>
      </c>
      <c r="B8091">
        <v>0.15472863656388999</v>
      </c>
      <c r="C8091" s="1">
        <v>44895</v>
      </c>
    </row>
    <row r="8092" spans="1:3">
      <c r="A8092" t="s">
        <v>107</v>
      </c>
      <c r="B8092">
        <v>2.1085453743155198</v>
      </c>
      <c r="C8092" s="1">
        <v>44895</v>
      </c>
    </row>
    <row r="8093" spans="1:3">
      <c r="A8093" t="s">
        <v>109</v>
      </c>
      <c r="B8093">
        <v>3.6234740402927699</v>
      </c>
      <c r="C8093" s="1">
        <v>44895</v>
      </c>
    </row>
    <row r="8094" spans="1:3">
      <c r="A8094" t="s">
        <v>111</v>
      </c>
      <c r="B8094">
        <v>5.4125606706760001</v>
      </c>
      <c r="C8094" s="1">
        <v>44895</v>
      </c>
    </row>
    <row r="8095" spans="1:3">
      <c r="A8095" t="s">
        <v>113</v>
      </c>
      <c r="B8095">
        <v>6.2903368142247604</v>
      </c>
      <c r="C8095" s="1">
        <v>44895</v>
      </c>
    </row>
    <row r="8096" spans="1:3">
      <c r="A8096" t="s">
        <v>115</v>
      </c>
      <c r="B8096">
        <v>3.89351375201454</v>
      </c>
      <c r="C8096" s="1">
        <v>44895</v>
      </c>
    </row>
    <row r="8097" spans="1:3">
      <c r="A8097" t="s">
        <v>117</v>
      </c>
      <c r="B8097">
        <v>3.66112663626269</v>
      </c>
      <c r="C8097" s="1">
        <v>44895</v>
      </c>
    </row>
    <row r="8098" spans="1:3">
      <c r="A8098" t="s">
        <v>119</v>
      </c>
      <c r="B8098">
        <v>28.4535961170189</v>
      </c>
      <c r="C8098" s="1">
        <v>44895</v>
      </c>
    </row>
    <row r="8099" spans="1:3">
      <c r="A8099" t="s">
        <v>121</v>
      </c>
      <c r="B8099">
        <v>8.4836005294726</v>
      </c>
      <c r="C8099" s="1">
        <v>44895</v>
      </c>
    </row>
    <row r="8100" spans="1:3">
      <c r="A8100" t="s">
        <v>123</v>
      </c>
      <c r="B8100">
        <v>3.3040152963604799</v>
      </c>
      <c r="C8100" s="1">
        <v>44895</v>
      </c>
    </row>
    <row r="8101" spans="1:3">
      <c r="A8101" t="s">
        <v>125</v>
      </c>
      <c r="B8101">
        <v>155.086924547416</v>
      </c>
      <c r="C8101" s="1">
        <v>44895</v>
      </c>
    </row>
    <row r="8102" spans="1:3">
      <c r="A8102" t="s">
        <v>127</v>
      </c>
      <c r="B8102">
        <v>8.2847477570064605</v>
      </c>
      <c r="C8102" s="1">
        <v>44895</v>
      </c>
    </row>
    <row r="8103" spans="1:3">
      <c r="A8103" t="s">
        <v>129</v>
      </c>
      <c r="B8103">
        <v>3.93940285335287</v>
      </c>
      <c r="C8103" s="1">
        <v>44895</v>
      </c>
    </row>
    <row r="8104" spans="1:3">
      <c r="A8104" t="s">
        <v>131</v>
      </c>
      <c r="B8104">
        <v>1.7955581703155601</v>
      </c>
      <c r="C8104" s="1">
        <v>44895</v>
      </c>
    </row>
    <row r="8105" spans="1:3">
      <c r="A8105" t="s">
        <v>134</v>
      </c>
      <c r="B8105">
        <v>1.55964112369153</v>
      </c>
      <c r="C8105" s="1">
        <v>44895</v>
      </c>
    </row>
    <row r="8106" spans="1:3">
      <c r="A8106" t="s">
        <v>136</v>
      </c>
      <c r="B8106">
        <v>14.8327695249003</v>
      </c>
      <c r="C8106" s="1">
        <v>44895</v>
      </c>
    </row>
    <row r="8107" spans="1:3">
      <c r="A8107" t="s">
        <v>138</v>
      </c>
      <c r="B8107">
        <v>13.662009118960601</v>
      </c>
      <c r="C8107" s="1">
        <v>44895</v>
      </c>
    </row>
    <row r="8108" spans="1:3">
      <c r="A8108" t="s">
        <v>140</v>
      </c>
      <c r="B8108">
        <v>17.353140167636798</v>
      </c>
      <c r="C8108" s="1">
        <v>44895</v>
      </c>
    </row>
    <row r="8109" spans="1:3">
      <c r="A8109" t="s">
        <v>142</v>
      </c>
      <c r="B8109">
        <v>6.1003088689390701</v>
      </c>
      <c r="C8109" s="1">
        <v>44895</v>
      </c>
    </row>
    <row r="8110" spans="1:3">
      <c r="A8110" t="s">
        <v>144</v>
      </c>
      <c r="B8110">
        <v>2.8321812031124201</v>
      </c>
      <c r="C8110" s="1">
        <v>44895</v>
      </c>
    </row>
    <row r="8111" spans="1:3">
      <c r="A8111" t="s">
        <v>146</v>
      </c>
      <c r="B8111">
        <v>2.88571848800715</v>
      </c>
      <c r="C8111" s="1">
        <v>44895</v>
      </c>
    </row>
    <row r="8112" spans="1:3">
      <c r="A8112" t="s">
        <v>148</v>
      </c>
      <c r="B8112">
        <v>10.58979261654</v>
      </c>
      <c r="C8112" s="1">
        <v>44895</v>
      </c>
    </row>
    <row r="8113" spans="1:3">
      <c r="A8113" t="s">
        <v>150</v>
      </c>
      <c r="B8113">
        <v>4.3212237093603498</v>
      </c>
      <c r="C8113" s="1">
        <v>44895</v>
      </c>
    </row>
    <row r="8114" spans="1:3">
      <c r="A8114" t="s">
        <v>152</v>
      </c>
      <c r="B8114">
        <v>18.129724959516398</v>
      </c>
      <c r="C8114" s="1">
        <v>44895</v>
      </c>
    </row>
    <row r="8115" spans="1:3">
      <c r="A8115" t="s">
        <v>154</v>
      </c>
      <c r="B8115">
        <v>11.4128548315699</v>
      </c>
      <c r="C8115" s="1">
        <v>44895</v>
      </c>
    </row>
    <row r="8116" spans="1:3">
      <c r="A8116" t="s">
        <v>156</v>
      </c>
      <c r="B8116">
        <v>17.6014119723135</v>
      </c>
      <c r="C8116" s="1">
        <v>44895</v>
      </c>
    </row>
    <row r="8117" spans="1:3">
      <c r="A8117" t="s">
        <v>158</v>
      </c>
      <c r="B8117">
        <v>101.045447859776</v>
      </c>
      <c r="C8117" s="1">
        <v>44895</v>
      </c>
    </row>
    <row r="8118" spans="1:3">
      <c r="A8118" t="s">
        <v>160</v>
      </c>
      <c r="B8118">
        <v>13.4390351522012</v>
      </c>
      <c r="C8118" s="1">
        <v>44895</v>
      </c>
    </row>
    <row r="8119" spans="1:3">
      <c r="A8119" t="s">
        <v>162</v>
      </c>
      <c r="B8119">
        <v>12.334166789208901</v>
      </c>
      <c r="C8119" s="1">
        <v>44895</v>
      </c>
    </row>
    <row r="8120" spans="1:3">
      <c r="A8120" t="s">
        <v>164</v>
      </c>
      <c r="B8120">
        <v>11.085747904081201</v>
      </c>
      <c r="C8120" s="1">
        <v>44895</v>
      </c>
    </row>
    <row r="8121" spans="1:3">
      <c r="A8121" t="s">
        <v>166</v>
      </c>
      <c r="B8121">
        <v>6.1450213266533504</v>
      </c>
      <c r="C8121" s="1">
        <v>44895</v>
      </c>
    </row>
    <row r="8122" spans="1:3">
      <c r="A8122" t="s">
        <v>168</v>
      </c>
      <c r="B8122">
        <v>17.061332548869999</v>
      </c>
      <c r="C8122" s="1">
        <v>44895</v>
      </c>
    </row>
    <row r="8123" spans="1:3">
      <c r="A8123" t="s">
        <v>4</v>
      </c>
      <c r="B8123">
        <v>0.19688510138090001</v>
      </c>
      <c r="C8123" s="1">
        <v>44926</v>
      </c>
    </row>
    <row r="8124" spans="1:3">
      <c r="A8124" t="s">
        <v>8</v>
      </c>
      <c r="B8124">
        <v>17.102556567714</v>
      </c>
      <c r="C8124" s="1">
        <v>44926</v>
      </c>
    </row>
    <row r="8125" spans="1:3">
      <c r="A8125" t="s">
        <v>11</v>
      </c>
      <c r="B8125">
        <v>39.617984131601403</v>
      </c>
      <c r="C8125" s="1">
        <v>44926</v>
      </c>
    </row>
    <row r="8126" spans="1:3">
      <c r="A8126" t="s">
        <v>14</v>
      </c>
      <c r="B8126">
        <v>6.32794593005418</v>
      </c>
      <c r="C8126" s="1">
        <v>44926</v>
      </c>
    </row>
    <row r="8127" spans="1:3">
      <c r="A8127" t="s">
        <v>17</v>
      </c>
      <c r="B8127">
        <v>13.1148986188501</v>
      </c>
      <c r="C8127" s="1">
        <v>44926</v>
      </c>
    </row>
    <row r="8128" spans="1:3">
      <c r="A8128" t="s">
        <v>20</v>
      </c>
      <c r="B8128">
        <v>0.44078754040500001</v>
      </c>
      <c r="C8128" s="1">
        <v>44926</v>
      </c>
    </row>
    <row r="8129" spans="1:3">
      <c r="A8129" t="s">
        <v>24</v>
      </c>
      <c r="B8129">
        <v>0.52894504848599999</v>
      </c>
      <c r="C8129" s="1">
        <v>44926</v>
      </c>
    </row>
    <row r="8130" spans="1:3">
      <c r="A8130" t="s">
        <v>27</v>
      </c>
      <c r="B8130">
        <v>38.985600940300301</v>
      </c>
      <c r="C8130" s="1">
        <v>44926</v>
      </c>
    </row>
    <row r="8131" spans="1:3">
      <c r="A8131" t="s">
        <v>29</v>
      </c>
      <c r="B8131">
        <v>0.99206582427152001</v>
      </c>
      <c r="C8131" s="1">
        <v>44926</v>
      </c>
    </row>
    <row r="8132" spans="1:3">
      <c r="A8132" t="s">
        <v>32</v>
      </c>
      <c r="B8132">
        <v>7.2112841610257998</v>
      </c>
      <c r="C8132" s="1">
        <v>44926</v>
      </c>
    </row>
    <row r="8133" spans="1:3">
      <c r="A8133" t="s">
        <v>35</v>
      </c>
      <c r="B8133">
        <v>2.9679694387270001</v>
      </c>
      <c r="C8133" s="1">
        <v>44926</v>
      </c>
    </row>
    <row r="8134" spans="1:3">
      <c r="A8134" t="s">
        <v>37</v>
      </c>
      <c r="B8134">
        <v>0.28680575962352001</v>
      </c>
      <c r="C8134" s="1">
        <v>44926</v>
      </c>
    </row>
    <row r="8135" spans="1:3">
      <c r="A8135" t="s">
        <v>39</v>
      </c>
      <c r="B8135">
        <v>1.6250367322931001</v>
      </c>
      <c r="C8135" s="1">
        <v>44926</v>
      </c>
    </row>
    <row r="8136" spans="1:3">
      <c r="A8136" t="s">
        <v>42</v>
      </c>
      <c r="B8136">
        <v>2.9679694387270001</v>
      </c>
      <c r="C8136" s="1">
        <v>44926</v>
      </c>
    </row>
    <row r="8137" spans="1:3">
      <c r="A8137" t="s">
        <v>44</v>
      </c>
      <c r="B8137">
        <v>12.771672054054701</v>
      </c>
      <c r="C8137" s="1">
        <v>44926</v>
      </c>
    </row>
    <row r="8138" spans="1:3">
      <c r="A8138" t="s">
        <v>47</v>
      </c>
      <c r="B8138">
        <v>6.37496326769738</v>
      </c>
      <c r="C8138" s="1">
        <v>44926</v>
      </c>
    </row>
    <row r="8139" spans="1:3">
      <c r="A8139" t="s">
        <v>49</v>
      </c>
      <c r="B8139">
        <v>6.6705847781290002</v>
      </c>
      <c r="C8139" s="1">
        <v>44926</v>
      </c>
    </row>
    <row r="8140" spans="1:3">
      <c r="A8140" t="s">
        <v>51</v>
      </c>
      <c r="B8140">
        <v>0.77990008815657996</v>
      </c>
      <c r="C8140" s="1">
        <v>44926</v>
      </c>
    </row>
    <row r="8141" spans="1:3">
      <c r="A8141" t="s">
        <v>53</v>
      </c>
      <c r="B8141">
        <v>0.60476050543565996</v>
      </c>
      <c r="C8141" s="1">
        <v>44926</v>
      </c>
    </row>
    <row r="8142" spans="1:3">
      <c r="A8142" t="s">
        <v>55</v>
      </c>
      <c r="B8142">
        <v>1.8054657654988799</v>
      </c>
      <c r="C8142" s="1">
        <v>44926</v>
      </c>
    </row>
    <row r="8143" spans="1:3">
      <c r="A8143" t="s">
        <v>57</v>
      </c>
      <c r="B8143">
        <v>1.7643255950610801</v>
      </c>
      <c r="C8143" s="1">
        <v>44926</v>
      </c>
    </row>
    <row r="8144" spans="1:3">
      <c r="A8144" t="s">
        <v>59</v>
      </c>
      <c r="B8144">
        <v>3.1589773729025001</v>
      </c>
      <c r="C8144" s="1">
        <v>44926</v>
      </c>
    </row>
    <row r="8145" spans="1:3">
      <c r="A8145" t="s">
        <v>61</v>
      </c>
      <c r="B8145">
        <v>109.23126652940201</v>
      </c>
      <c r="C8145" s="1">
        <v>44926</v>
      </c>
    </row>
    <row r="8146" spans="1:3">
      <c r="A8146" t="s">
        <v>63</v>
      </c>
      <c r="B8146">
        <v>9.5650896267885006</v>
      </c>
      <c r="C8146" s="1">
        <v>44926</v>
      </c>
    </row>
    <row r="8147" spans="1:3">
      <c r="A8147" t="s">
        <v>65</v>
      </c>
      <c r="B8147">
        <v>0.24860417278842001</v>
      </c>
      <c r="C8147" s="1">
        <v>44926</v>
      </c>
    </row>
    <row r="8148" spans="1:3">
      <c r="A8148" t="s">
        <v>67</v>
      </c>
      <c r="B8148">
        <v>7.2494857478609003</v>
      </c>
      <c r="C8148" s="1">
        <v>44926</v>
      </c>
    </row>
    <row r="8149" spans="1:3">
      <c r="A8149" t="s">
        <v>69</v>
      </c>
      <c r="B8149">
        <v>3.2324419629699999</v>
      </c>
      <c r="C8149" s="1">
        <v>44926</v>
      </c>
    </row>
    <row r="8150" spans="1:3">
      <c r="A8150" t="s">
        <v>71</v>
      </c>
      <c r="B8150">
        <v>1.0684689979417199</v>
      </c>
      <c r="C8150" s="1">
        <v>44926</v>
      </c>
    </row>
    <row r="8151" spans="1:3">
      <c r="A8151" t="s">
        <v>73</v>
      </c>
      <c r="B8151">
        <v>0.85218924478299996</v>
      </c>
      <c r="C8151" s="1">
        <v>44926</v>
      </c>
    </row>
    <row r="8152" spans="1:3">
      <c r="A8152" t="s">
        <v>75</v>
      </c>
      <c r="B8152">
        <v>0.14105201292960001</v>
      </c>
      <c r="C8152" s="1">
        <v>44926</v>
      </c>
    </row>
    <row r="8153" spans="1:3">
      <c r="A8153" t="s">
        <v>77</v>
      </c>
      <c r="B8153">
        <v>0.85454011166515997</v>
      </c>
      <c r="C8153" s="1">
        <v>44926</v>
      </c>
    </row>
    <row r="8154" spans="1:3">
      <c r="A8154" t="s">
        <v>79</v>
      </c>
      <c r="B8154">
        <v>3.7267117249441402</v>
      </c>
      <c r="C8154" s="1">
        <v>44926</v>
      </c>
    </row>
    <row r="8155" spans="1:3">
      <c r="A8155" t="s">
        <v>81</v>
      </c>
      <c r="B8155">
        <v>5.2095210108665597</v>
      </c>
      <c r="C8155" s="1">
        <v>44926</v>
      </c>
    </row>
    <row r="8156" spans="1:3">
      <c r="A8156" t="s">
        <v>83</v>
      </c>
      <c r="B8156">
        <v>0.26094622391976002</v>
      </c>
      <c r="C8156" s="1">
        <v>44926</v>
      </c>
    </row>
    <row r="8157" spans="1:3">
      <c r="A8157" t="s">
        <v>85</v>
      </c>
      <c r="B8157">
        <v>1.9770790478965601</v>
      </c>
      <c r="C8157" s="1">
        <v>44926</v>
      </c>
    </row>
    <row r="8158" spans="1:3">
      <c r="A8158" t="s">
        <v>87</v>
      </c>
      <c r="B8158">
        <v>8.01234205112182</v>
      </c>
      <c r="C8158" s="1">
        <v>44926</v>
      </c>
    </row>
    <row r="8159" spans="1:3">
      <c r="A8159" t="s">
        <v>89</v>
      </c>
      <c r="B8159">
        <v>9.1977666764509998</v>
      </c>
      <c r="C8159" s="1">
        <v>44926</v>
      </c>
    </row>
    <row r="8160" spans="1:3">
      <c r="A8160" t="s">
        <v>91</v>
      </c>
      <c r="B8160">
        <v>15.0719952982483</v>
      </c>
      <c r="C8160" s="1">
        <v>44926</v>
      </c>
    </row>
    <row r="8161" spans="1:3">
      <c r="A8161" t="s">
        <v>93</v>
      </c>
      <c r="B8161">
        <v>11.107846018206001</v>
      </c>
      <c r="C8161" s="1">
        <v>44926</v>
      </c>
    </row>
    <row r="8162" spans="1:3">
      <c r="A8162" t="s">
        <v>95</v>
      </c>
      <c r="B8162">
        <v>0.58771672054000001</v>
      </c>
      <c r="C8162" s="1">
        <v>44926</v>
      </c>
    </row>
    <row r="8163" spans="1:3">
      <c r="A8163" t="s">
        <v>97</v>
      </c>
      <c r="B8163">
        <v>3.67675580369824</v>
      </c>
      <c r="C8163" s="1">
        <v>44926</v>
      </c>
    </row>
    <row r="8164" spans="1:3">
      <c r="A8164" t="s">
        <v>99</v>
      </c>
      <c r="B8164">
        <v>3.7196591242976602</v>
      </c>
      <c r="C8164" s="1">
        <v>44926</v>
      </c>
    </row>
    <row r="8165" spans="1:3">
      <c r="A8165" t="s">
        <v>101</v>
      </c>
      <c r="B8165">
        <v>8.2873934763345396</v>
      </c>
      <c r="C8165" s="1">
        <v>44926</v>
      </c>
    </row>
    <row r="8166" spans="1:3">
      <c r="A8166" t="s">
        <v>105</v>
      </c>
      <c r="B8166">
        <v>0.12812224507771999</v>
      </c>
      <c r="C8166" s="1">
        <v>44926</v>
      </c>
    </row>
    <row r="8167" spans="1:3">
      <c r="A8167" t="s">
        <v>107</v>
      </c>
      <c r="B8167">
        <v>2.0329121363478602</v>
      </c>
      <c r="C8167" s="1">
        <v>44926</v>
      </c>
    </row>
    <row r="8168" spans="1:3">
      <c r="A8168" t="s">
        <v>109</v>
      </c>
      <c r="B8168">
        <v>3.4557743167752002</v>
      </c>
      <c r="C8168" s="1">
        <v>44926</v>
      </c>
    </row>
    <row r="8169" spans="1:3">
      <c r="A8169" t="s">
        <v>111</v>
      </c>
      <c r="B8169">
        <v>5.1483984719303999</v>
      </c>
      <c r="C8169" s="1">
        <v>44926</v>
      </c>
    </row>
    <row r="8170" spans="1:3">
      <c r="A8170" t="s">
        <v>113</v>
      </c>
      <c r="B8170">
        <v>5.9359388774540003</v>
      </c>
      <c r="C8170" s="1">
        <v>44926</v>
      </c>
    </row>
    <row r="8171" spans="1:3">
      <c r="A8171" t="s">
        <v>115</v>
      </c>
      <c r="B8171">
        <v>3.90420217454722</v>
      </c>
      <c r="C8171" s="1">
        <v>44926</v>
      </c>
    </row>
    <row r="8172" spans="1:3">
      <c r="A8172" t="s">
        <v>117</v>
      </c>
      <c r="B8172">
        <v>3.3376432559466598</v>
      </c>
      <c r="C8172" s="1">
        <v>44926</v>
      </c>
    </row>
    <row r="8173" spans="1:3">
      <c r="A8173" t="s">
        <v>119</v>
      </c>
      <c r="B8173">
        <v>28.9332941521842</v>
      </c>
      <c r="C8173" s="1">
        <v>44926</v>
      </c>
    </row>
    <row r="8174" spans="1:3">
      <c r="A8174" t="s">
        <v>121</v>
      </c>
      <c r="B8174">
        <v>7.8183955333436197</v>
      </c>
      <c r="C8174" s="1">
        <v>44926</v>
      </c>
    </row>
    <row r="8175" spans="1:3">
      <c r="A8175" t="s">
        <v>123</v>
      </c>
      <c r="B8175">
        <v>2.8633558624708799</v>
      </c>
      <c r="C8175" s="1">
        <v>44926</v>
      </c>
    </row>
    <row r="8176" spans="1:3">
      <c r="A8176" t="s">
        <v>125</v>
      </c>
      <c r="B8176">
        <v>165.99118424899399</v>
      </c>
      <c r="C8176" s="1">
        <v>44926</v>
      </c>
    </row>
    <row r="8177" spans="1:3">
      <c r="A8177" t="s">
        <v>127</v>
      </c>
      <c r="B8177">
        <v>7.4816338524742001</v>
      </c>
      <c r="C8177" s="1">
        <v>44926</v>
      </c>
    </row>
    <row r="8178" spans="1:3">
      <c r="A8178" t="s">
        <v>129</v>
      </c>
      <c r="B8178">
        <v>3.6508962679944799</v>
      </c>
      <c r="C8178" s="1">
        <v>44926</v>
      </c>
    </row>
    <row r="8179" spans="1:3">
      <c r="A8179" t="s">
        <v>131</v>
      </c>
      <c r="B8179">
        <v>1.821921833674</v>
      </c>
      <c r="C8179" s="1">
        <v>44926</v>
      </c>
    </row>
    <row r="8180" spans="1:3">
      <c r="A8180" t="s">
        <v>134</v>
      </c>
      <c r="B8180">
        <v>1.55627387598992</v>
      </c>
      <c r="C8180" s="1">
        <v>44926</v>
      </c>
    </row>
    <row r="8181" spans="1:3">
      <c r="A8181" t="s">
        <v>136</v>
      </c>
      <c r="B8181">
        <v>13.282397884204</v>
      </c>
      <c r="C8181" s="1">
        <v>44926</v>
      </c>
    </row>
    <row r="8182" spans="1:3">
      <c r="A8182" t="s">
        <v>138</v>
      </c>
      <c r="B8182">
        <v>12.600058771657</v>
      </c>
      <c r="C8182" s="1">
        <v>44926</v>
      </c>
    </row>
    <row r="8183" spans="1:3">
      <c r="A8183" t="s">
        <v>140</v>
      </c>
      <c r="B8183">
        <v>15.873053188344301</v>
      </c>
      <c r="C8183" s="1">
        <v>44926</v>
      </c>
    </row>
    <row r="8184" spans="1:3">
      <c r="A8184" t="s">
        <v>142</v>
      </c>
      <c r="B8184">
        <v>6.3179547458050003</v>
      </c>
      <c r="C8184" s="1">
        <v>44926</v>
      </c>
    </row>
    <row r="8185" spans="1:3">
      <c r="A8185" t="s">
        <v>144</v>
      </c>
      <c r="B8185">
        <v>3.0625918307339401</v>
      </c>
      <c r="C8185" s="1">
        <v>44926</v>
      </c>
    </row>
    <row r="8186" spans="1:3">
      <c r="A8186" t="s">
        <v>146</v>
      </c>
      <c r="B8186">
        <v>2.8939171319389598</v>
      </c>
      <c r="C8186" s="1">
        <v>44926</v>
      </c>
    </row>
    <row r="8187" spans="1:3">
      <c r="A8187" t="s">
        <v>148</v>
      </c>
      <c r="B8187">
        <v>9.8612988539406601</v>
      </c>
      <c r="C8187" s="1">
        <v>44926</v>
      </c>
    </row>
    <row r="8188" spans="1:3">
      <c r="A8188" t="s">
        <v>150</v>
      </c>
      <c r="B8188">
        <v>4.4202174551813398</v>
      </c>
      <c r="C8188" s="1">
        <v>44926</v>
      </c>
    </row>
    <row r="8189" spans="1:3">
      <c r="A8189" t="s">
        <v>152</v>
      </c>
      <c r="B8189">
        <v>19.349397590338398</v>
      </c>
      <c r="C8189" s="1">
        <v>44926</v>
      </c>
    </row>
    <row r="8190" spans="1:3">
      <c r="A8190" t="s">
        <v>154</v>
      </c>
      <c r="B8190">
        <v>12.343226564781</v>
      </c>
      <c r="C8190" s="1">
        <v>44926</v>
      </c>
    </row>
    <row r="8191" spans="1:3">
      <c r="A8191" t="s">
        <v>156</v>
      </c>
      <c r="B8191">
        <v>15.8348516015092</v>
      </c>
      <c r="C8191" s="1">
        <v>44926</v>
      </c>
    </row>
    <row r="8192" spans="1:3">
      <c r="A8192" t="s">
        <v>158</v>
      </c>
      <c r="B8192">
        <v>83.742580076303497</v>
      </c>
      <c r="C8192" s="1">
        <v>44926</v>
      </c>
    </row>
    <row r="8193" spans="1:3">
      <c r="A8193" t="s">
        <v>160</v>
      </c>
      <c r="B8193">
        <v>12.4936820452393</v>
      </c>
      <c r="C8193" s="1">
        <v>44926</v>
      </c>
    </row>
    <row r="8194" spans="1:3">
      <c r="A8194" t="s">
        <v>162</v>
      </c>
      <c r="B8194">
        <v>12.5265941815895</v>
      </c>
      <c r="C8194" s="1">
        <v>44926</v>
      </c>
    </row>
    <row r="8195" spans="1:3">
      <c r="A8195" t="s">
        <v>164</v>
      </c>
      <c r="B8195">
        <v>10.352630032312099</v>
      </c>
      <c r="C8195" s="1">
        <v>44926</v>
      </c>
    </row>
    <row r="8196" spans="1:3">
      <c r="A8196" t="s">
        <v>166</v>
      </c>
      <c r="B8196">
        <v>4.9808992065764999</v>
      </c>
      <c r="C8196" s="1">
        <v>44926</v>
      </c>
    </row>
    <row r="8197" spans="1:3">
      <c r="A8197" t="s">
        <v>168</v>
      </c>
      <c r="B8197">
        <v>16.926241551552</v>
      </c>
      <c r="C8197" s="1">
        <v>44926</v>
      </c>
    </row>
    <row r="8198" spans="1:3">
      <c r="A8198" t="s">
        <v>4</v>
      </c>
      <c r="B8198">
        <v>0.20255343566275</v>
      </c>
      <c r="C8198" s="1">
        <v>44957</v>
      </c>
    </row>
    <row r="8199" spans="1:3">
      <c r="A8199" t="s">
        <v>8</v>
      </c>
      <c r="B8199">
        <v>18.648687419375001</v>
      </c>
      <c r="C8199" s="1">
        <v>44957</v>
      </c>
    </row>
    <row r="8200" spans="1:3">
      <c r="A8200" t="s">
        <v>11</v>
      </c>
      <c r="B8200">
        <v>38.133409840904697</v>
      </c>
      <c r="C8200" s="1">
        <v>44957</v>
      </c>
    </row>
    <row r="8201" spans="1:3">
      <c r="A8201" t="s">
        <v>14</v>
      </c>
      <c r="B8201">
        <v>6.4082628030639999</v>
      </c>
      <c r="C8201" s="1">
        <v>44957</v>
      </c>
    </row>
    <row r="8202" spans="1:3">
      <c r="A8202" t="s">
        <v>17</v>
      </c>
      <c r="B8202">
        <v>15.1450294075995</v>
      </c>
      <c r="C8202" s="1">
        <v>44957</v>
      </c>
    </row>
    <row r="8203" spans="1:3">
      <c r="A8203" t="s">
        <v>20</v>
      </c>
      <c r="B8203">
        <v>0.41887820972750001</v>
      </c>
      <c r="C8203" s="1">
        <v>44957</v>
      </c>
    </row>
    <row r="8204" spans="1:3">
      <c r="A8204" t="s">
        <v>24</v>
      </c>
      <c r="B8204">
        <v>0.52388466504275</v>
      </c>
      <c r="C8204" s="1">
        <v>44957</v>
      </c>
    </row>
    <row r="8205" spans="1:3">
      <c r="A8205" t="s">
        <v>27</v>
      </c>
      <c r="B8205">
        <v>42.028403385603703</v>
      </c>
      <c r="C8205" s="1">
        <v>44957</v>
      </c>
    </row>
    <row r="8206" spans="1:3">
      <c r="A8206" t="s">
        <v>29</v>
      </c>
      <c r="B8206">
        <v>0.97546980347500001</v>
      </c>
      <c r="C8206" s="1">
        <v>44957</v>
      </c>
    </row>
    <row r="8207" spans="1:3">
      <c r="A8207" t="s">
        <v>32</v>
      </c>
      <c r="B8207">
        <v>7.0004303543499997</v>
      </c>
      <c r="C8207" s="1">
        <v>44957</v>
      </c>
    </row>
    <row r="8208" spans="1:3">
      <c r="A8208" t="s">
        <v>35</v>
      </c>
      <c r="B8208">
        <v>2.9258356046582499</v>
      </c>
      <c r="C8208" s="1">
        <v>44957</v>
      </c>
    </row>
    <row r="8209" spans="1:3">
      <c r="A8209" t="s">
        <v>37</v>
      </c>
      <c r="B8209">
        <v>0.29837899871000001</v>
      </c>
      <c r="C8209" s="1">
        <v>44957</v>
      </c>
    </row>
    <row r="8210" spans="1:3">
      <c r="A8210" t="s">
        <v>39</v>
      </c>
      <c r="B8210">
        <v>1.3696743652322501</v>
      </c>
      <c r="C8210" s="1">
        <v>44957</v>
      </c>
    </row>
    <row r="8211" spans="1:3">
      <c r="A8211" t="s">
        <v>42</v>
      </c>
      <c r="B8211">
        <v>3.1553579113582502</v>
      </c>
      <c r="C8211" s="1">
        <v>44957</v>
      </c>
    </row>
    <row r="8212" spans="1:3">
      <c r="A8212" t="s">
        <v>44</v>
      </c>
      <c r="B8212">
        <v>12.495194376748</v>
      </c>
      <c r="C8212" s="1">
        <v>44957</v>
      </c>
    </row>
    <row r="8213" spans="1:3">
      <c r="A8213" t="s">
        <v>47</v>
      </c>
      <c r="B8213">
        <v>6.6418017501312496</v>
      </c>
      <c r="C8213" s="1">
        <v>44957</v>
      </c>
    </row>
    <row r="8214" spans="1:3">
      <c r="A8214" t="s">
        <v>49</v>
      </c>
      <c r="B8214">
        <v>7.8869602639787502</v>
      </c>
      <c r="C8214" s="1">
        <v>44957</v>
      </c>
    </row>
    <row r="8215" spans="1:3">
      <c r="A8215" t="s">
        <v>51</v>
      </c>
      <c r="B8215">
        <v>0.75570219480974998</v>
      </c>
      <c r="C8215" s="1">
        <v>44957</v>
      </c>
    </row>
    <row r="8216" spans="1:3">
      <c r="A8216" t="s">
        <v>53</v>
      </c>
      <c r="B8216">
        <v>0.5565915937475</v>
      </c>
      <c r="C8216" s="1">
        <v>44957</v>
      </c>
    </row>
    <row r="8217" spans="1:3">
      <c r="A8217" t="s">
        <v>55</v>
      </c>
      <c r="B8217">
        <v>2.0071725720915001</v>
      </c>
      <c r="C8217" s="1">
        <v>44957</v>
      </c>
    </row>
    <row r="8218" spans="1:3">
      <c r="A8218" t="s">
        <v>57</v>
      </c>
      <c r="B8218">
        <v>1.9951226509897499</v>
      </c>
      <c r="C8218" s="1">
        <v>44957</v>
      </c>
    </row>
    <row r="8219" spans="1:3">
      <c r="A8219" t="s">
        <v>59</v>
      </c>
      <c r="B8219">
        <v>3.0337110888072498</v>
      </c>
      <c r="C8219" s="1">
        <v>44957</v>
      </c>
    </row>
    <row r="8220" spans="1:3">
      <c r="A8220" t="s">
        <v>61</v>
      </c>
      <c r="B8220">
        <v>102.811648257431</v>
      </c>
      <c r="C8220" s="1">
        <v>44957</v>
      </c>
    </row>
    <row r="8221" spans="1:3">
      <c r="A8221" t="s">
        <v>63</v>
      </c>
      <c r="B8221">
        <v>9.2480275427097496</v>
      </c>
      <c r="C8221" s="1">
        <v>44957</v>
      </c>
    </row>
    <row r="8222" spans="1:3">
      <c r="A8222" t="s">
        <v>65</v>
      </c>
      <c r="B8222">
        <v>0.23009611246674999</v>
      </c>
      <c r="C8222" s="1">
        <v>44957</v>
      </c>
    </row>
    <row r="8223" spans="1:3">
      <c r="A8223" t="s">
        <v>67</v>
      </c>
      <c r="B8223">
        <v>7.91851958115</v>
      </c>
      <c r="C8223" s="1">
        <v>44957</v>
      </c>
    </row>
    <row r="8224" spans="1:3">
      <c r="A8224" t="s">
        <v>69</v>
      </c>
      <c r="B8224">
        <v>3.78424903171625</v>
      </c>
      <c r="C8224" s="1">
        <v>44957</v>
      </c>
    </row>
    <row r="8225" spans="1:3">
      <c r="A8225" t="s">
        <v>71</v>
      </c>
      <c r="B8225">
        <v>1.0615406684874999</v>
      </c>
      <c r="C8225" s="1">
        <v>44957</v>
      </c>
    </row>
    <row r="8226" spans="1:3">
      <c r="A8226" t="s">
        <v>73</v>
      </c>
      <c r="B8226">
        <v>0.81996844068575003</v>
      </c>
      <c r="C8226" s="1">
        <v>44957</v>
      </c>
    </row>
    <row r="8227" spans="1:3">
      <c r="A8227" t="s">
        <v>75</v>
      </c>
      <c r="B8227">
        <v>0.13197532635250001</v>
      </c>
      <c r="C8227" s="1">
        <v>44957</v>
      </c>
    </row>
    <row r="8228" spans="1:3">
      <c r="A8228" t="s">
        <v>77</v>
      </c>
      <c r="B8228">
        <v>0.80447568498349997</v>
      </c>
      <c r="C8228" s="1">
        <v>44957</v>
      </c>
    </row>
    <row r="8229" spans="1:3">
      <c r="A8229" t="s">
        <v>79</v>
      </c>
      <c r="B8229">
        <v>3.4680820542370001</v>
      </c>
      <c r="C8229" s="1">
        <v>44957</v>
      </c>
    </row>
    <row r="8230" spans="1:3">
      <c r="A8230" t="s">
        <v>81</v>
      </c>
      <c r="B8230">
        <v>5.6468225505867498</v>
      </c>
      <c r="C8230" s="1">
        <v>44957</v>
      </c>
    </row>
    <row r="8231" spans="1:3">
      <c r="A8231" t="s">
        <v>83</v>
      </c>
      <c r="B8231">
        <v>0.2375555874345</v>
      </c>
      <c r="C8231" s="1">
        <v>44957</v>
      </c>
    </row>
    <row r="8232" spans="1:3">
      <c r="A8232" t="s">
        <v>85</v>
      </c>
      <c r="B8232">
        <v>1.91938028977875</v>
      </c>
      <c r="C8232" s="1">
        <v>44957</v>
      </c>
    </row>
    <row r="8233" spans="1:3">
      <c r="A8233" t="s">
        <v>87</v>
      </c>
      <c r="B8233">
        <v>8.6747955817264994</v>
      </c>
      <c r="C8233" s="1">
        <v>44957</v>
      </c>
    </row>
    <row r="8234" spans="1:3">
      <c r="A8234" t="s">
        <v>89</v>
      </c>
      <c r="B8234">
        <v>9.1808922679999991</v>
      </c>
      <c r="C8234" s="1">
        <v>44957</v>
      </c>
    </row>
    <row r="8235" spans="1:3">
      <c r="A8235" t="s">
        <v>91</v>
      </c>
      <c r="B8235">
        <v>16.057380576732001</v>
      </c>
      <c r="C8235" s="1">
        <v>44957</v>
      </c>
    </row>
    <row r="8236" spans="1:3">
      <c r="A8236" t="s">
        <v>93</v>
      </c>
      <c r="B8236">
        <v>10.755415291962001</v>
      </c>
      <c r="C8236" s="1">
        <v>44957</v>
      </c>
    </row>
    <row r="8237" spans="1:3">
      <c r="A8237" t="s">
        <v>95</v>
      </c>
      <c r="B8237">
        <v>0.59847941472025001</v>
      </c>
      <c r="C8237" s="1">
        <v>44957</v>
      </c>
    </row>
    <row r="8238" spans="1:3">
      <c r="A8238" t="s">
        <v>97</v>
      </c>
      <c r="B8238">
        <v>3.6000573805895</v>
      </c>
      <c r="C8238" s="1">
        <v>44957</v>
      </c>
    </row>
    <row r="8239" spans="1:3">
      <c r="A8239" t="s">
        <v>99</v>
      </c>
      <c r="B8239">
        <v>3.9477836752400002</v>
      </c>
      <c r="C8239" s="1">
        <v>44957</v>
      </c>
    </row>
    <row r="8240" spans="1:3">
      <c r="A8240" t="s">
        <v>101</v>
      </c>
      <c r="B8240">
        <v>8.3207574236417496</v>
      </c>
      <c r="C8240" s="1">
        <v>44957</v>
      </c>
    </row>
    <row r="8241" spans="1:3">
      <c r="A8241" t="s">
        <v>105</v>
      </c>
      <c r="B8241">
        <v>0.15205852818874999</v>
      </c>
      <c r="C8241" s="1">
        <v>44957</v>
      </c>
    </row>
    <row r="8242" spans="1:3">
      <c r="A8242" t="s">
        <v>107</v>
      </c>
      <c r="B8242">
        <v>1.95610385885075</v>
      </c>
      <c r="C8242" s="1">
        <v>44957</v>
      </c>
    </row>
    <row r="8243" spans="1:3">
      <c r="A8243" t="s">
        <v>109</v>
      </c>
      <c r="B8243">
        <v>3.5340697174132498</v>
      </c>
      <c r="C8243" s="1">
        <v>44957</v>
      </c>
    </row>
    <row r="8244" spans="1:3">
      <c r="A8244" t="s">
        <v>111</v>
      </c>
      <c r="B8244">
        <v>5.02022665329575</v>
      </c>
      <c r="C8244" s="1">
        <v>44957</v>
      </c>
    </row>
    <row r="8245" spans="1:3">
      <c r="A8245" t="s">
        <v>113</v>
      </c>
      <c r="B8245">
        <v>6.2263663750042504</v>
      </c>
      <c r="C8245" s="1">
        <v>44957</v>
      </c>
    </row>
    <row r="8246" spans="1:3">
      <c r="A8246" t="s">
        <v>115</v>
      </c>
      <c r="B8246">
        <v>4.3270692870617502</v>
      </c>
      <c r="C8246" s="1">
        <v>44957</v>
      </c>
    </row>
    <row r="8247" spans="1:3">
      <c r="A8247" t="s">
        <v>117</v>
      </c>
      <c r="B8247">
        <v>3.2018361784649998</v>
      </c>
      <c r="C8247" s="1">
        <v>44957</v>
      </c>
    </row>
    <row r="8248" spans="1:3">
      <c r="A8248" t="s">
        <v>119</v>
      </c>
      <c r="B8248">
        <v>30.3858843782462</v>
      </c>
      <c r="C8248" s="1">
        <v>44957</v>
      </c>
    </row>
    <row r="8249" spans="1:3">
      <c r="A8249" t="s">
        <v>121</v>
      </c>
      <c r="B8249">
        <v>8.0332807344999999</v>
      </c>
      <c r="C8249" s="1">
        <v>44957</v>
      </c>
    </row>
    <row r="8250" spans="1:3">
      <c r="A8250" t="s">
        <v>123</v>
      </c>
      <c r="B8250">
        <v>3.2305264668025</v>
      </c>
      <c r="C8250" s="1">
        <v>44957</v>
      </c>
    </row>
    <row r="8251" spans="1:3">
      <c r="A8251" t="s">
        <v>125</v>
      </c>
      <c r="B8251">
        <v>192.02696887172101</v>
      </c>
      <c r="C8251" s="1">
        <v>44957</v>
      </c>
    </row>
    <row r="8252" spans="1:3">
      <c r="A8252" t="s">
        <v>127</v>
      </c>
      <c r="B8252">
        <v>8.4274852962572506</v>
      </c>
      <c r="C8252" s="1">
        <v>44957</v>
      </c>
    </row>
    <row r="8253" spans="1:3">
      <c r="A8253" t="s">
        <v>129</v>
      </c>
      <c r="B8253">
        <v>3.6981781667037499</v>
      </c>
      <c r="C8253" s="1">
        <v>44957</v>
      </c>
    </row>
    <row r="8254" spans="1:3">
      <c r="A8254" t="s">
        <v>131</v>
      </c>
      <c r="B8254">
        <v>1.946349160816</v>
      </c>
      <c r="C8254" s="1">
        <v>44957</v>
      </c>
    </row>
    <row r="8255" spans="1:3">
      <c r="A8255" t="s">
        <v>134</v>
      </c>
      <c r="B8255">
        <v>1.58370391623</v>
      </c>
      <c r="C8255" s="1">
        <v>44957</v>
      </c>
    </row>
    <row r="8256" spans="1:3">
      <c r="A8256" t="s">
        <v>136</v>
      </c>
      <c r="B8256">
        <v>13.779371682734499</v>
      </c>
      <c r="C8256" s="1">
        <v>44957</v>
      </c>
    </row>
    <row r="8257" spans="1:3">
      <c r="A8257" t="s">
        <v>138</v>
      </c>
      <c r="B8257">
        <v>12.8865299096715</v>
      </c>
      <c r="C8257" s="1">
        <v>44957</v>
      </c>
    </row>
    <row r="8258" spans="1:3">
      <c r="A8258" t="s">
        <v>140</v>
      </c>
      <c r="B8258">
        <v>15.2276574380115</v>
      </c>
      <c r="C8258" s="1">
        <v>44957</v>
      </c>
    </row>
    <row r="8259" spans="1:3">
      <c r="A8259" t="s">
        <v>142</v>
      </c>
      <c r="B8259">
        <v>6.3480131975552503</v>
      </c>
      <c r="C8259" s="1">
        <v>44957</v>
      </c>
    </row>
    <row r="8260" spans="1:3">
      <c r="A8260" t="s">
        <v>144</v>
      </c>
      <c r="B8260">
        <v>3.284464208877</v>
      </c>
      <c r="C8260" s="1">
        <v>44957</v>
      </c>
    </row>
    <row r="8261" spans="1:3">
      <c r="A8261" t="s">
        <v>146</v>
      </c>
      <c r="B8261">
        <v>2.9522306699287499</v>
      </c>
      <c r="C8261" s="1">
        <v>44957</v>
      </c>
    </row>
    <row r="8262" spans="1:3">
      <c r="A8262" t="s">
        <v>148</v>
      </c>
      <c r="B8262">
        <v>9.9400372974102496</v>
      </c>
      <c r="C8262" s="1">
        <v>44957</v>
      </c>
    </row>
    <row r="8263" spans="1:3">
      <c r="A8263" t="s">
        <v>150</v>
      </c>
      <c r="B8263">
        <v>4.2444412566497496</v>
      </c>
      <c r="C8263" s="1">
        <v>44957</v>
      </c>
    </row>
    <row r="8264" spans="1:3">
      <c r="A8264" t="s">
        <v>152</v>
      </c>
      <c r="B8264">
        <v>20.7688997275162</v>
      </c>
      <c r="C8264" s="1">
        <v>44957</v>
      </c>
    </row>
    <row r="8265" spans="1:3">
      <c r="A8265" t="s">
        <v>154</v>
      </c>
      <c r="B8265">
        <v>11.937455171467001</v>
      </c>
      <c r="C8265" s="1">
        <v>44957</v>
      </c>
    </row>
    <row r="8266" spans="1:3">
      <c r="A8266" t="s">
        <v>156</v>
      </c>
      <c r="B8266">
        <v>17.976187060744</v>
      </c>
      <c r="C8266" s="1">
        <v>44957</v>
      </c>
    </row>
    <row r="8267" spans="1:3">
      <c r="A8267" t="s">
        <v>158</v>
      </c>
      <c r="B8267">
        <v>73.737483861975505</v>
      </c>
      <c r="C8267" s="1">
        <v>44957</v>
      </c>
    </row>
    <row r="8268" spans="1:3">
      <c r="A8268" t="s">
        <v>160</v>
      </c>
      <c r="B8268">
        <v>12.920384449909699</v>
      </c>
      <c r="C8268" s="1">
        <v>44957</v>
      </c>
    </row>
    <row r="8269" spans="1:3">
      <c r="A8269" t="s">
        <v>162</v>
      </c>
      <c r="B8269">
        <v>11.5535791135112</v>
      </c>
      <c r="C8269" s="1">
        <v>44957</v>
      </c>
    </row>
    <row r="8270" spans="1:3">
      <c r="A8270" t="s">
        <v>164</v>
      </c>
      <c r="B8270">
        <v>11.3217615837442</v>
      </c>
      <c r="C8270" s="1">
        <v>44957</v>
      </c>
    </row>
    <row r="8271" spans="1:3">
      <c r="A8271" t="s">
        <v>166</v>
      </c>
      <c r="B8271">
        <v>5.1665471238169998</v>
      </c>
      <c r="C8271" s="1">
        <v>44957</v>
      </c>
    </row>
    <row r="8272" spans="1:3">
      <c r="A8272" t="s">
        <v>168</v>
      </c>
      <c r="B8272">
        <v>16.281738631531201</v>
      </c>
      <c r="C8272" s="1">
        <v>44957</v>
      </c>
    </row>
    <row r="8273" spans="1:3">
      <c r="A8273" t="s">
        <v>4</v>
      </c>
      <c r="B8273">
        <v>0.16561116785791999</v>
      </c>
      <c r="C8273" s="1">
        <v>44985</v>
      </c>
    </row>
    <row r="8274" spans="1:3">
      <c r="A8274" t="s">
        <v>8</v>
      </c>
      <c r="B8274">
        <v>17.051413006423999</v>
      </c>
      <c r="C8274" s="1">
        <v>44985</v>
      </c>
    </row>
    <row r="8275" spans="1:3">
      <c r="A8275" t="s">
        <v>11</v>
      </c>
      <c r="B8275">
        <v>38.1842696628201</v>
      </c>
      <c r="C8275" s="1">
        <v>44985</v>
      </c>
    </row>
    <row r="8276" spans="1:3">
      <c r="A8276" t="s">
        <v>14</v>
      </c>
      <c r="B8276">
        <v>6.4441266598399203</v>
      </c>
      <c r="C8276" s="1">
        <v>44985</v>
      </c>
    </row>
    <row r="8277" spans="1:3">
      <c r="A8277" t="s">
        <v>17</v>
      </c>
      <c r="B8277">
        <v>15.171944160668</v>
      </c>
      <c r="C8277" s="1">
        <v>44985</v>
      </c>
    </row>
    <row r="8278" spans="1:3">
      <c r="A8278" t="s">
        <v>20</v>
      </c>
      <c r="B8278">
        <v>0.47231869254216002</v>
      </c>
      <c r="C8278" s="1">
        <v>44985</v>
      </c>
    </row>
    <row r="8279" spans="1:3">
      <c r="A8279" t="s">
        <v>24</v>
      </c>
      <c r="B8279">
        <v>0.47831120190543902</v>
      </c>
      <c r="C8279" s="1">
        <v>44985</v>
      </c>
    </row>
    <row r="8280" spans="1:3">
      <c r="A8280" t="s">
        <v>27</v>
      </c>
      <c r="B8280">
        <v>34.684099421086103</v>
      </c>
      <c r="C8280" s="1">
        <v>44985</v>
      </c>
    </row>
    <row r="8281" spans="1:3">
      <c r="A8281" t="s">
        <v>29</v>
      </c>
      <c r="B8281">
        <v>1.0677562138208001</v>
      </c>
      <c r="C8281" s="1">
        <v>44985</v>
      </c>
    </row>
    <row r="8282" spans="1:3">
      <c r="A8282" t="s">
        <v>32</v>
      </c>
      <c r="B8282">
        <v>6.9028260129200696</v>
      </c>
      <c r="C8282" s="1">
        <v>44985</v>
      </c>
    </row>
    <row r="8283" spans="1:3">
      <c r="A8283" t="s">
        <v>35</v>
      </c>
      <c r="B8283">
        <v>2.93578481442872</v>
      </c>
      <c r="C8283" s="1">
        <v>44985</v>
      </c>
    </row>
    <row r="8284" spans="1:3">
      <c r="A8284" t="s">
        <v>37</v>
      </c>
      <c r="B8284">
        <v>0.24732720462992</v>
      </c>
      <c r="C8284" s="1">
        <v>44985</v>
      </c>
    </row>
    <row r="8285" spans="1:3">
      <c r="A8285" t="s">
        <v>39</v>
      </c>
      <c r="B8285">
        <v>1.5509703779325501</v>
      </c>
      <c r="C8285" s="1">
        <v>44985</v>
      </c>
    </row>
    <row r="8286" spans="1:3">
      <c r="A8286" t="s">
        <v>42</v>
      </c>
      <c r="B8286">
        <v>2.9352400408502399</v>
      </c>
      <c r="C8286" s="1">
        <v>44985</v>
      </c>
    </row>
    <row r="8287" spans="1:3">
      <c r="A8287" t="s">
        <v>44</v>
      </c>
      <c r="B8287">
        <v>10.9564862103897</v>
      </c>
      <c r="C8287" s="1">
        <v>44985</v>
      </c>
    </row>
    <row r="8288" spans="1:3">
      <c r="A8288" t="s">
        <v>47</v>
      </c>
      <c r="B8288">
        <v>6.2049710588871996</v>
      </c>
      <c r="C8288" s="1">
        <v>44985</v>
      </c>
    </row>
    <row r="8289" spans="1:3">
      <c r="A8289" t="s">
        <v>49</v>
      </c>
      <c r="B8289">
        <v>7.8447395301120002</v>
      </c>
      <c r="C8289" s="1">
        <v>44985</v>
      </c>
    </row>
    <row r="8290" spans="1:3">
      <c r="A8290" t="s">
        <v>51</v>
      </c>
      <c r="B8290">
        <v>0.73108614232016</v>
      </c>
      <c r="C8290" s="1">
        <v>44985</v>
      </c>
    </row>
    <row r="8291" spans="1:3">
      <c r="A8291" t="s">
        <v>53</v>
      </c>
      <c r="B8291">
        <v>0.58236295539511995</v>
      </c>
      <c r="C8291" s="1">
        <v>44985</v>
      </c>
    </row>
    <row r="8292" spans="1:3">
      <c r="A8292" t="s">
        <v>55</v>
      </c>
      <c r="B8292">
        <v>1.70405175348544</v>
      </c>
      <c r="C8292" s="1">
        <v>44985</v>
      </c>
    </row>
    <row r="8293" spans="1:3">
      <c r="A8293" t="s">
        <v>57</v>
      </c>
      <c r="B8293">
        <v>2.0881171263138398</v>
      </c>
      <c r="C8293" s="1">
        <v>44985</v>
      </c>
    </row>
    <row r="8294" spans="1:3">
      <c r="A8294" t="s">
        <v>59</v>
      </c>
      <c r="B8294">
        <v>2.7756213823556002</v>
      </c>
      <c r="C8294" s="1">
        <v>44985</v>
      </c>
    </row>
    <row r="8295" spans="1:3">
      <c r="A8295" t="s">
        <v>61</v>
      </c>
      <c r="B8295">
        <v>95.581069117894401</v>
      </c>
      <c r="C8295" s="1">
        <v>44985</v>
      </c>
    </row>
    <row r="8296" spans="1:3">
      <c r="A8296" t="s">
        <v>63</v>
      </c>
      <c r="B8296">
        <v>8.9070480081479992</v>
      </c>
      <c r="C8296" s="1">
        <v>44985</v>
      </c>
    </row>
    <row r="8297" spans="1:3">
      <c r="A8297" t="s">
        <v>65</v>
      </c>
      <c r="B8297">
        <v>0.20810350697936</v>
      </c>
      <c r="C8297" s="1">
        <v>44985</v>
      </c>
    </row>
    <row r="8298" spans="1:3">
      <c r="A8298" t="s">
        <v>67</v>
      </c>
      <c r="B8298">
        <v>8.1579843377380001</v>
      </c>
      <c r="C8298" s="1">
        <v>44985</v>
      </c>
    </row>
    <row r="8299" spans="1:3">
      <c r="A8299" t="s">
        <v>69</v>
      </c>
      <c r="B8299">
        <v>3.2234252638661598</v>
      </c>
      <c r="C8299" s="1">
        <v>44985</v>
      </c>
    </row>
    <row r="8300" spans="1:3">
      <c r="A8300" t="s">
        <v>71</v>
      </c>
      <c r="B8300">
        <v>1.01218930881584</v>
      </c>
      <c r="C8300" s="1">
        <v>44985</v>
      </c>
    </row>
    <row r="8301" spans="1:3">
      <c r="A8301" t="s">
        <v>73</v>
      </c>
      <c r="B8301">
        <v>0.83023493360351996</v>
      </c>
      <c r="C8301" s="1">
        <v>44985</v>
      </c>
    </row>
    <row r="8302" spans="1:3">
      <c r="A8302" t="s">
        <v>75</v>
      </c>
      <c r="B8302">
        <v>0.1198501872656</v>
      </c>
      <c r="C8302" s="1">
        <v>44985</v>
      </c>
    </row>
    <row r="8303" spans="1:3">
      <c r="A8303" t="s">
        <v>77</v>
      </c>
      <c r="B8303">
        <v>0.73217568947711997</v>
      </c>
      <c r="C8303" s="1">
        <v>44985</v>
      </c>
    </row>
    <row r="8304" spans="1:3">
      <c r="A8304" t="s">
        <v>79</v>
      </c>
      <c r="B8304">
        <v>3.6227442968919998</v>
      </c>
      <c r="C8304" s="1">
        <v>44985</v>
      </c>
    </row>
    <row r="8305" spans="1:3">
      <c r="A8305" t="s">
        <v>81</v>
      </c>
      <c r="B8305">
        <v>5.6656452161919999</v>
      </c>
      <c r="C8305" s="1">
        <v>44985</v>
      </c>
    </row>
    <row r="8306" spans="1:3">
      <c r="A8306" t="s">
        <v>83</v>
      </c>
      <c r="B8306">
        <v>0.19012597888951999</v>
      </c>
      <c r="C8306" s="1">
        <v>44985</v>
      </c>
    </row>
    <row r="8307" spans="1:3">
      <c r="A8307" t="s">
        <v>85</v>
      </c>
      <c r="B8307">
        <v>1.86693905345096</v>
      </c>
      <c r="C8307" s="1">
        <v>44985</v>
      </c>
    </row>
    <row r="8308" spans="1:3">
      <c r="A8308" t="s">
        <v>87</v>
      </c>
      <c r="B8308">
        <v>7.7297923050527197</v>
      </c>
      <c r="C8308" s="1">
        <v>44985</v>
      </c>
    </row>
    <row r="8309" spans="1:3">
      <c r="A8309" t="s">
        <v>89</v>
      </c>
      <c r="B8309">
        <v>10.187265917575999</v>
      </c>
      <c r="C8309" s="1">
        <v>44985</v>
      </c>
    </row>
    <row r="8310" spans="1:3">
      <c r="A8310" t="s">
        <v>91</v>
      </c>
      <c r="B8310">
        <v>16.107865168496598</v>
      </c>
      <c r="C8310" s="1">
        <v>44985</v>
      </c>
    </row>
    <row r="8311" spans="1:3">
      <c r="A8311" t="s">
        <v>93</v>
      </c>
      <c r="B8311">
        <v>10.7925093632672</v>
      </c>
      <c r="C8311" s="1">
        <v>44985</v>
      </c>
    </row>
    <row r="8312" spans="1:3">
      <c r="A8312" t="s">
        <v>95</v>
      </c>
      <c r="B8312">
        <v>0.55948246509895905</v>
      </c>
      <c r="C8312" s="1">
        <v>44985</v>
      </c>
    </row>
    <row r="8313" spans="1:3">
      <c r="A8313" t="s">
        <v>97</v>
      </c>
      <c r="B8313">
        <v>3.2555669049964799</v>
      </c>
      <c r="C8313" s="1">
        <v>44985</v>
      </c>
    </row>
    <row r="8314" spans="1:3">
      <c r="A8314" t="s">
        <v>99</v>
      </c>
      <c r="B8314">
        <v>3.9496084439799999</v>
      </c>
      <c r="C8314" s="1">
        <v>44985</v>
      </c>
    </row>
    <row r="8315" spans="1:3">
      <c r="A8315" t="s">
        <v>101</v>
      </c>
      <c r="B8315">
        <v>9.3673816819636002</v>
      </c>
      <c r="C8315" s="1">
        <v>44985</v>
      </c>
    </row>
    <row r="8316" spans="1:3">
      <c r="A8316" t="s">
        <v>105</v>
      </c>
      <c r="B8316">
        <v>0.17269322437816001</v>
      </c>
      <c r="C8316" s="1">
        <v>44985</v>
      </c>
    </row>
    <row r="8317" spans="1:3">
      <c r="A8317" t="s">
        <v>107</v>
      </c>
      <c r="B8317">
        <v>1.83970037452696</v>
      </c>
      <c r="C8317" s="1">
        <v>44985</v>
      </c>
    </row>
    <row r="8318" spans="1:3">
      <c r="A8318" t="s">
        <v>109</v>
      </c>
      <c r="B8318">
        <v>3.0403813414968801</v>
      </c>
      <c r="C8318" s="1">
        <v>44985</v>
      </c>
    </row>
    <row r="8319" spans="1:3">
      <c r="A8319" t="s">
        <v>111</v>
      </c>
      <c r="B8319">
        <v>5.0800136193260004</v>
      </c>
      <c r="C8319" s="1">
        <v>44985</v>
      </c>
    </row>
    <row r="8320" spans="1:3">
      <c r="A8320" t="s">
        <v>113</v>
      </c>
      <c r="B8320">
        <v>5.5321756894643999</v>
      </c>
      <c r="C8320" s="1">
        <v>44985</v>
      </c>
    </row>
    <row r="8321" spans="1:3">
      <c r="A8321" t="s">
        <v>115</v>
      </c>
      <c r="B8321">
        <v>4.1947565542960001</v>
      </c>
      <c r="C8321" s="1">
        <v>44985</v>
      </c>
    </row>
    <row r="8322" spans="1:3">
      <c r="A8322" t="s">
        <v>117</v>
      </c>
      <c r="B8322">
        <v>2.4988764044877598</v>
      </c>
      <c r="C8322" s="1">
        <v>44985</v>
      </c>
    </row>
    <row r="8323" spans="1:3">
      <c r="A8323" t="s">
        <v>119</v>
      </c>
      <c r="B8323">
        <v>26.0979230506628</v>
      </c>
      <c r="C8323" s="1">
        <v>44985</v>
      </c>
    </row>
    <row r="8324" spans="1:3">
      <c r="A8324" t="s">
        <v>121</v>
      </c>
      <c r="B8324">
        <v>7.6148450799934402</v>
      </c>
      <c r="C8324" s="1">
        <v>44985</v>
      </c>
    </row>
    <row r="8325" spans="1:3">
      <c r="A8325" t="s">
        <v>123</v>
      </c>
      <c r="B8325">
        <v>3.25938032004583</v>
      </c>
      <c r="C8325" s="1">
        <v>44985</v>
      </c>
    </row>
    <row r="8326" spans="1:3">
      <c r="A8326" t="s">
        <v>125</v>
      </c>
      <c r="B8326">
        <v>177.43547837882801</v>
      </c>
      <c r="C8326" s="1">
        <v>44985</v>
      </c>
    </row>
    <row r="8327" spans="1:3">
      <c r="A8327" t="s">
        <v>127</v>
      </c>
      <c r="B8327">
        <v>7.8888661899688799</v>
      </c>
      <c r="C8327" s="1">
        <v>44985</v>
      </c>
    </row>
    <row r="8328" spans="1:3">
      <c r="A8328" t="s">
        <v>129</v>
      </c>
      <c r="B8328">
        <v>3.5709908069364</v>
      </c>
      <c r="C8328" s="1">
        <v>44985</v>
      </c>
    </row>
    <row r="8329" spans="1:3">
      <c r="A8329" t="s">
        <v>131</v>
      </c>
      <c r="B8329">
        <v>1.8538644875674399</v>
      </c>
      <c r="C8329" s="1">
        <v>44985</v>
      </c>
    </row>
    <row r="8330" spans="1:3">
      <c r="A8330" t="s">
        <v>134</v>
      </c>
      <c r="B8330">
        <v>1.88437180796232</v>
      </c>
      <c r="C8330" s="1">
        <v>44985</v>
      </c>
    </row>
    <row r="8331" spans="1:3">
      <c r="A8331" t="s">
        <v>136</v>
      </c>
      <c r="B8331">
        <v>12.1233912154939</v>
      </c>
      <c r="C8331" s="1">
        <v>44985</v>
      </c>
    </row>
    <row r="8332" spans="1:3">
      <c r="A8332" t="s">
        <v>138</v>
      </c>
      <c r="B8332">
        <v>12.7656792645218</v>
      </c>
      <c r="C8332" s="1">
        <v>44985</v>
      </c>
    </row>
    <row r="8333" spans="1:3">
      <c r="A8333" t="s">
        <v>140</v>
      </c>
      <c r="B8333">
        <v>14.57269322434</v>
      </c>
      <c r="C8333" s="1">
        <v>44985</v>
      </c>
    </row>
    <row r="8334" spans="1:3">
      <c r="A8334" t="s">
        <v>142</v>
      </c>
      <c r="B8334">
        <v>6.3967313585121603</v>
      </c>
      <c r="C8334" s="1">
        <v>44985</v>
      </c>
    </row>
    <row r="8335" spans="1:3">
      <c r="A8335" t="s">
        <v>144</v>
      </c>
      <c r="B8335">
        <v>3.2414027919559998</v>
      </c>
      <c r="C8335" s="1">
        <v>44985</v>
      </c>
    </row>
    <row r="8336" spans="1:3">
      <c r="A8336" t="s">
        <v>146</v>
      </c>
      <c r="B8336">
        <v>2.6623084780317599</v>
      </c>
      <c r="C8336" s="1">
        <v>44985</v>
      </c>
    </row>
    <row r="8337" spans="1:3">
      <c r="A8337" t="s">
        <v>148</v>
      </c>
      <c r="B8337">
        <v>10.000953353735801</v>
      </c>
      <c r="C8337" s="1">
        <v>44985</v>
      </c>
    </row>
    <row r="8338" spans="1:3">
      <c r="A8338" t="s">
        <v>150</v>
      </c>
      <c r="B8338">
        <v>4.1468164793897602</v>
      </c>
      <c r="C8338" s="1">
        <v>44985</v>
      </c>
    </row>
    <row r="8339" spans="1:3">
      <c r="A8339" t="s">
        <v>152</v>
      </c>
      <c r="B8339">
        <v>16.892339121507799</v>
      </c>
      <c r="C8339" s="1">
        <v>44985</v>
      </c>
    </row>
    <row r="8340" spans="1:3">
      <c r="A8340" t="s">
        <v>154</v>
      </c>
      <c r="B8340">
        <v>12.093973442256001</v>
      </c>
      <c r="C8340" s="1">
        <v>44985</v>
      </c>
    </row>
    <row r="8341" spans="1:3">
      <c r="A8341" t="s">
        <v>156</v>
      </c>
      <c r="B8341">
        <v>14.727408920628299</v>
      </c>
      <c r="C8341" s="1">
        <v>44985</v>
      </c>
    </row>
    <row r="8342" spans="1:3">
      <c r="A8342" t="s">
        <v>158</v>
      </c>
      <c r="B8342">
        <v>55.415457950142503</v>
      </c>
      <c r="C8342" s="1">
        <v>44985</v>
      </c>
    </row>
    <row r="8343" spans="1:3">
      <c r="A8343" t="s">
        <v>160</v>
      </c>
      <c r="B8343">
        <v>12.561389172591801</v>
      </c>
      <c r="C8343" s="1">
        <v>44985</v>
      </c>
    </row>
    <row r="8344" spans="1:3">
      <c r="A8344" t="s">
        <v>162</v>
      </c>
      <c r="B8344">
        <v>9.3434116445104802</v>
      </c>
      <c r="C8344" s="1">
        <v>44985</v>
      </c>
    </row>
    <row r="8345" spans="1:3">
      <c r="A8345" t="s">
        <v>164</v>
      </c>
      <c r="B8345">
        <v>9.0862785154679102</v>
      </c>
      <c r="C8345" s="1">
        <v>44985</v>
      </c>
    </row>
    <row r="8346" spans="1:3">
      <c r="A8346" t="s">
        <v>166</v>
      </c>
      <c r="B8346">
        <v>4.9901259788768</v>
      </c>
      <c r="C8346" s="1">
        <v>44985</v>
      </c>
    </row>
    <row r="8347" spans="1:3">
      <c r="A8347" t="s">
        <v>168</v>
      </c>
      <c r="B8347">
        <v>13.8584950629527</v>
      </c>
      <c r="C8347" s="1">
        <v>44985</v>
      </c>
    </row>
    <row r="8348" spans="1:3">
      <c r="A8348" t="s">
        <v>4</v>
      </c>
      <c r="B8348">
        <v>0.20741158235776</v>
      </c>
      <c r="C8348" s="1">
        <v>45016</v>
      </c>
    </row>
    <row r="8349" spans="1:3">
      <c r="A8349" t="s">
        <v>8</v>
      </c>
      <c r="B8349">
        <v>15.8450049315861</v>
      </c>
      <c r="C8349" s="1">
        <v>45016</v>
      </c>
    </row>
    <row r="8350" spans="1:3">
      <c r="A8350" t="s">
        <v>11</v>
      </c>
      <c r="B8350">
        <v>35.265041566691998</v>
      </c>
      <c r="C8350" s="1">
        <v>45016</v>
      </c>
    </row>
    <row r="8351" spans="1:3">
      <c r="A8351" t="s">
        <v>14</v>
      </c>
      <c r="B8351">
        <v>5.5786952233073599</v>
      </c>
      <c r="C8351" s="1">
        <v>45016</v>
      </c>
    </row>
    <row r="8352" spans="1:3">
      <c r="A8352" t="s">
        <v>17</v>
      </c>
      <c r="B8352">
        <v>15.975764407420399</v>
      </c>
      <c r="C8352" s="1">
        <v>45016</v>
      </c>
    </row>
    <row r="8353" spans="1:3">
      <c r="A8353" t="s">
        <v>20</v>
      </c>
      <c r="B8353">
        <v>0.49203888966935999</v>
      </c>
      <c r="C8353" s="1">
        <v>45016</v>
      </c>
    </row>
    <row r="8354" spans="1:3">
      <c r="A8354" t="s">
        <v>24</v>
      </c>
      <c r="B8354">
        <v>0.4452585599528</v>
      </c>
      <c r="C8354" s="1">
        <v>45016</v>
      </c>
    </row>
    <row r="8355" spans="1:3">
      <c r="A8355" t="s">
        <v>27</v>
      </c>
      <c r="B8355">
        <v>33.028040016752001</v>
      </c>
      <c r="C8355" s="1">
        <v>45016</v>
      </c>
    </row>
    <row r="8356" spans="1:3">
      <c r="A8356" t="s">
        <v>29</v>
      </c>
      <c r="B8356">
        <v>1.0872199520872801</v>
      </c>
      <c r="C8356" s="1">
        <v>45016</v>
      </c>
    </row>
    <row r="8357" spans="1:3">
      <c r="A8357" t="s">
        <v>32</v>
      </c>
      <c r="B8357">
        <v>6.8783993236252803</v>
      </c>
      <c r="C8357" s="1">
        <v>45016</v>
      </c>
    </row>
    <row r="8358" spans="1:3">
      <c r="A8358" t="s">
        <v>35</v>
      </c>
      <c r="B8358">
        <v>2.8885444553899999</v>
      </c>
      <c r="C8358" s="1">
        <v>45016</v>
      </c>
    </row>
    <row r="8359" spans="1:3">
      <c r="A8359" t="s">
        <v>37</v>
      </c>
      <c r="B8359">
        <v>0.23559250387375999</v>
      </c>
      <c r="C8359" s="1">
        <v>45016</v>
      </c>
    </row>
    <row r="8360" spans="1:3">
      <c r="A8360" t="s">
        <v>39</v>
      </c>
      <c r="B8360">
        <v>1.4146822601032001</v>
      </c>
      <c r="C8360" s="1">
        <v>45016</v>
      </c>
    </row>
    <row r="8361" spans="1:3">
      <c r="A8361" t="s">
        <v>42</v>
      </c>
      <c r="B8361">
        <v>2.7786388614775999</v>
      </c>
      <c r="C8361" s="1">
        <v>45016</v>
      </c>
    </row>
    <row r="8362" spans="1:3">
      <c r="A8362" t="s">
        <v>44</v>
      </c>
      <c r="B8362">
        <v>10.5143018176196</v>
      </c>
      <c r="C8362" s="1">
        <v>45016</v>
      </c>
    </row>
    <row r="8363" spans="1:3">
      <c r="A8363" t="s">
        <v>47</v>
      </c>
      <c r="B8363">
        <v>5.5212061434147097</v>
      </c>
      <c r="C8363" s="1">
        <v>45016</v>
      </c>
    </row>
    <row r="8364" spans="1:3">
      <c r="A8364" t="s">
        <v>49</v>
      </c>
      <c r="B8364">
        <v>7.9363111173359204</v>
      </c>
      <c r="C8364" s="1">
        <v>45016</v>
      </c>
    </row>
    <row r="8365" spans="1:3">
      <c r="A8365" t="s">
        <v>51</v>
      </c>
      <c r="B8365">
        <v>0.70114132731807999</v>
      </c>
      <c r="C8365" s="1">
        <v>45016</v>
      </c>
    </row>
    <row r="8366" spans="1:3">
      <c r="A8366" t="s">
        <v>53</v>
      </c>
      <c r="B8366">
        <v>0.56981823305351997</v>
      </c>
      <c r="C8366" s="1">
        <v>45016</v>
      </c>
    </row>
    <row r="8367" spans="1:3">
      <c r="A8367" t="s">
        <v>55</v>
      </c>
      <c r="B8367">
        <v>1.704945751718</v>
      </c>
      <c r="C8367" s="1">
        <v>45016</v>
      </c>
    </row>
    <row r="8368" spans="1:3">
      <c r="A8368" t="s">
        <v>57</v>
      </c>
      <c r="B8368">
        <v>2.0132450331030398</v>
      </c>
      <c r="C8368" s="1">
        <v>45016</v>
      </c>
    </row>
    <row r="8369" spans="1:3">
      <c r="A8369" t="s">
        <v>59</v>
      </c>
      <c r="B8369">
        <v>2.6264618852911998</v>
      </c>
      <c r="C8369" s="1">
        <v>45016</v>
      </c>
    </row>
    <row r="8370" spans="1:3">
      <c r="A8370" t="s">
        <v>61</v>
      </c>
      <c r="B8370">
        <v>95.121318866676006</v>
      </c>
      <c r="C8370" s="1">
        <v>45016</v>
      </c>
    </row>
    <row r="8371" spans="1:3">
      <c r="A8371" t="s">
        <v>63</v>
      </c>
      <c r="B8371">
        <v>8.9062984359166393</v>
      </c>
      <c r="C8371" s="1">
        <v>45016</v>
      </c>
    </row>
    <row r="8372" spans="1:3">
      <c r="A8372" t="s">
        <v>65</v>
      </c>
      <c r="B8372">
        <v>0.20515710863648001</v>
      </c>
      <c r="C8372" s="1">
        <v>45016</v>
      </c>
    </row>
    <row r="8373" spans="1:3">
      <c r="A8373" t="s">
        <v>67</v>
      </c>
      <c r="B8373">
        <v>7.8596590108123996</v>
      </c>
      <c r="C8373" s="1">
        <v>45016</v>
      </c>
    </row>
    <row r="8374" spans="1:3">
      <c r="A8374" t="s">
        <v>69</v>
      </c>
      <c r="B8374">
        <v>3.0052134704662401</v>
      </c>
      <c r="C8374" s="1">
        <v>45016</v>
      </c>
    </row>
    <row r="8375" spans="1:3">
      <c r="A8375" t="s">
        <v>71</v>
      </c>
      <c r="B8375">
        <v>1.0105678455637599</v>
      </c>
      <c r="C8375" s="1">
        <v>45016</v>
      </c>
    </row>
    <row r="8376" spans="1:3">
      <c r="A8376" t="s">
        <v>73</v>
      </c>
      <c r="B8376">
        <v>0.83471889530391996</v>
      </c>
      <c r="C8376" s="1">
        <v>45016</v>
      </c>
    </row>
    <row r="8377" spans="1:3">
      <c r="A8377" t="s">
        <v>75</v>
      </c>
      <c r="B8377">
        <v>0.11554177821559999</v>
      </c>
      <c r="C8377" s="1">
        <v>45016</v>
      </c>
    </row>
    <row r="8378" spans="1:3">
      <c r="A8378" t="s">
        <v>77</v>
      </c>
      <c r="B8378">
        <v>0.73608566999792002</v>
      </c>
      <c r="C8378" s="1">
        <v>45016</v>
      </c>
    </row>
    <row r="8379" spans="1:3">
      <c r="A8379" t="s">
        <v>79</v>
      </c>
      <c r="B8379">
        <v>3.68831900801408</v>
      </c>
      <c r="C8379" s="1">
        <v>45016</v>
      </c>
    </row>
    <row r="8380" spans="1:3">
      <c r="A8380" t="s">
        <v>81</v>
      </c>
      <c r="B8380">
        <v>5.9630829927856004</v>
      </c>
      <c r="C8380" s="1">
        <v>45016</v>
      </c>
    </row>
    <row r="8381" spans="1:3">
      <c r="A8381" t="s">
        <v>83</v>
      </c>
      <c r="B8381">
        <v>0.17923066084176001</v>
      </c>
      <c r="C8381" s="1">
        <v>45016</v>
      </c>
    </row>
    <row r="8382" spans="1:3">
      <c r="A8382" t="s">
        <v>85</v>
      </c>
      <c r="B8382">
        <v>1.6739467380504001</v>
      </c>
      <c r="C8382" s="1">
        <v>45016</v>
      </c>
    </row>
    <row r="8383" spans="1:3">
      <c r="A8383" t="s">
        <v>87</v>
      </c>
      <c r="B8383">
        <v>10.324362406601701</v>
      </c>
      <c r="C8383" s="1">
        <v>45016</v>
      </c>
    </row>
    <row r="8384" spans="1:3">
      <c r="A8384" t="s">
        <v>89</v>
      </c>
      <c r="B8384">
        <v>11.3225306466984</v>
      </c>
      <c r="C8384" s="1">
        <v>45016</v>
      </c>
    </row>
    <row r="8385" spans="1:3">
      <c r="A8385" t="s">
        <v>91</v>
      </c>
      <c r="B8385">
        <v>16.06312526412</v>
      </c>
      <c r="C8385" s="1">
        <v>45016</v>
      </c>
    </row>
    <row r="8386" spans="1:3">
      <c r="A8386" t="s">
        <v>93</v>
      </c>
      <c r="B8386">
        <v>10.455121882436</v>
      </c>
      <c r="C8386" s="1">
        <v>45016</v>
      </c>
    </row>
    <row r="8387" spans="1:3">
      <c r="A8387" t="s">
        <v>95</v>
      </c>
      <c r="B8387">
        <v>0.51402000845183904</v>
      </c>
      <c r="C8387" s="1">
        <v>45016</v>
      </c>
    </row>
    <row r="8388" spans="1:3">
      <c r="A8388" t="s">
        <v>97</v>
      </c>
      <c r="B8388">
        <v>3.1675355783983998</v>
      </c>
      <c r="C8388" s="1">
        <v>45016</v>
      </c>
    </row>
    <row r="8389" spans="1:3">
      <c r="A8389" t="s">
        <v>99</v>
      </c>
      <c r="B8389">
        <v>3.9098210511298399</v>
      </c>
      <c r="C8389" s="1">
        <v>45016</v>
      </c>
    </row>
    <row r="8390" spans="1:3">
      <c r="A8390" t="s">
        <v>101</v>
      </c>
      <c r="B8390">
        <v>9.1306185711839998</v>
      </c>
      <c r="C8390" s="1">
        <v>45016</v>
      </c>
    </row>
    <row r="8391" spans="1:3">
      <c r="A8391" t="s">
        <v>103</v>
      </c>
      <c r="B8391">
        <v>0.67690573481432004</v>
      </c>
      <c r="C8391" s="1">
        <v>45016</v>
      </c>
    </row>
    <row r="8392" spans="1:3">
      <c r="A8392" t="s">
        <v>105</v>
      </c>
      <c r="B8392">
        <v>0.16457658165344</v>
      </c>
      <c r="C8392" s="1">
        <v>45016</v>
      </c>
    </row>
    <row r="8393" spans="1:3">
      <c r="A8393" t="s">
        <v>107</v>
      </c>
      <c r="B8393">
        <v>2.423559250376</v>
      </c>
      <c r="C8393" s="1">
        <v>45016</v>
      </c>
    </row>
    <row r="8394" spans="1:3">
      <c r="A8394" t="s">
        <v>109</v>
      </c>
      <c r="B8394">
        <v>4.1245596730817597</v>
      </c>
      <c r="C8394" s="1">
        <v>45016</v>
      </c>
    </row>
    <row r="8395" spans="1:3">
      <c r="A8395" t="s">
        <v>111</v>
      </c>
      <c r="B8395">
        <v>5.2912498238441596</v>
      </c>
      <c r="C8395" s="1">
        <v>45016</v>
      </c>
    </row>
    <row r="8396" spans="1:3">
      <c r="A8396" t="s">
        <v>113</v>
      </c>
      <c r="B8396">
        <v>5.1261096237604002</v>
      </c>
      <c r="C8396" s="1">
        <v>45016</v>
      </c>
    </row>
    <row r="8397" spans="1:3">
      <c r="A8397" t="s">
        <v>115</v>
      </c>
      <c r="B8397">
        <v>3.6032126250357601</v>
      </c>
      <c r="C8397" s="1">
        <v>45016</v>
      </c>
    </row>
    <row r="8398" spans="1:3">
      <c r="A8398" t="s">
        <v>117</v>
      </c>
      <c r="B8398">
        <v>2.3824151049626399</v>
      </c>
      <c r="C8398" s="1">
        <v>45016</v>
      </c>
    </row>
    <row r="8399" spans="1:3">
      <c r="A8399" t="s">
        <v>119</v>
      </c>
      <c r="B8399">
        <v>25.34535719306</v>
      </c>
      <c r="C8399" s="1">
        <v>45016</v>
      </c>
    </row>
    <row r="8400" spans="1:3">
      <c r="A8400" t="s">
        <v>121</v>
      </c>
      <c r="B8400">
        <v>7.5767225587917597</v>
      </c>
      <c r="C8400" s="1">
        <v>45016</v>
      </c>
    </row>
    <row r="8401" spans="1:3">
      <c r="A8401" t="s">
        <v>123</v>
      </c>
      <c r="B8401">
        <v>3.17711709171384</v>
      </c>
      <c r="C8401" s="1">
        <v>45016</v>
      </c>
    </row>
    <row r="8402" spans="1:3">
      <c r="A8402" t="s">
        <v>125</v>
      </c>
      <c r="B8402">
        <v>185.59729463065401</v>
      </c>
      <c r="C8402" s="1">
        <v>45016</v>
      </c>
    </row>
    <row r="8403" spans="1:3">
      <c r="A8403" t="s">
        <v>127</v>
      </c>
      <c r="B8403">
        <v>7.1844441312890401</v>
      </c>
      <c r="C8403" s="1">
        <v>45016</v>
      </c>
    </row>
    <row r="8404" spans="1:3">
      <c r="A8404" t="s">
        <v>129</v>
      </c>
      <c r="B8404">
        <v>3.4031280822721599</v>
      </c>
      <c r="C8404" s="1">
        <v>45016</v>
      </c>
    </row>
    <row r="8405" spans="1:3">
      <c r="A8405" t="s">
        <v>131</v>
      </c>
      <c r="B8405">
        <v>2.1310412850399199</v>
      </c>
      <c r="C8405" s="1">
        <v>45016</v>
      </c>
    </row>
    <row r="8406" spans="1:3">
      <c r="A8406" t="s">
        <v>134</v>
      </c>
      <c r="B8406">
        <v>1.83683246441288</v>
      </c>
      <c r="C8406" s="1">
        <v>45016</v>
      </c>
    </row>
    <row r="8407" spans="1:3">
      <c r="A8407" t="s">
        <v>136</v>
      </c>
      <c r="B8407">
        <v>12.5269832322923</v>
      </c>
      <c r="C8407" s="1">
        <v>45016</v>
      </c>
    </row>
    <row r="8408" spans="1:3">
      <c r="A8408" t="s">
        <v>138</v>
      </c>
      <c r="B8408">
        <v>14.283218261169401</v>
      </c>
      <c r="C8408" s="1">
        <v>45016</v>
      </c>
    </row>
    <row r="8409" spans="1:3">
      <c r="A8409" t="s">
        <v>140</v>
      </c>
      <c r="B8409">
        <v>14.4923206988181</v>
      </c>
      <c r="C8409" s="1">
        <v>45016</v>
      </c>
    </row>
    <row r="8410" spans="1:3">
      <c r="A8410" t="s">
        <v>142</v>
      </c>
      <c r="B8410">
        <v>5.5302240382998402</v>
      </c>
      <c r="C8410" s="1">
        <v>45016</v>
      </c>
    </row>
    <row r="8411" spans="1:3">
      <c r="A8411" t="s">
        <v>144</v>
      </c>
      <c r="B8411">
        <v>3.4042553191328002</v>
      </c>
      <c r="C8411" s="1">
        <v>45016</v>
      </c>
    </row>
    <row r="8412" spans="1:3">
      <c r="A8412" t="s">
        <v>146</v>
      </c>
      <c r="B8412">
        <v>2.5819360292959201</v>
      </c>
      <c r="C8412" s="1">
        <v>45016</v>
      </c>
    </row>
    <row r="8413" spans="1:3">
      <c r="A8413" t="s">
        <v>148</v>
      </c>
      <c r="B8413">
        <v>9.7398900943599198</v>
      </c>
      <c r="C8413" s="1">
        <v>45016</v>
      </c>
    </row>
    <row r="8414" spans="1:3">
      <c r="A8414" t="s">
        <v>150</v>
      </c>
      <c r="B8414">
        <v>3.9566013808463998</v>
      </c>
      <c r="C8414" s="1">
        <v>45016</v>
      </c>
    </row>
    <row r="8415" spans="1:3">
      <c r="A8415" t="s">
        <v>152</v>
      </c>
      <c r="B8415">
        <v>24.314499084004801</v>
      </c>
      <c r="C8415" s="1">
        <v>45016</v>
      </c>
    </row>
    <row r="8416" spans="1:3">
      <c r="A8416" t="s">
        <v>154</v>
      </c>
      <c r="B8416">
        <v>11.3016767647766</v>
      </c>
      <c r="C8416" s="1">
        <v>45016</v>
      </c>
    </row>
    <row r="8417" spans="1:3">
      <c r="A8417" t="s">
        <v>156</v>
      </c>
      <c r="B8417">
        <v>13.526842327680001</v>
      </c>
      <c r="C8417" s="1">
        <v>45016</v>
      </c>
    </row>
    <row r="8418" spans="1:3">
      <c r="A8418" t="s">
        <v>158</v>
      </c>
      <c r="B8418">
        <v>53.769198252528</v>
      </c>
      <c r="C8418" s="1">
        <v>45016</v>
      </c>
    </row>
    <row r="8419" spans="1:3">
      <c r="A8419" t="s">
        <v>160</v>
      </c>
      <c r="B8419">
        <v>12.2220656614892</v>
      </c>
      <c r="C8419" s="1">
        <v>45016</v>
      </c>
    </row>
    <row r="8420" spans="1:3">
      <c r="A8420" t="s">
        <v>162</v>
      </c>
      <c r="B8420">
        <v>9.2337607439325602</v>
      </c>
      <c r="C8420" s="1">
        <v>45016</v>
      </c>
    </row>
    <row r="8421" spans="1:3">
      <c r="A8421" t="s">
        <v>164</v>
      </c>
      <c r="B8421">
        <v>13.357756798583999</v>
      </c>
      <c r="C8421" s="1">
        <v>45016</v>
      </c>
    </row>
    <row r="8422" spans="1:3">
      <c r="A8422" t="s">
        <v>166</v>
      </c>
      <c r="B8422">
        <v>5.0336762011879204</v>
      </c>
      <c r="C8422" s="1">
        <v>45016</v>
      </c>
    </row>
    <row r="8423" spans="1:3">
      <c r="A8423" t="s">
        <v>168</v>
      </c>
      <c r="B8423">
        <v>13.0004227137611</v>
      </c>
      <c r="C8423" s="1">
        <v>45016</v>
      </c>
    </row>
    <row r="8424" spans="1:3">
      <c r="A8424" t="s">
        <v>17</v>
      </c>
      <c r="B8424">
        <v>164.92185684032799</v>
      </c>
      <c r="C8424" s="1">
        <v>45046</v>
      </c>
    </row>
    <row r="8425" spans="1:3">
      <c r="A8425" t="s">
        <v>4</v>
      </c>
      <c r="B8425">
        <v>0.22478977233915001</v>
      </c>
      <c r="C8425" s="1">
        <v>45046</v>
      </c>
    </row>
    <row r="8426" spans="1:3">
      <c r="A8426" t="s">
        <v>8</v>
      </c>
      <c r="B8426">
        <v>15.8424830792599</v>
      </c>
      <c r="C8426" s="1">
        <v>45046</v>
      </c>
    </row>
    <row r="8427" spans="1:3">
      <c r="A8427" t="s">
        <v>11</v>
      </c>
      <c r="B8427">
        <v>36.6899569290199</v>
      </c>
      <c r="C8427" s="1">
        <v>45046</v>
      </c>
    </row>
    <row r="8428" spans="1:3">
      <c r="A8428" t="s">
        <v>14</v>
      </c>
      <c r="B8428">
        <v>5.5694264032349396</v>
      </c>
      <c r="C8428" s="1">
        <v>45046</v>
      </c>
    </row>
    <row r="8429" spans="1:3">
      <c r="A8429" t="s">
        <v>20</v>
      </c>
      <c r="B8429">
        <v>0.49224037738499998</v>
      </c>
      <c r="C8429" s="1">
        <v>45046</v>
      </c>
    </row>
    <row r="8430" spans="1:3">
      <c r="A8430" t="s">
        <v>24</v>
      </c>
      <c r="B8430">
        <v>0.443016339646499</v>
      </c>
      <c r="C8430" s="1">
        <v>45046</v>
      </c>
    </row>
    <row r="8431" spans="1:3">
      <c r="A8431" t="s">
        <v>27</v>
      </c>
      <c r="B8431">
        <v>30.666575511085501</v>
      </c>
      <c r="C8431" s="1">
        <v>45046</v>
      </c>
    </row>
    <row r="8432" spans="1:3">
      <c r="A8432" t="s">
        <v>29</v>
      </c>
      <c r="B8432">
        <v>1.1343406029960901</v>
      </c>
      <c r="C8432" s="1">
        <v>45046</v>
      </c>
    </row>
    <row r="8433" spans="1:3">
      <c r="A8433" t="s">
        <v>32</v>
      </c>
      <c r="B8433">
        <v>6.8492513844359397</v>
      </c>
      <c r="C8433" s="1">
        <v>45046</v>
      </c>
    </row>
    <row r="8434" spans="1:3">
      <c r="A8434" t="s">
        <v>35</v>
      </c>
      <c r="B8434">
        <v>2.7401381007765</v>
      </c>
      <c r="C8434" s="1">
        <v>45046</v>
      </c>
    </row>
    <row r="8435" spans="1:3">
      <c r="A8435" t="s">
        <v>37</v>
      </c>
      <c r="B8435">
        <v>0.24666712244514899</v>
      </c>
      <c r="C8435" s="1">
        <v>45046</v>
      </c>
    </row>
    <row r="8436" spans="1:3">
      <c r="A8436" t="s">
        <v>39</v>
      </c>
      <c r="B8436">
        <v>1.44281123949069</v>
      </c>
      <c r="C8436" s="1">
        <v>45046</v>
      </c>
    </row>
    <row r="8437" spans="1:3">
      <c r="A8437" t="s">
        <v>42</v>
      </c>
      <c r="B8437">
        <v>2.9173446366351001</v>
      </c>
      <c r="C8437" s="1">
        <v>45046</v>
      </c>
    </row>
    <row r="8438" spans="1:3">
      <c r="A8438" t="s">
        <v>44</v>
      </c>
      <c r="B8438">
        <v>10.491283243332299</v>
      </c>
      <c r="C8438" s="1">
        <v>45046</v>
      </c>
    </row>
    <row r="8439" spans="1:3">
      <c r="A8439" t="s">
        <v>47</v>
      </c>
      <c r="B8439">
        <v>5.2604088329877001</v>
      </c>
      <c r="C8439" s="1">
        <v>45046</v>
      </c>
    </row>
    <row r="8440" spans="1:3">
      <c r="A8440" t="s">
        <v>49</v>
      </c>
      <c r="B8440">
        <v>7.6789498872059996</v>
      </c>
      <c r="C8440" s="1">
        <v>45046</v>
      </c>
    </row>
    <row r="8441" spans="1:3">
      <c r="A8441" t="s">
        <v>51</v>
      </c>
      <c r="B8441">
        <v>0.69023039584429902</v>
      </c>
      <c r="C8441" s="1">
        <v>45046</v>
      </c>
    </row>
    <row r="8442" spans="1:3">
      <c r="A8442" t="s">
        <v>53</v>
      </c>
      <c r="B8442">
        <v>0.54912148766059898</v>
      </c>
      <c r="C8442" s="1">
        <v>45046</v>
      </c>
    </row>
    <row r="8443" spans="1:3">
      <c r="A8443" t="s">
        <v>55</v>
      </c>
      <c r="B8443">
        <v>1.64025432419734</v>
      </c>
      <c r="C8443" s="1">
        <v>45046</v>
      </c>
    </row>
    <row r="8444" spans="1:3">
      <c r="A8444" t="s">
        <v>57</v>
      </c>
      <c r="B8444">
        <v>1.8147261912927</v>
      </c>
      <c r="C8444" s="1">
        <v>45046</v>
      </c>
    </row>
    <row r="8445" spans="1:3">
      <c r="A8445" t="s">
        <v>59</v>
      </c>
      <c r="B8445">
        <v>2.4841731045362998</v>
      </c>
      <c r="C8445" s="1">
        <v>45046</v>
      </c>
    </row>
    <row r="8446" spans="1:3">
      <c r="A8446" t="s">
        <v>61</v>
      </c>
      <c r="B8446">
        <v>87.119436658360499</v>
      </c>
      <c r="C8446" s="1">
        <v>45046</v>
      </c>
    </row>
    <row r="8447" spans="1:3">
      <c r="A8447" t="s">
        <v>63</v>
      </c>
      <c r="B8447">
        <v>9.1895809120252991</v>
      </c>
      <c r="C8447" s="1">
        <v>45046</v>
      </c>
    </row>
    <row r="8448" spans="1:3">
      <c r="A8448" t="s">
        <v>65</v>
      </c>
      <c r="B8448">
        <v>0.21221029602819999</v>
      </c>
      <c r="C8448" s="1">
        <v>45046</v>
      </c>
    </row>
    <row r="8449" spans="1:3">
      <c r="A8449" t="s">
        <v>67</v>
      </c>
      <c r="B8449">
        <v>7.8632665618490503</v>
      </c>
      <c r="C8449" s="1">
        <v>45046</v>
      </c>
    </row>
    <row r="8450" spans="1:3">
      <c r="A8450" t="s">
        <v>69</v>
      </c>
      <c r="B8450">
        <v>2.9742257469107001</v>
      </c>
      <c r="C8450" s="1">
        <v>45046</v>
      </c>
    </row>
    <row r="8451" spans="1:3">
      <c r="A8451" t="s">
        <v>71</v>
      </c>
      <c r="B8451">
        <v>1.00252956860744</v>
      </c>
      <c r="C8451" s="1">
        <v>45046</v>
      </c>
    </row>
    <row r="8452" spans="1:3">
      <c r="A8452" t="s">
        <v>73</v>
      </c>
      <c r="B8452">
        <v>0.87235933547674904</v>
      </c>
      <c r="C8452" s="1">
        <v>45046</v>
      </c>
    </row>
    <row r="8453" spans="1:3">
      <c r="A8453" t="s">
        <v>75</v>
      </c>
      <c r="B8453">
        <v>0.10227661174555</v>
      </c>
      <c r="C8453" s="1">
        <v>45046</v>
      </c>
    </row>
    <row r="8454" spans="1:3">
      <c r="A8454" t="s">
        <v>77</v>
      </c>
      <c r="B8454">
        <v>0.69624666712344996</v>
      </c>
      <c r="C8454" s="1">
        <v>45046</v>
      </c>
    </row>
    <row r="8455" spans="1:3">
      <c r="A8455" t="s">
        <v>79</v>
      </c>
      <c r="B8455">
        <v>3.5763998085783499</v>
      </c>
      <c r="C8455" s="1">
        <v>45046</v>
      </c>
    </row>
    <row r="8456" spans="1:3">
      <c r="A8456" t="s">
        <v>81</v>
      </c>
      <c r="B8456">
        <v>5.9243864087047902</v>
      </c>
      <c r="C8456" s="1">
        <v>45046</v>
      </c>
    </row>
    <row r="8457" spans="1:3">
      <c r="A8457" t="s">
        <v>83</v>
      </c>
      <c r="B8457">
        <v>0.16626786080559999</v>
      </c>
      <c r="C8457" s="1">
        <v>45046</v>
      </c>
    </row>
    <row r="8458" spans="1:3">
      <c r="A8458" t="s">
        <v>85</v>
      </c>
      <c r="B8458">
        <v>1.7469064059641</v>
      </c>
      <c r="C8458" s="1">
        <v>45046</v>
      </c>
    </row>
    <row r="8459" spans="1:3">
      <c r="A8459" t="s">
        <v>87</v>
      </c>
      <c r="B8459">
        <v>9.9979489984420002</v>
      </c>
      <c r="C8459" s="1">
        <v>45046</v>
      </c>
    </row>
    <row r="8460" spans="1:3">
      <c r="A8460" t="s">
        <v>89</v>
      </c>
      <c r="B8460">
        <v>10.6597388391484</v>
      </c>
      <c r="C8460" s="1">
        <v>45046</v>
      </c>
    </row>
    <row r="8461" spans="1:3">
      <c r="A8461" t="s">
        <v>91</v>
      </c>
      <c r="B8461">
        <v>15.5290900389914</v>
      </c>
      <c r="C8461" s="1">
        <v>45046</v>
      </c>
    </row>
    <row r="8462" spans="1:3">
      <c r="A8462" t="s">
        <v>93</v>
      </c>
      <c r="B8462">
        <v>9.6807274219049901</v>
      </c>
      <c r="C8462" s="1">
        <v>45046</v>
      </c>
    </row>
    <row r="8463" spans="1:3">
      <c r="A8463" t="s">
        <v>95</v>
      </c>
      <c r="B8463">
        <v>0.53708894510229999</v>
      </c>
      <c r="C8463" s="1">
        <v>45046</v>
      </c>
    </row>
    <row r="8464" spans="1:3">
      <c r="A8464" t="s">
        <v>97</v>
      </c>
      <c r="B8464">
        <v>3.1481506802534001</v>
      </c>
      <c r="C8464" s="1">
        <v>45046</v>
      </c>
    </row>
    <row r="8465" spans="1:3">
      <c r="A8465" t="s">
        <v>99</v>
      </c>
      <c r="B8465">
        <v>3.66445614275499</v>
      </c>
      <c r="C8465" s="1">
        <v>45046</v>
      </c>
    </row>
    <row r="8466" spans="1:3">
      <c r="A8466" t="s">
        <v>101</v>
      </c>
      <c r="B8466">
        <v>8.4227797908099902</v>
      </c>
      <c r="C8466" s="1">
        <v>45046</v>
      </c>
    </row>
    <row r="8467" spans="1:3">
      <c r="A8467" t="s">
        <v>103</v>
      </c>
      <c r="B8467">
        <v>0.62350447802099995</v>
      </c>
      <c r="C8467" s="1">
        <v>45046</v>
      </c>
    </row>
    <row r="8468" spans="1:3">
      <c r="A8468" t="s">
        <v>105</v>
      </c>
      <c r="B8468">
        <v>0.15532918575259999</v>
      </c>
      <c r="C8468" s="1">
        <v>45046</v>
      </c>
    </row>
    <row r="8469" spans="1:3">
      <c r="A8469" t="s">
        <v>107</v>
      </c>
      <c r="B8469">
        <v>2.2424283858649998</v>
      </c>
      <c r="C8469" s="1">
        <v>45046</v>
      </c>
    </row>
    <row r="8470" spans="1:3">
      <c r="A8470" t="s">
        <v>109</v>
      </c>
      <c r="B8470">
        <v>4.6801121214260402</v>
      </c>
      <c r="C8470" s="1">
        <v>45046</v>
      </c>
    </row>
    <row r="8471" spans="1:3">
      <c r="A8471" t="s">
        <v>111</v>
      </c>
      <c r="B8471">
        <v>4.7205852191221496</v>
      </c>
      <c r="C8471" s="1">
        <v>45046</v>
      </c>
    </row>
    <row r="8472" spans="1:3">
      <c r="A8472" t="s">
        <v>113</v>
      </c>
      <c r="B8472">
        <v>5.1778218363375501</v>
      </c>
      <c r="C8472" s="1">
        <v>45046</v>
      </c>
    </row>
    <row r="8473" spans="1:3">
      <c r="A8473" t="s">
        <v>115</v>
      </c>
      <c r="B8473">
        <v>3.5578040609882402</v>
      </c>
      <c r="C8473" s="1">
        <v>45046</v>
      </c>
    </row>
    <row r="8474" spans="1:3">
      <c r="A8474" t="s">
        <v>117</v>
      </c>
      <c r="B8474">
        <v>2.3747863540063001</v>
      </c>
      <c r="C8474" s="1">
        <v>45046</v>
      </c>
    </row>
    <row r="8475" spans="1:3">
      <c r="A8475" t="s">
        <v>119</v>
      </c>
      <c r="B8475">
        <v>24.268544472585798</v>
      </c>
      <c r="C8475" s="1">
        <v>45046</v>
      </c>
    </row>
    <row r="8476" spans="1:3">
      <c r="A8476" t="s">
        <v>121</v>
      </c>
      <c r="B8476">
        <v>7.6587133383579404</v>
      </c>
      <c r="C8476" s="1">
        <v>45046</v>
      </c>
    </row>
    <row r="8477" spans="1:3">
      <c r="A8477" t="s">
        <v>123</v>
      </c>
      <c r="B8477">
        <v>3.0863471662039399</v>
      </c>
      <c r="C8477" s="1">
        <v>45046</v>
      </c>
    </row>
    <row r="8478" spans="1:3">
      <c r="A8478" t="s">
        <v>125</v>
      </c>
      <c r="B8478">
        <v>178.36603541421701</v>
      </c>
      <c r="C8478" s="1">
        <v>45046</v>
      </c>
    </row>
    <row r="8479" spans="1:3">
      <c r="A8479" t="s">
        <v>127</v>
      </c>
      <c r="B8479">
        <v>7.0182539140047897</v>
      </c>
      <c r="C8479" s="1">
        <v>45046</v>
      </c>
    </row>
    <row r="8480" spans="1:3">
      <c r="A8480" t="s">
        <v>129</v>
      </c>
      <c r="B8480">
        <v>3.5200656320553998</v>
      </c>
      <c r="C8480" s="1">
        <v>45046</v>
      </c>
    </row>
    <row r="8481" spans="1:3">
      <c r="A8481" t="s">
        <v>131</v>
      </c>
      <c r="B8481">
        <v>1.9875572571300999</v>
      </c>
      <c r="C8481" s="1">
        <v>45046</v>
      </c>
    </row>
    <row r="8482" spans="1:3">
      <c r="A8482" t="s">
        <v>134</v>
      </c>
      <c r="B8482">
        <v>1.7496410747273401</v>
      </c>
      <c r="C8482" s="1">
        <v>45046</v>
      </c>
    </row>
    <row r="8483" spans="1:3">
      <c r="A8483" t="s">
        <v>136</v>
      </c>
      <c r="B8483">
        <v>12.1938880153317</v>
      </c>
      <c r="C8483" s="1">
        <v>45046</v>
      </c>
    </row>
    <row r="8484" spans="1:3">
      <c r="A8484" t="s">
        <v>138</v>
      </c>
      <c r="B8484">
        <v>13.7034251726457</v>
      </c>
      <c r="C8484" s="1">
        <v>45046</v>
      </c>
    </row>
    <row r="8485" spans="1:3">
      <c r="A8485" t="s">
        <v>140</v>
      </c>
      <c r="B8485">
        <v>14.621726943344999</v>
      </c>
      <c r="C8485" s="1">
        <v>45046</v>
      </c>
    </row>
    <row r="8486" spans="1:3">
      <c r="A8486" t="s">
        <v>142</v>
      </c>
      <c r="B8486">
        <v>5.5021535516589903</v>
      </c>
      <c r="C8486" s="1">
        <v>45046</v>
      </c>
    </row>
    <row r="8487" spans="1:3">
      <c r="A8487" t="s">
        <v>144</v>
      </c>
      <c r="B8487">
        <v>3.2230806043664399</v>
      </c>
      <c r="C8487" s="1">
        <v>45046</v>
      </c>
    </row>
    <row r="8488" spans="1:3">
      <c r="A8488" t="s">
        <v>146</v>
      </c>
      <c r="B8488">
        <v>2.2736036097660399</v>
      </c>
      <c r="C8488" s="1">
        <v>45046</v>
      </c>
    </row>
    <row r="8489" spans="1:3">
      <c r="A8489" t="s">
        <v>148</v>
      </c>
      <c r="B8489">
        <v>9.3684282491418394</v>
      </c>
      <c r="C8489" s="1">
        <v>45046</v>
      </c>
    </row>
    <row r="8490" spans="1:3">
      <c r="A8490" t="s">
        <v>150</v>
      </c>
      <c r="B8490">
        <v>3.7279004580623898</v>
      </c>
      <c r="C8490" s="1">
        <v>45046</v>
      </c>
    </row>
    <row r="8491" spans="1:3">
      <c r="A8491" t="s">
        <v>152</v>
      </c>
      <c r="B8491">
        <v>26.7674847884436</v>
      </c>
      <c r="C8491" s="1">
        <v>45046</v>
      </c>
    </row>
    <row r="8492" spans="1:3">
      <c r="A8492" t="s">
        <v>154</v>
      </c>
      <c r="B8492">
        <v>10.839680043770301</v>
      </c>
      <c r="C8492" s="1">
        <v>45046</v>
      </c>
    </row>
    <row r="8493" spans="1:3">
      <c r="A8493" t="s">
        <v>156</v>
      </c>
      <c r="B8493">
        <v>12.971627811599999</v>
      </c>
      <c r="C8493" s="1">
        <v>45046</v>
      </c>
    </row>
    <row r="8494" spans="1:3">
      <c r="A8494" t="s">
        <v>158</v>
      </c>
      <c r="B8494">
        <v>59.245504888305902</v>
      </c>
      <c r="C8494" s="1">
        <v>45046</v>
      </c>
    </row>
    <row r="8495" spans="1:3">
      <c r="A8495" t="s">
        <v>160</v>
      </c>
      <c r="B8495">
        <v>11.543036849678201</v>
      </c>
      <c r="C8495" s="1">
        <v>45046</v>
      </c>
    </row>
    <row r="8496" spans="1:3">
      <c r="A8496" t="s">
        <v>162</v>
      </c>
      <c r="B8496">
        <v>9.7212005196010995</v>
      </c>
      <c r="C8496" s="1">
        <v>45046</v>
      </c>
    </row>
    <row r="8497" spans="1:3">
      <c r="A8497" t="s">
        <v>164</v>
      </c>
      <c r="B8497">
        <v>15.5356532440232</v>
      </c>
      <c r="C8497" s="1">
        <v>45046</v>
      </c>
    </row>
    <row r="8498" spans="1:3">
      <c r="A8498" t="s">
        <v>166</v>
      </c>
      <c r="B8498">
        <v>4.9546728652563496</v>
      </c>
      <c r="C8498" s="1">
        <v>45046</v>
      </c>
    </row>
    <row r="8499" spans="1:3">
      <c r="A8499" t="s">
        <v>168</v>
      </c>
      <c r="B8499">
        <v>12.563068298370499</v>
      </c>
      <c r="C8499" s="1">
        <v>45046</v>
      </c>
    </row>
    <row r="8500" spans="1:3">
      <c r="A8500" t="s">
        <v>17</v>
      </c>
      <c r="B8500">
        <v>157.94814861451101</v>
      </c>
      <c r="C8500" s="1">
        <v>45077</v>
      </c>
    </row>
    <row r="8501" spans="1:3">
      <c r="A8501" t="s">
        <v>4</v>
      </c>
      <c r="B8501">
        <v>0.16955781240047901</v>
      </c>
      <c r="C8501" s="1">
        <v>45077</v>
      </c>
    </row>
    <row r="8502" spans="1:3">
      <c r="A8502" t="s">
        <v>8</v>
      </c>
      <c r="B8502">
        <v>15.3752602030292</v>
      </c>
      <c r="C8502" s="1">
        <v>45077</v>
      </c>
    </row>
    <row r="8503" spans="1:3">
      <c r="A8503" t="s">
        <v>11</v>
      </c>
      <c r="B8503">
        <v>31.802687188364999</v>
      </c>
      <c r="C8503" s="1">
        <v>45077</v>
      </c>
    </row>
    <row r="8504" spans="1:3">
      <c r="A8504" t="s">
        <v>14</v>
      </c>
      <c r="B8504">
        <v>5.0761370087393702</v>
      </c>
      <c r="C8504" s="1">
        <v>45077</v>
      </c>
    </row>
    <row r="8505" spans="1:3">
      <c r="A8505" t="s">
        <v>20</v>
      </c>
      <c r="B8505">
        <v>0.40370907714400001</v>
      </c>
      <c r="C8505" s="1">
        <v>45077</v>
      </c>
    </row>
    <row r="8506" spans="1:3">
      <c r="A8506" t="s">
        <v>24</v>
      </c>
      <c r="B8506">
        <v>0.38856998675109999</v>
      </c>
      <c r="C8506" s="1">
        <v>45077</v>
      </c>
    </row>
    <row r="8507" spans="1:3">
      <c r="A8507" t="s">
        <v>27</v>
      </c>
      <c r="B8507">
        <v>27.709077146124802</v>
      </c>
      <c r="C8507" s="1">
        <v>45077</v>
      </c>
    </row>
    <row r="8508" spans="1:3">
      <c r="A8508" t="s">
        <v>29</v>
      </c>
      <c r="B8508">
        <v>0.94366996782409995</v>
      </c>
      <c r="C8508" s="1">
        <v>45077</v>
      </c>
    </row>
    <row r="8509" spans="1:3">
      <c r="A8509" t="s">
        <v>32</v>
      </c>
      <c r="B8509">
        <v>5.5696713555479098</v>
      </c>
      <c r="C8509" s="1">
        <v>45077</v>
      </c>
    </row>
    <row r="8510" spans="1:3">
      <c r="A8510" t="s">
        <v>35</v>
      </c>
      <c r="B8510">
        <v>2.5736453667929999</v>
      </c>
      <c r="C8510" s="1">
        <v>45077</v>
      </c>
    </row>
    <row r="8511" spans="1:3">
      <c r="A8511" t="s">
        <v>37</v>
      </c>
      <c r="B8511">
        <v>0.18267835740766</v>
      </c>
      <c r="C8511" s="1">
        <v>45077</v>
      </c>
    </row>
    <row r="8512" spans="1:3">
      <c r="A8512" t="s">
        <v>39</v>
      </c>
      <c r="B8512">
        <v>1.2358544124070601</v>
      </c>
      <c r="C8512" s="1">
        <v>45077</v>
      </c>
    </row>
    <row r="8513" spans="1:3">
      <c r="A8513" t="s">
        <v>42</v>
      </c>
      <c r="B8513">
        <v>2.6594335456860998</v>
      </c>
      <c r="C8513" s="1">
        <v>45077</v>
      </c>
    </row>
    <row r="8514" spans="1:3">
      <c r="A8514" t="s">
        <v>44</v>
      </c>
      <c r="B8514">
        <v>8.0832649971157409</v>
      </c>
      <c r="C8514" s="1">
        <v>45077</v>
      </c>
    </row>
    <row r="8515" spans="1:3">
      <c r="A8515" t="s">
        <v>47</v>
      </c>
      <c r="B8515">
        <v>4.6027881157880302</v>
      </c>
      <c r="C8515" s="1">
        <v>45077</v>
      </c>
    </row>
    <row r="8516" spans="1:3">
      <c r="A8516" t="s">
        <v>49</v>
      </c>
      <c r="B8516">
        <v>5.3340061817651003</v>
      </c>
      <c r="C8516" s="1">
        <v>45077</v>
      </c>
    </row>
    <row r="8517" spans="1:3">
      <c r="A8517" t="s">
        <v>51</v>
      </c>
      <c r="B8517">
        <v>0.62574906957319998</v>
      </c>
      <c r="C8517" s="1">
        <v>45077</v>
      </c>
    </row>
    <row r="8518" spans="1:3">
      <c r="A8518" t="s">
        <v>53</v>
      </c>
      <c r="B8518">
        <v>0.46174225698345001</v>
      </c>
      <c r="C8518" s="1">
        <v>45077</v>
      </c>
    </row>
    <row r="8519" spans="1:3">
      <c r="A8519" t="s">
        <v>55</v>
      </c>
      <c r="B8519">
        <v>1.58809058221521</v>
      </c>
      <c r="C8519" s="1">
        <v>45077</v>
      </c>
    </row>
    <row r="8520" spans="1:3">
      <c r="A8520" t="s">
        <v>57</v>
      </c>
      <c r="B8520">
        <v>1.3796757711396199</v>
      </c>
      <c r="C8520" s="1">
        <v>45077</v>
      </c>
    </row>
    <row r="8521" spans="1:3">
      <c r="A8521" t="s">
        <v>59</v>
      </c>
      <c r="B8521">
        <v>2.01854538572</v>
      </c>
      <c r="C8521" s="1">
        <v>45077</v>
      </c>
    </row>
    <row r="8522" spans="1:3">
      <c r="A8522" t="s">
        <v>61</v>
      </c>
      <c r="B8522">
        <v>68.125906768050001</v>
      </c>
      <c r="C8522" s="1">
        <v>45077</v>
      </c>
    </row>
    <row r="8523" spans="1:3">
      <c r="A8523" t="s">
        <v>63</v>
      </c>
      <c r="B8523">
        <v>7.1829937550846203</v>
      </c>
      <c r="C8523" s="1">
        <v>45077</v>
      </c>
    </row>
    <row r="8524" spans="1:3">
      <c r="A8524" t="s">
        <v>65</v>
      </c>
      <c r="B8524">
        <v>0.15744654008615999</v>
      </c>
      <c r="C8524" s="1">
        <v>45077</v>
      </c>
    </row>
    <row r="8525" spans="1:3">
      <c r="A8525" t="s">
        <v>67</v>
      </c>
      <c r="B8525">
        <v>6.6828991357724901</v>
      </c>
      <c r="C8525" s="1">
        <v>45077</v>
      </c>
    </row>
    <row r="8526" spans="1:3">
      <c r="A8526" t="s">
        <v>69</v>
      </c>
      <c r="B8526">
        <v>2.40459219073895</v>
      </c>
      <c r="C8526" s="1">
        <v>45077</v>
      </c>
    </row>
    <row r="8527" spans="1:3">
      <c r="A8527" t="s">
        <v>71</v>
      </c>
      <c r="B8527">
        <v>0.87352551567032999</v>
      </c>
      <c r="C8527" s="1">
        <v>45077</v>
      </c>
    </row>
    <row r="8528" spans="1:3">
      <c r="A8528" t="s">
        <v>73</v>
      </c>
      <c r="B8528">
        <v>0.69236106730196001</v>
      </c>
      <c r="C8528" s="1">
        <v>45077</v>
      </c>
    </row>
    <row r="8529" spans="1:3">
      <c r="A8529" t="s">
        <v>75</v>
      </c>
      <c r="B8529">
        <v>9.1339178703830001E-2</v>
      </c>
      <c r="C8529" s="1">
        <v>45077</v>
      </c>
    </row>
    <row r="8530" spans="1:3">
      <c r="A8530" t="s">
        <v>77</v>
      </c>
      <c r="B8530">
        <v>0.58991988897667003</v>
      </c>
      <c r="C8530" s="1">
        <v>45077</v>
      </c>
    </row>
    <row r="8531" spans="1:3">
      <c r="A8531" t="s">
        <v>79</v>
      </c>
      <c r="B8531">
        <v>3.1085598940088</v>
      </c>
      <c r="C8531" s="1">
        <v>45077</v>
      </c>
    </row>
    <row r="8532" spans="1:3">
      <c r="A8532" t="s">
        <v>81</v>
      </c>
      <c r="B8532">
        <v>4.8051472907064596</v>
      </c>
      <c r="C8532" s="1">
        <v>45077</v>
      </c>
    </row>
    <row r="8533" spans="1:3">
      <c r="A8533" t="s">
        <v>83</v>
      </c>
      <c r="B8533">
        <v>0.11202926890746</v>
      </c>
      <c r="C8533" s="1">
        <v>45077</v>
      </c>
    </row>
    <row r="8534" spans="1:3">
      <c r="A8534" t="s">
        <v>85</v>
      </c>
      <c r="B8534">
        <v>1.52299249352574</v>
      </c>
      <c r="C8534" s="1">
        <v>45077</v>
      </c>
    </row>
    <row r="8535" spans="1:3">
      <c r="A8535" t="s">
        <v>87</v>
      </c>
      <c r="B8535">
        <v>8.6565318866602201</v>
      </c>
      <c r="C8535" s="1">
        <v>45077</v>
      </c>
    </row>
    <row r="8536" spans="1:3">
      <c r="A8536" t="s">
        <v>89</v>
      </c>
      <c r="B8536">
        <v>10.397527281843701</v>
      </c>
      <c r="C8536" s="1">
        <v>45077</v>
      </c>
    </row>
    <row r="8537" spans="1:3">
      <c r="A8537" t="s">
        <v>91</v>
      </c>
      <c r="B8537">
        <v>13.1457768245015</v>
      </c>
      <c r="C8537" s="1">
        <v>45077</v>
      </c>
    </row>
    <row r="8538" spans="1:3">
      <c r="A8538" t="s">
        <v>93</v>
      </c>
      <c r="B8538">
        <v>8.2180029016125502</v>
      </c>
      <c r="C8538" s="1">
        <v>45077</v>
      </c>
    </row>
    <row r="8539" spans="1:3">
      <c r="A8539" t="s">
        <v>95</v>
      </c>
      <c r="B8539">
        <v>0.45568662082628902</v>
      </c>
      <c r="C8539" s="1">
        <v>45077</v>
      </c>
    </row>
    <row r="8540" spans="1:3">
      <c r="A8540" t="s">
        <v>97</v>
      </c>
      <c r="B8540">
        <v>2.8875291742724598</v>
      </c>
      <c r="C8540" s="1">
        <v>45077</v>
      </c>
    </row>
    <row r="8541" spans="1:3">
      <c r="A8541" t="s">
        <v>99</v>
      </c>
      <c r="B8541">
        <v>3.6500346937281898</v>
      </c>
      <c r="C8541" s="1">
        <v>45077</v>
      </c>
    </row>
    <row r="8542" spans="1:3">
      <c r="A8542" t="s">
        <v>101</v>
      </c>
      <c r="B8542">
        <v>7.5821611051107496</v>
      </c>
      <c r="C8542" s="1">
        <v>45077</v>
      </c>
    </row>
    <row r="8543" spans="1:3">
      <c r="A8543" t="s">
        <v>103</v>
      </c>
      <c r="B8543">
        <v>0.47940452910850001</v>
      </c>
      <c r="C8543" s="1">
        <v>45077</v>
      </c>
    </row>
    <row r="8544" spans="1:3">
      <c r="A8544" t="s">
        <v>105</v>
      </c>
      <c r="B8544">
        <v>0.11354317794675001</v>
      </c>
      <c r="C8544" s="1">
        <v>45077</v>
      </c>
    </row>
    <row r="8545" spans="1:3">
      <c r="A8545" t="s">
        <v>107</v>
      </c>
      <c r="B8545">
        <v>1.8752286633338799</v>
      </c>
      <c r="C8545" s="1">
        <v>45077</v>
      </c>
    </row>
    <row r="8546" spans="1:3">
      <c r="A8546" t="s">
        <v>109</v>
      </c>
      <c r="B8546">
        <v>4.7239008389312298</v>
      </c>
      <c r="C8546" s="1">
        <v>45077</v>
      </c>
    </row>
    <row r="8547" spans="1:3">
      <c r="A8547" t="s">
        <v>111</v>
      </c>
      <c r="B8547">
        <v>4.2424777644370097</v>
      </c>
      <c r="C8547" s="1">
        <v>45077</v>
      </c>
    </row>
    <row r="8548" spans="1:3">
      <c r="A8548" t="s">
        <v>113</v>
      </c>
      <c r="B8548">
        <v>4.2298618557762504</v>
      </c>
      <c r="C8548" s="1">
        <v>45077</v>
      </c>
    </row>
    <row r="8549" spans="1:3">
      <c r="A8549" t="s">
        <v>115</v>
      </c>
      <c r="B8549">
        <v>3.0025862612585001</v>
      </c>
      <c r="C8549" s="1">
        <v>45077</v>
      </c>
    </row>
    <row r="8550" spans="1:3">
      <c r="A8550" t="s">
        <v>117</v>
      </c>
      <c r="B8550">
        <v>1.59616476375809</v>
      </c>
      <c r="C8550" s="1">
        <v>45077</v>
      </c>
    </row>
    <row r="8551" spans="1:3">
      <c r="A8551" t="s">
        <v>119</v>
      </c>
      <c r="B8551">
        <v>21.878508799472598</v>
      </c>
      <c r="C8551" s="1">
        <v>45077</v>
      </c>
    </row>
    <row r="8552" spans="1:3">
      <c r="A8552" t="s">
        <v>121</v>
      </c>
      <c r="B8552">
        <v>6.6218381378544597</v>
      </c>
      <c r="C8552" s="1">
        <v>45077</v>
      </c>
    </row>
    <row r="8553" spans="1:3">
      <c r="A8553" t="s">
        <v>123</v>
      </c>
      <c r="B8553">
        <v>2.6190626379716999</v>
      </c>
      <c r="C8553" s="1">
        <v>45077</v>
      </c>
    </row>
    <row r="8554" spans="1:3">
      <c r="A8554" t="s">
        <v>125</v>
      </c>
      <c r="B8554">
        <v>150.22216615066799</v>
      </c>
      <c r="C8554" s="1">
        <v>45077</v>
      </c>
    </row>
    <row r="8555" spans="1:3">
      <c r="A8555" t="s">
        <v>127</v>
      </c>
      <c r="B8555">
        <v>6.1550495174067104</v>
      </c>
      <c r="C8555" s="1">
        <v>45077</v>
      </c>
    </row>
    <row r="8556" spans="1:3">
      <c r="A8556" t="s">
        <v>129</v>
      </c>
      <c r="B8556">
        <v>3.0414432599336099</v>
      </c>
      <c r="C8556" s="1">
        <v>45077</v>
      </c>
    </row>
    <row r="8557" spans="1:3">
      <c r="A8557" t="s">
        <v>131</v>
      </c>
      <c r="B8557">
        <v>1.91913202547329</v>
      </c>
      <c r="C8557" s="1">
        <v>45077</v>
      </c>
    </row>
    <row r="8558" spans="1:3">
      <c r="A8558" t="s">
        <v>134</v>
      </c>
      <c r="B8558">
        <v>1.53964549295793</v>
      </c>
      <c r="C8558" s="1">
        <v>45077</v>
      </c>
    </row>
    <row r="8559" spans="1:3">
      <c r="A8559" t="s">
        <v>136</v>
      </c>
      <c r="B8559">
        <v>9.8505014823136001</v>
      </c>
      <c r="C8559" s="1">
        <v>45077</v>
      </c>
    </row>
    <row r="8560" spans="1:3">
      <c r="A8560" t="s">
        <v>138</v>
      </c>
      <c r="B8560">
        <v>12.001261590798199</v>
      </c>
      <c r="C8560" s="1">
        <v>45077</v>
      </c>
    </row>
    <row r="8561" spans="1:3">
      <c r="A8561" t="s">
        <v>140</v>
      </c>
      <c r="B8561">
        <v>11.833722323783499</v>
      </c>
      <c r="C8561" s="1">
        <v>45077</v>
      </c>
    </row>
    <row r="8562" spans="1:3">
      <c r="A8562" t="s">
        <v>142</v>
      </c>
      <c r="B8562">
        <v>5.0130574654356197</v>
      </c>
      <c r="C8562" s="1">
        <v>45077</v>
      </c>
    </row>
    <row r="8563" spans="1:3">
      <c r="A8563" t="s">
        <v>144</v>
      </c>
      <c r="B8563">
        <v>2.8305052671258699</v>
      </c>
      <c r="C8563" s="1">
        <v>45077</v>
      </c>
    </row>
    <row r="8564" spans="1:3">
      <c r="A8564" t="s">
        <v>146</v>
      </c>
      <c r="B8564">
        <v>2.2022330158205201</v>
      </c>
      <c r="C8564" s="1">
        <v>45077</v>
      </c>
    </row>
    <row r="8565" spans="1:3">
      <c r="A8565" t="s">
        <v>148</v>
      </c>
      <c r="B8565">
        <v>7.6472591938002097</v>
      </c>
      <c r="C8565" s="1">
        <v>45077</v>
      </c>
    </row>
    <row r="8566" spans="1:3">
      <c r="A8566" t="s">
        <v>150</v>
      </c>
      <c r="B8566">
        <v>3.1393427111410301</v>
      </c>
      <c r="C8566" s="1">
        <v>45077</v>
      </c>
    </row>
    <row r="8567" spans="1:3">
      <c r="A8567" t="s">
        <v>152</v>
      </c>
      <c r="B8567">
        <v>24.368889169104602</v>
      </c>
      <c r="C8567" s="1">
        <v>45077</v>
      </c>
    </row>
    <row r="8568" spans="1:3">
      <c r="A8568" t="s">
        <v>154</v>
      </c>
      <c r="B8568">
        <v>7.5867028322286201</v>
      </c>
      <c r="C8568" s="1">
        <v>45077</v>
      </c>
    </row>
    <row r="8569" spans="1:3">
      <c r="A8569" t="s">
        <v>156</v>
      </c>
      <c r="B8569">
        <v>11.6581088752258</v>
      </c>
      <c r="C8569" s="1">
        <v>45077</v>
      </c>
    </row>
    <row r="8570" spans="1:3">
      <c r="A8570" t="s">
        <v>158</v>
      </c>
      <c r="B8570">
        <v>57.314073045787197</v>
      </c>
      <c r="C8570" s="1">
        <v>45077</v>
      </c>
    </row>
    <row r="8571" spans="1:3">
      <c r="A8571" t="s">
        <v>160</v>
      </c>
      <c r="B8571">
        <v>10.505014823633299</v>
      </c>
      <c r="C8571" s="1">
        <v>45077</v>
      </c>
    </row>
    <row r="8572" spans="1:3">
      <c r="A8572" t="s">
        <v>162</v>
      </c>
      <c r="B8572">
        <v>7.99243045475834</v>
      </c>
      <c r="C8572" s="1">
        <v>45077</v>
      </c>
    </row>
    <row r="8573" spans="1:3">
      <c r="A8573" t="s">
        <v>164</v>
      </c>
      <c r="B8573">
        <v>15.214785844864499</v>
      </c>
      <c r="C8573" s="1">
        <v>45077</v>
      </c>
    </row>
    <row r="8574" spans="1:3">
      <c r="A8574" t="s">
        <v>166</v>
      </c>
      <c r="B8574">
        <v>4.1995836749904596</v>
      </c>
      <c r="C8574" s="1">
        <v>45077</v>
      </c>
    </row>
    <row r="8575" spans="1:3">
      <c r="A8575" t="s">
        <v>168</v>
      </c>
      <c r="B8575">
        <v>10.408124645118701</v>
      </c>
      <c r="C8575" s="1">
        <v>45077</v>
      </c>
    </row>
    <row r="8576" spans="1:3">
      <c r="A8576" t="s">
        <v>17</v>
      </c>
      <c r="B8576">
        <v>169.68278965247299</v>
      </c>
      <c r="C8576" s="1">
        <v>45107</v>
      </c>
    </row>
    <row r="8577" spans="1:3">
      <c r="A8577" t="s">
        <v>4</v>
      </c>
      <c r="B8577">
        <v>0.16039171574253</v>
      </c>
      <c r="C8577" s="1">
        <v>45107</v>
      </c>
    </row>
    <row r="8578" spans="1:3">
      <c r="A8578" t="s">
        <v>8</v>
      </c>
      <c r="B8578">
        <v>15.2716204593135</v>
      </c>
      <c r="C8578" s="1">
        <v>45107</v>
      </c>
    </row>
    <row r="8579" spans="1:3">
      <c r="A8579" t="s">
        <v>11</v>
      </c>
      <c r="B8579">
        <v>33.137034341525997</v>
      </c>
      <c r="C8579" s="1">
        <v>45107</v>
      </c>
    </row>
    <row r="8580" spans="1:3">
      <c r="A8580" t="s">
        <v>14</v>
      </c>
      <c r="B8580">
        <v>5.6364719116384796</v>
      </c>
      <c r="C8580" s="1">
        <v>45107</v>
      </c>
    </row>
    <row r="8581" spans="1:3">
      <c r="A8581" t="s">
        <v>20</v>
      </c>
      <c r="B8581">
        <v>0.44782637464746</v>
      </c>
      <c r="C8581" s="1">
        <v>45107</v>
      </c>
    </row>
    <row r="8582" spans="1:3">
      <c r="A8582" t="s">
        <v>24</v>
      </c>
      <c r="B8582">
        <v>0.45788394098114998</v>
      </c>
      <c r="C8582" s="1">
        <v>45107</v>
      </c>
    </row>
    <row r="8583" spans="1:3">
      <c r="A8583" t="s">
        <v>27</v>
      </c>
      <c r="B8583">
        <v>28.437504135710199</v>
      </c>
      <c r="C8583" s="1">
        <v>45107</v>
      </c>
    </row>
    <row r="8584" spans="1:3">
      <c r="A8584" t="s">
        <v>29</v>
      </c>
      <c r="B8584">
        <v>1.0878052008280501</v>
      </c>
      <c r="C8584" s="1">
        <v>45107</v>
      </c>
    </row>
    <row r="8585" spans="1:3">
      <c r="A8585" t="s">
        <v>32</v>
      </c>
      <c r="B8585">
        <v>6.2039303910971997</v>
      </c>
      <c r="C8585" s="1">
        <v>45107</v>
      </c>
    </row>
    <row r="8586" spans="1:3">
      <c r="A8586" t="s">
        <v>35</v>
      </c>
      <c r="B8586">
        <v>2.9802157083513001</v>
      </c>
      <c r="C8586" s="1">
        <v>45107</v>
      </c>
    </row>
    <row r="8587" spans="1:3">
      <c r="A8587" t="s">
        <v>37</v>
      </c>
      <c r="B8587">
        <v>0.18474161318199001</v>
      </c>
      <c r="C8587" s="1">
        <v>45107</v>
      </c>
    </row>
    <row r="8588" spans="1:3">
      <c r="A8588" t="s">
        <v>39</v>
      </c>
      <c r="B8588">
        <v>1.37682789652251</v>
      </c>
      <c r="C8588" s="1">
        <v>45107</v>
      </c>
    </row>
    <row r="8589" spans="1:3">
      <c r="A8589" t="s">
        <v>42</v>
      </c>
      <c r="B8589">
        <v>3.23694832265865</v>
      </c>
      <c r="C8589" s="1">
        <v>45107</v>
      </c>
    </row>
    <row r="8590" spans="1:3">
      <c r="A8590" t="s">
        <v>44</v>
      </c>
      <c r="B8590">
        <v>8.6955601138697691</v>
      </c>
      <c r="C8590" s="1">
        <v>45107</v>
      </c>
    </row>
    <row r="8591" spans="1:3">
      <c r="A8591" t="s">
        <v>47</v>
      </c>
      <c r="B8591">
        <v>4.8170449282409997</v>
      </c>
      <c r="C8591" s="1">
        <v>45107</v>
      </c>
    </row>
    <row r="8592" spans="1:3">
      <c r="A8592" t="s">
        <v>49</v>
      </c>
      <c r="B8592">
        <v>5.5581287633549996</v>
      </c>
      <c r="C8592" s="1">
        <v>45107</v>
      </c>
    </row>
    <row r="8593" spans="1:3">
      <c r="A8593" t="s">
        <v>51</v>
      </c>
      <c r="B8593">
        <v>0.66379937802353906</v>
      </c>
      <c r="C8593" s="1">
        <v>45107</v>
      </c>
    </row>
    <row r="8594" spans="1:3">
      <c r="A8594" t="s">
        <v>53</v>
      </c>
      <c r="B8594">
        <v>0.46476543373578</v>
      </c>
      <c r="C8594" s="1">
        <v>45107</v>
      </c>
    </row>
    <row r="8595" spans="1:3">
      <c r="A8595" t="s">
        <v>55</v>
      </c>
      <c r="B8595">
        <v>1.7304307549911899</v>
      </c>
      <c r="C8595" s="1">
        <v>45107</v>
      </c>
    </row>
    <row r="8596" spans="1:3">
      <c r="A8596" t="s">
        <v>57</v>
      </c>
      <c r="B8596">
        <v>1.6774961953401899</v>
      </c>
      <c r="C8596" s="1">
        <v>45107</v>
      </c>
    </row>
    <row r="8597" spans="1:3">
      <c r="A8597" t="s">
        <v>59</v>
      </c>
      <c r="B8597">
        <v>2.2396612188338101</v>
      </c>
      <c r="C8597" s="1">
        <v>45107</v>
      </c>
    </row>
    <row r="8598" spans="1:3">
      <c r="A8598" t="s">
        <v>61</v>
      </c>
      <c r="B8598">
        <v>82.992390657627297</v>
      </c>
      <c r="C8598" s="1">
        <v>45107</v>
      </c>
    </row>
    <row r="8599" spans="1:3">
      <c r="A8599" t="s">
        <v>63</v>
      </c>
      <c r="B8599">
        <v>8.11169192091924</v>
      </c>
      <c r="C8599" s="1">
        <v>45107</v>
      </c>
    </row>
    <row r="8600" spans="1:3">
      <c r="A8600" t="s">
        <v>65</v>
      </c>
      <c r="B8600">
        <v>0.17415470125179</v>
      </c>
      <c r="C8600" s="1">
        <v>45107</v>
      </c>
    </row>
    <row r="8601" spans="1:3">
      <c r="A8601" t="s">
        <v>67</v>
      </c>
      <c r="B8601">
        <v>7.7205055250983499</v>
      </c>
      <c r="C8601" s="1">
        <v>45107</v>
      </c>
    </row>
    <row r="8602" spans="1:3">
      <c r="A8602" t="s">
        <v>69</v>
      </c>
      <c r="B8602">
        <v>2.9960960762465998</v>
      </c>
      <c r="C8602" s="1">
        <v>45107</v>
      </c>
    </row>
    <row r="8603" spans="1:3">
      <c r="A8603" t="s">
        <v>71</v>
      </c>
      <c r="B8603">
        <v>0.97399589757839999</v>
      </c>
      <c r="C8603" s="1">
        <v>45107</v>
      </c>
    </row>
    <row r="8604" spans="1:3">
      <c r="A8604" t="s">
        <v>73</v>
      </c>
      <c r="B8604">
        <v>0.76278700457090998</v>
      </c>
      <c r="C8604" s="1">
        <v>45107</v>
      </c>
    </row>
    <row r="8605" spans="1:3">
      <c r="A8605" t="s">
        <v>75</v>
      </c>
      <c r="B8605">
        <v>0.10004631774039</v>
      </c>
      <c r="C8605" s="1">
        <v>45107</v>
      </c>
    </row>
    <row r="8606" spans="1:3">
      <c r="A8606" t="s">
        <v>77</v>
      </c>
      <c r="B8606">
        <v>0.61721696553065997</v>
      </c>
      <c r="C8606" s="1">
        <v>45107</v>
      </c>
    </row>
    <row r="8607" spans="1:3">
      <c r="A8607" t="s">
        <v>79</v>
      </c>
      <c r="B8607">
        <v>3.3348772580129999</v>
      </c>
      <c r="C8607" s="1">
        <v>45107</v>
      </c>
    </row>
    <row r="8608" spans="1:3">
      <c r="A8608" t="s">
        <v>81</v>
      </c>
      <c r="B8608">
        <v>5.53060279233648</v>
      </c>
      <c r="C8608" s="1">
        <v>45107</v>
      </c>
    </row>
    <row r="8609" spans="1:3">
      <c r="A8609" t="s">
        <v>83</v>
      </c>
      <c r="B8609">
        <v>0.14292331105770001</v>
      </c>
      <c r="C8609" s="1">
        <v>45107</v>
      </c>
    </row>
    <row r="8610" spans="1:3">
      <c r="A8610" t="s">
        <v>85</v>
      </c>
      <c r="B8610">
        <v>1.62562032688221</v>
      </c>
      <c r="C8610" s="1">
        <v>45107</v>
      </c>
    </row>
    <row r="8611" spans="1:3">
      <c r="A8611" t="s">
        <v>87</v>
      </c>
      <c r="B8611">
        <v>9.7198438431166192</v>
      </c>
      <c r="C8611" s="1">
        <v>45107</v>
      </c>
    </row>
    <row r="8612" spans="1:3">
      <c r="A8612" t="s">
        <v>89</v>
      </c>
      <c r="B8612">
        <v>11.871104347333199</v>
      </c>
      <c r="C8612" s="1">
        <v>45107</v>
      </c>
    </row>
    <row r="8613" spans="1:3">
      <c r="A8613" t="s">
        <v>91</v>
      </c>
      <c r="B8613">
        <v>15.298087739139</v>
      </c>
      <c r="C8613" s="1">
        <v>45107</v>
      </c>
    </row>
    <row r="8614" spans="1:3">
      <c r="A8614" t="s">
        <v>93</v>
      </c>
      <c r="B8614">
        <v>8.8930060213680004</v>
      </c>
      <c r="C8614" s="1">
        <v>45107</v>
      </c>
    </row>
    <row r="8615" spans="1:3">
      <c r="A8615" t="s">
        <v>95</v>
      </c>
      <c r="B8615">
        <v>0.50658373586006999</v>
      </c>
      <c r="C8615" s="1">
        <v>45107</v>
      </c>
    </row>
    <row r="8616" spans="1:3">
      <c r="A8616" t="s">
        <v>97</v>
      </c>
      <c r="B8616">
        <v>3.1834844174111399</v>
      </c>
      <c r="C8616" s="1">
        <v>45107</v>
      </c>
    </row>
    <row r="8617" spans="1:3">
      <c r="A8617" t="s">
        <v>99</v>
      </c>
      <c r="B8617">
        <v>3.7318864553954998</v>
      </c>
      <c r="C8617" s="1">
        <v>45107</v>
      </c>
    </row>
    <row r="8618" spans="1:3">
      <c r="A8618" t="s">
        <v>101</v>
      </c>
      <c r="B8618">
        <v>8.2577913055559993</v>
      </c>
      <c r="C8618" s="1">
        <v>45107</v>
      </c>
    </row>
    <row r="8619" spans="1:3">
      <c r="A8619" t="s">
        <v>103</v>
      </c>
      <c r="B8619">
        <v>0.52934559651000002</v>
      </c>
      <c r="C8619" s="1">
        <v>45107</v>
      </c>
    </row>
    <row r="8620" spans="1:3">
      <c r="A8620" t="s">
        <v>105</v>
      </c>
      <c r="B8620">
        <v>0.14345265665421</v>
      </c>
      <c r="C8620" s="1">
        <v>45107</v>
      </c>
    </row>
    <row r="8621" spans="1:3">
      <c r="A8621" t="s">
        <v>107</v>
      </c>
      <c r="B8621">
        <v>1.81512605043279</v>
      </c>
      <c r="C8621" s="1">
        <v>45107</v>
      </c>
    </row>
    <row r="8622" spans="1:3">
      <c r="A8622" t="s">
        <v>109</v>
      </c>
      <c r="B8622">
        <v>4.1950638523417503</v>
      </c>
      <c r="C8622" s="1">
        <v>45107</v>
      </c>
    </row>
    <row r="8623" spans="1:3">
      <c r="A8623" t="s">
        <v>111</v>
      </c>
      <c r="B8623">
        <v>4.7958711043806002</v>
      </c>
      <c r="C8623" s="1">
        <v>45107</v>
      </c>
    </row>
    <row r="8624" spans="1:3">
      <c r="A8624" t="s">
        <v>113</v>
      </c>
      <c r="B8624">
        <v>4.9769072983870197</v>
      </c>
      <c r="C8624" s="1">
        <v>45107</v>
      </c>
    </row>
    <row r="8625" spans="1:3">
      <c r="A8625" t="s">
        <v>115</v>
      </c>
      <c r="B8625">
        <v>3.77688083109885</v>
      </c>
      <c r="C8625" s="1">
        <v>45107</v>
      </c>
    </row>
    <row r="8626" spans="1:3">
      <c r="A8626" t="s">
        <v>117</v>
      </c>
      <c r="B8626">
        <v>2.0580956792308802</v>
      </c>
      <c r="C8626" s="1">
        <v>45107</v>
      </c>
    </row>
    <row r="8627" spans="1:3">
      <c r="A8627" t="s">
        <v>119</v>
      </c>
      <c r="B8627">
        <v>23.425660027953501</v>
      </c>
      <c r="C8627" s="1">
        <v>45107</v>
      </c>
    </row>
    <row r="8628" spans="1:3">
      <c r="A8628" t="s">
        <v>121</v>
      </c>
      <c r="B8628">
        <v>7.7840269966795503</v>
      </c>
      <c r="C8628" s="1">
        <v>45107</v>
      </c>
    </row>
    <row r="8629" spans="1:3">
      <c r="A8629" t="s">
        <v>123</v>
      </c>
      <c r="B8629">
        <v>3.0887315556358499</v>
      </c>
      <c r="C8629" s="1">
        <v>45107</v>
      </c>
    </row>
    <row r="8630" spans="1:3">
      <c r="A8630" t="s">
        <v>125</v>
      </c>
      <c r="B8630">
        <v>179.92456825374899</v>
      </c>
      <c r="C8630" s="1">
        <v>45107</v>
      </c>
    </row>
    <row r="8631" spans="1:3">
      <c r="A8631" t="s">
        <v>127</v>
      </c>
      <c r="B8631">
        <v>7.3129094157856498</v>
      </c>
      <c r="C8631" s="1">
        <v>45107</v>
      </c>
    </row>
    <row r="8632" spans="1:3">
      <c r="A8632" t="s">
        <v>129</v>
      </c>
      <c r="B8632">
        <v>3.6260173360935002</v>
      </c>
      <c r="C8632" s="1">
        <v>45107</v>
      </c>
    </row>
    <row r="8633" spans="1:3">
      <c r="A8633" t="s">
        <v>131</v>
      </c>
      <c r="B8633">
        <v>2.0644478263889998</v>
      </c>
      <c r="C8633" s="1">
        <v>45107</v>
      </c>
    </row>
    <row r="8634" spans="1:3">
      <c r="A8634" t="s">
        <v>134</v>
      </c>
      <c r="B8634">
        <v>1.70078740158663</v>
      </c>
      <c r="C8634" s="1">
        <v>45107</v>
      </c>
    </row>
    <row r="8635" spans="1:3">
      <c r="A8635" t="s">
        <v>136</v>
      </c>
      <c r="B8635">
        <v>11.9420366572656</v>
      </c>
      <c r="C8635" s="1">
        <v>45107</v>
      </c>
    </row>
    <row r="8636" spans="1:3">
      <c r="A8636" t="s">
        <v>138</v>
      </c>
      <c r="B8636">
        <v>13.849268841491099</v>
      </c>
      <c r="C8636" s="1">
        <v>45107</v>
      </c>
    </row>
    <row r="8637" spans="1:3">
      <c r="A8637" t="s">
        <v>140</v>
      </c>
      <c r="B8637">
        <v>13.8312710912097</v>
      </c>
      <c r="C8637" s="1">
        <v>45107</v>
      </c>
    </row>
    <row r="8638" spans="1:3">
      <c r="A8638" t="s">
        <v>142</v>
      </c>
      <c r="B8638">
        <v>5.61212201419902</v>
      </c>
      <c r="C8638" s="1">
        <v>45107</v>
      </c>
    </row>
    <row r="8639" spans="1:3">
      <c r="A8639" t="s">
        <v>144</v>
      </c>
      <c r="B8639">
        <v>3.1146694898648399</v>
      </c>
      <c r="C8639" s="1">
        <v>45107</v>
      </c>
    </row>
    <row r="8640" spans="1:3">
      <c r="A8640" t="s">
        <v>146</v>
      </c>
      <c r="B8640">
        <v>2.0649771719855101</v>
      </c>
      <c r="C8640" s="1">
        <v>45107</v>
      </c>
    </row>
    <row r="8641" spans="1:3">
      <c r="A8641" t="s">
        <v>148</v>
      </c>
      <c r="B8641">
        <v>9.3985310660350496</v>
      </c>
      <c r="C8641" s="1">
        <v>45107</v>
      </c>
    </row>
    <row r="8642" spans="1:3">
      <c r="A8642" t="s">
        <v>150</v>
      </c>
      <c r="B8642">
        <v>3.6043141666365899</v>
      </c>
      <c r="C8642" s="1">
        <v>45107</v>
      </c>
    </row>
    <row r="8643" spans="1:3">
      <c r="A8643" t="s">
        <v>152</v>
      </c>
      <c r="B8643">
        <v>21.056309137974701</v>
      </c>
      <c r="C8643" s="1">
        <v>45107</v>
      </c>
    </row>
    <row r="8644" spans="1:3">
      <c r="A8644" t="s">
        <v>154</v>
      </c>
      <c r="B8644">
        <v>8.8522464104367202</v>
      </c>
      <c r="C8644" s="1">
        <v>45107</v>
      </c>
    </row>
    <row r="8645" spans="1:3">
      <c r="A8645" t="s">
        <v>156</v>
      </c>
      <c r="B8645">
        <v>12.347515384192199</v>
      </c>
      <c r="C8645" s="1">
        <v>45107</v>
      </c>
    </row>
    <row r="8646" spans="1:3">
      <c r="A8646" t="s">
        <v>158</v>
      </c>
      <c r="B8646">
        <v>45.0605439029137</v>
      </c>
      <c r="C8646" s="1">
        <v>45107</v>
      </c>
    </row>
    <row r="8647" spans="1:3">
      <c r="A8647" t="s">
        <v>160</v>
      </c>
      <c r="B8647">
        <v>12.0997816450255</v>
      </c>
      <c r="C8647" s="1">
        <v>45107</v>
      </c>
    </row>
    <row r="8648" spans="1:3">
      <c r="A8648" t="s">
        <v>162</v>
      </c>
      <c r="B8648">
        <v>6.6337590154633199</v>
      </c>
      <c r="C8648" s="1">
        <v>45107</v>
      </c>
    </row>
    <row r="8649" spans="1:3">
      <c r="A8649" t="s">
        <v>164</v>
      </c>
      <c r="B8649">
        <v>13.8497981870876</v>
      </c>
      <c r="C8649" s="1">
        <v>45107</v>
      </c>
    </row>
    <row r="8650" spans="1:3">
      <c r="A8650" t="s">
        <v>166</v>
      </c>
      <c r="B8650">
        <v>4.5253755045639901</v>
      </c>
      <c r="C8650" s="1">
        <v>45107</v>
      </c>
    </row>
    <row r="8651" spans="1:3">
      <c r="A8651" t="s">
        <v>168</v>
      </c>
      <c r="B8651">
        <v>10.534506716145501</v>
      </c>
      <c r="C8651" s="1">
        <v>45107</v>
      </c>
    </row>
    <row r="8652" spans="1:3">
      <c r="A8652" t="s">
        <v>17</v>
      </c>
      <c r="B8652">
        <v>162.058620933382</v>
      </c>
      <c r="C8652" s="1">
        <v>45138</v>
      </c>
    </row>
    <row r="8653" spans="1:3">
      <c r="A8653" t="s">
        <v>4</v>
      </c>
      <c r="B8653">
        <v>0.18612497364322</v>
      </c>
      <c r="C8653" s="1">
        <v>45138</v>
      </c>
    </row>
    <row r="8654" spans="1:3">
      <c r="A8654" t="s">
        <v>8</v>
      </c>
      <c r="B8654">
        <v>17.5643494764943</v>
      </c>
      <c r="C8654" s="1">
        <v>45138</v>
      </c>
    </row>
    <row r="8655" spans="1:3">
      <c r="A8655" t="s">
        <v>11</v>
      </c>
      <c r="B8655">
        <v>33.729668939622002</v>
      </c>
      <c r="C8655" s="1">
        <v>45138</v>
      </c>
    </row>
    <row r="8656" spans="1:3">
      <c r="A8656" t="s">
        <v>14</v>
      </c>
      <c r="B8656">
        <v>6.2978843045439996</v>
      </c>
      <c r="C8656" s="1">
        <v>45138</v>
      </c>
    </row>
    <row r="8657" spans="1:3">
      <c r="A8657" t="s">
        <v>20</v>
      </c>
      <c r="B8657">
        <v>0.48077598932010002</v>
      </c>
      <c r="C8657" s="1">
        <v>45138</v>
      </c>
    </row>
    <row r="8658" spans="1:3">
      <c r="A8658" t="s">
        <v>24</v>
      </c>
      <c r="B8658">
        <v>0.48527447810905999</v>
      </c>
      <c r="C8658" s="1">
        <v>45138</v>
      </c>
    </row>
    <row r="8659" spans="1:3">
      <c r="A8659" t="s">
        <v>27</v>
      </c>
      <c r="B8659">
        <v>30.840514514912499</v>
      </c>
      <c r="C8659" s="1">
        <v>45138</v>
      </c>
    </row>
    <row r="8660" spans="1:3">
      <c r="A8660" t="s">
        <v>29</v>
      </c>
      <c r="B8660">
        <v>1.1712940184254499</v>
      </c>
      <c r="C8660" s="1">
        <v>45138</v>
      </c>
    </row>
    <row r="8661" spans="1:3">
      <c r="A8661" t="s">
        <v>32</v>
      </c>
      <c r="B8661">
        <v>6.6335840304201401</v>
      </c>
      <c r="C8661" s="1">
        <v>45138</v>
      </c>
    </row>
    <row r="8662" spans="1:3">
      <c r="A8662" t="s">
        <v>35</v>
      </c>
      <c r="B8662">
        <v>3.1067688198755001</v>
      </c>
      <c r="C8662" s="1">
        <v>45138</v>
      </c>
    </row>
    <row r="8663" spans="1:3">
      <c r="A8663" t="s">
        <v>37</v>
      </c>
      <c r="B8663">
        <v>0.18781190693907901</v>
      </c>
      <c r="C8663" s="1">
        <v>45138</v>
      </c>
    </row>
    <row r="8664" spans="1:3">
      <c r="A8664" t="s">
        <v>39</v>
      </c>
      <c r="B8664">
        <v>1.462008856412</v>
      </c>
      <c r="C8664" s="1">
        <v>45138</v>
      </c>
    </row>
    <row r="8665" spans="1:3">
      <c r="A8665" t="s">
        <v>42</v>
      </c>
      <c r="B8665">
        <v>3.2327265059663799</v>
      </c>
      <c r="C8665" s="1">
        <v>45138</v>
      </c>
    </row>
    <row r="8666" spans="1:3">
      <c r="A8666" t="s">
        <v>44</v>
      </c>
      <c r="B8666">
        <v>9.1105644198412392</v>
      </c>
      <c r="C8666" s="1">
        <v>45138</v>
      </c>
    </row>
    <row r="8667" spans="1:3">
      <c r="A8667" t="s">
        <v>47</v>
      </c>
      <c r="B8667">
        <v>5.1462711745702396</v>
      </c>
      <c r="C8667" s="1">
        <v>45138</v>
      </c>
    </row>
    <row r="8668" spans="1:3">
      <c r="A8668" t="s">
        <v>49</v>
      </c>
      <c r="B8668">
        <v>6.06902368740566</v>
      </c>
      <c r="C8668" s="1">
        <v>45138</v>
      </c>
    </row>
    <row r="8669" spans="1:3">
      <c r="A8669" t="s">
        <v>51</v>
      </c>
      <c r="B8669">
        <v>0.73494060589634003</v>
      </c>
      <c r="C8669" s="1">
        <v>45138</v>
      </c>
    </row>
    <row r="8670" spans="1:3">
      <c r="A8670" t="s">
        <v>53</v>
      </c>
      <c r="B8670">
        <v>0.46390665636150002</v>
      </c>
      <c r="C8670" s="1">
        <v>45138</v>
      </c>
    </row>
    <row r="8671" spans="1:3">
      <c r="A8671" t="s">
        <v>55</v>
      </c>
      <c r="B8671">
        <v>1.8449427145722199</v>
      </c>
      <c r="C8671" s="1">
        <v>45138</v>
      </c>
    </row>
    <row r="8672" spans="1:3">
      <c r="A8672" t="s">
        <v>57</v>
      </c>
      <c r="B8672">
        <v>1.6531946299428</v>
      </c>
      <c r="C8672" s="1">
        <v>45138</v>
      </c>
    </row>
    <row r="8673" spans="1:3">
      <c r="A8673" t="s">
        <v>59</v>
      </c>
      <c r="B8673">
        <v>2.43030856823564</v>
      </c>
      <c r="C8673" s="1">
        <v>45138</v>
      </c>
    </row>
    <row r="8674" spans="1:3">
      <c r="A8674" t="s">
        <v>61</v>
      </c>
      <c r="B8674">
        <v>100.845434737609</v>
      </c>
      <c r="C8674" s="1">
        <v>45138</v>
      </c>
    </row>
    <row r="8675" spans="1:3">
      <c r="A8675" t="s">
        <v>63</v>
      </c>
      <c r="B8675">
        <v>9.1622970409142805</v>
      </c>
      <c r="C8675" s="1">
        <v>45138</v>
      </c>
    </row>
    <row r="8676" spans="1:3">
      <c r="A8676" t="s">
        <v>65</v>
      </c>
      <c r="B8676">
        <v>0.19905812891148</v>
      </c>
      <c r="C8676" s="1">
        <v>45138</v>
      </c>
    </row>
    <row r="8677" spans="1:3">
      <c r="A8677" t="s">
        <v>67</v>
      </c>
      <c r="B8677">
        <v>8.8839530470973802</v>
      </c>
      <c r="C8677" s="1">
        <v>45138</v>
      </c>
    </row>
    <row r="8678" spans="1:3">
      <c r="A8678" t="s">
        <v>69</v>
      </c>
      <c r="B8678">
        <v>4.0368313769929802</v>
      </c>
      <c r="C8678" s="1">
        <v>45138</v>
      </c>
    </row>
    <row r="8679" spans="1:3">
      <c r="A8679" t="s">
        <v>71</v>
      </c>
      <c r="B8679">
        <v>1.0458986434332</v>
      </c>
      <c r="C8679" s="1">
        <v>45138</v>
      </c>
    </row>
    <row r="8680" spans="1:3">
      <c r="A8680" t="s">
        <v>73</v>
      </c>
      <c r="B8680">
        <v>0.78723553806799995</v>
      </c>
      <c r="C8680" s="1">
        <v>45138</v>
      </c>
    </row>
    <row r="8681" spans="1:3">
      <c r="A8681" t="s">
        <v>75</v>
      </c>
      <c r="B8681">
        <v>0.10571448654056</v>
      </c>
      <c r="C8681" s="1">
        <v>45138</v>
      </c>
    </row>
    <row r="8682" spans="1:3">
      <c r="A8682" t="s">
        <v>77</v>
      </c>
      <c r="B8682">
        <v>0.71244816195154004</v>
      </c>
      <c r="C8682" s="1">
        <v>45138</v>
      </c>
    </row>
    <row r="8683" spans="1:3">
      <c r="A8683" t="s">
        <v>79</v>
      </c>
      <c r="B8683">
        <v>3.3390033036055602</v>
      </c>
      <c r="C8683" s="1">
        <v>45138</v>
      </c>
    </row>
    <row r="8684" spans="1:3">
      <c r="A8684" t="s">
        <v>81</v>
      </c>
      <c r="B8684">
        <v>6.1010754200269997</v>
      </c>
      <c r="C8684" s="1">
        <v>45138</v>
      </c>
    </row>
    <row r="8685" spans="1:3">
      <c r="A8685" t="s">
        <v>83</v>
      </c>
      <c r="B8685">
        <v>0.15182399662740001</v>
      </c>
      <c r="C8685" s="1">
        <v>45138</v>
      </c>
    </row>
    <row r="8686" spans="1:3">
      <c r="A8686" t="s">
        <v>85</v>
      </c>
      <c r="B8686">
        <v>1.7965839600908999</v>
      </c>
      <c r="C8686" s="1">
        <v>45138</v>
      </c>
    </row>
    <row r="8687" spans="1:3">
      <c r="A8687" t="s">
        <v>87</v>
      </c>
      <c r="B8687">
        <v>10.7845645604329</v>
      </c>
      <c r="C8687" s="1">
        <v>45138</v>
      </c>
    </row>
    <row r="8688" spans="1:3">
      <c r="A8688" t="s">
        <v>89</v>
      </c>
      <c r="B8688">
        <v>12.904477402230301</v>
      </c>
      <c r="C8688" s="1">
        <v>45138</v>
      </c>
    </row>
    <row r="8689" spans="1:3">
      <c r="A8689" t="s">
        <v>91</v>
      </c>
      <c r="B8689">
        <v>16.692204962534699</v>
      </c>
      <c r="C8689" s="1">
        <v>45138</v>
      </c>
    </row>
    <row r="8690" spans="1:3">
      <c r="A8690" t="s">
        <v>93</v>
      </c>
      <c r="B8690">
        <v>9.0796373094171408</v>
      </c>
      <c r="C8690" s="1">
        <v>45138</v>
      </c>
    </row>
    <row r="8691" spans="1:3">
      <c r="A8691" t="s">
        <v>95</v>
      </c>
      <c r="B8691">
        <v>0.53700709918209999</v>
      </c>
      <c r="C8691" s="1">
        <v>45138</v>
      </c>
    </row>
    <row r="8692" spans="1:3">
      <c r="A8692" t="s">
        <v>97</v>
      </c>
      <c r="B8692">
        <v>3.3176354818579998</v>
      </c>
      <c r="C8692" s="1">
        <v>45138</v>
      </c>
    </row>
    <row r="8693" spans="1:3">
      <c r="A8693" t="s">
        <v>99</v>
      </c>
      <c r="B8693">
        <v>3.9260560905648298</v>
      </c>
      <c r="C8693" s="1">
        <v>45138</v>
      </c>
    </row>
    <row r="8694" spans="1:3">
      <c r="A8694" t="s">
        <v>101</v>
      </c>
      <c r="B8694">
        <v>9.1094397976440007</v>
      </c>
      <c r="C8694" s="1">
        <v>45138</v>
      </c>
    </row>
    <row r="8695" spans="1:3">
      <c r="A8695" t="s">
        <v>103</v>
      </c>
      <c r="B8695">
        <v>0.59042665355099999</v>
      </c>
      <c r="C8695" s="1">
        <v>45138</v>
      </c>
    </row>
    <row r="8696" spans="1:3">
      <c r="A8696" t="s">
        <v>105</v>
      </c>
      <c r="B8696">
        <v>0.14901244113429901</v>
      </c>
      <c r="C8696" s="1">
        <v>45138</v>
      </c>
    </row>
    <row r="8697" spans="1:3">
      <c r="A8697" t="s">
        <v>107</v>
      </c>
      <c r="B8697">
        <v>1.99226822241066</v>
      </c>
      <c r="C8697" s="1">
        <v>45138</v>
      </c>
    </row>
    <row r="8698" spans="1:3">
      <c r="A8698" t="s">
        <v>109</v>
      </c>
      <c r="B8698">
        <v>4.3269839038809002</v>
      </c>
      <c r="C8698" s="1">
        <v>45138</v>
      </c>
    </row>
    <row r="8699" spans="1:3">
      <c r="A8699" t="s">
        <v>111</v>
      </c>
      <c r="B8699">
        <v>5.3025936599865897</v>
      </c>
      <c r="C8699" s="1">
        <v>45138</v>
      </c>
    </row>
    <row r="8700" spans="1:3">
      <c r="A8700" t="s">
        <v>113</v>
      </c>
      <c r="B8700">
        <v>6.0948899979421798</v>
      </c>
      <c r="C8700" s="1">
        <v>45138</v>
      </c>
    </row>
    <row r="8701" spans="1:3">
      <c r="A8701" t="s">
        <v>115</v>
      </c>
      <c r="B8701">
        <v>4.4984887889599996</v>
      </c>
      <c r="C8701" s="1">
        <v>45138</v>
      </c>
    </row>
    <row r="8702" spans="1:3">
      <c r="A8702" t="s">
        <v>117</v>
      </c>
      <c r="B8702">
        <v>2.1643354185883799</v>
      </c>
      <c r="C8702" s="1">
        <v>45138</v>
      </c>
    </row>
    <row r="8703" spans="1:3">
      <c r="A8703" t="s">
        <v>119</v>
      </c>
      <c r="B8703">
        <v>27.474520278573198</v>
      </c>
      <c r="C8703" s="1">
        <v>45138</v>
      </c>
    </row>
    <row r="8704" spans="1:3">
      <c r="A8704" t="s">
        <v>121</v>
      </c>
      <c r="B8704">
        <v>9.0408378436123602</v>
      </c>
      <c r="C8704" s="1">
        <v>45138</v>
      </c>
    </row>
    <row r="8705" spans="1:3">
      <c r="A8705" t="s">
        <v>123</v>
      </c>
      <c r="B8705">
        <v>3.6983200956237399</v>
      </c>
      <c r="C8705" s="1">
        <v>45138</v>
      </c>
    </row>
    <row r="8706" spans="1:3">
      <c r="A8706" t="s">
        <v>125</v>
      </c>
      <c r="B8706">
        <v>197.60230547715199</v>
      </c>
      <c r="C8706" s="1">
        <v>45138</v>
      </c>
    </row>
    <row r="8707" spans="1:3">
      <c r="A8707" t="s">
        <v>127</v>
      </c>
      <c r="B8707">
        <v>7.8751669361731</v>
      </c>
      <c r="C8707" s="1">
        <v>45138</v>
      </c>
    </row>
    <row r="8708" spans="1:3">
      <c r="A8708" t="s">
        <v>129</v>
      </c>
      <c r="B8708">
        <v>4.0930624868549801</v>
      </c>
      <c r="C8708" s="1">
        <v>45138</v>
      </c>
    </row>
    <row r="8709" spans="1:3">
      <c r="A8709" t="s">
        <v>131</v>
      </c>
      <c r="B8709">
        <v>1.9737119561562</v>
      </c>
      <c r="C8709" s="1">
        <v>45138</v>
      </c>
    </row>
    <row r="8710" spans="1:3">
      <c r="A8710" t="s">
        <v>134</v>
      </c>
      <c r="B8710">
        <v>1.93041400156246</v>
      </c>
      <c r="C8710" s="1">
        <v>45138</v>
      </c>
    </row>
    <row r="8711" spans="1:3">
      <c r="A8711" t="s">
        <v>136</v>
      </c>
      <c r="B8711">
        <v>14.530118788340699</v>
      </c>
      <c r="C8711" s="1">
        <v>45138</v>
      </c>
    </row>
    <row r="8712" spans="1:3">
      <c r="A8712" t="s">
        <v>138</v>
      </c>
      <c r="B8712">
        <v>15.604132986705</v>
      </c>
      <c r="C8712" s="1">
        <v>45138</v>
      </c>
    </row>
    <row r="8713" spans="1:3">
      <c r="A8713" t="s">
        <v>140</v>
      </c>
      <c r="B8713">
        <v>15.7739509384882</v>
      </c>
      <c r="C8713" s="1">
        <v>45138</v>
      </c>
    </row>
    <row r="8714" spans="1:3">
      <c r="A8714" t="s">
        <v>142</v>
      </c>
      <c r="B8714">
        <v>6.2770787938950496</v>
      </c>
      <c r="C8714" s="1">
        <v>45138</v>
      </c>
    </row>
    <row r="8715" spans="1:3">
      <c r="A8715" t="s">
        <v>144</v>
      </c>
      <c r="B8715">
        <v>3.3806143249034299</v>
      </c>
      <c r="C8715" s="1">
        <v>45138</v>
      </c>
    </row>
    <row r="8716" spans="1:3">
      <c r="A8716" t="s">
        <v>146</v>
      </c>
      <c r="B8716">
        <v>2.164897729687</v>
      </c>
      <c r="C8716" s="1">
        <v>45138</v>
      </c>
    </row>
    <row r="8717" spans="1:3">
      <c r="A8717" t="s">
        <v>148</v>
      </c>
      <c r="B8717">
        <v>10.740141983641999</v>
      </c>
      <c r="C8717" s="1">
        <v>45138</v>
      </c>
    </row>
    <row r="8718" spans="1:3">
      <c r="A8718" t="s">
        <v>150</v>
      </c>
      <c r="B8718">
        <v>3.9879103114130401</v>
      </c>
      <c r="C8718" s="1">
        <v>45138</v>
      </c>
    </row>
    <row r="8719" spans="1:3">
      <c r="A8719" t="s">
        <v>152</v>
      </c>
      <c r="B8719">
        <v>22.188795951545199</v>
      </c>
      <c r="C8719" s="1">
        <v>45138</v>
      </c>
    </row>
    <row r="8720" spans="1:3">
      <c r="A8720" t="s">
        <v>154</v>
      </c>
      <c r="B8720">
        <v>8.9486188234386699</v>
      </c>
      <c r="C8720" s="1">
        <v>45138</v>
      </c>
    </row>
    <row r="8721" spans="1:3">
      <c r="A8721" t="s">
        <v>156</v>
      </c>
      <c r="B8721">
        <v>13.972306178509699</v>
      </c>
      <c r="C8721" s="1">
        <v>45138</v>
      </c>
    </row>
    <row r="8722" spans="1:3">
      <c r="A8722" t="s">
        <v>158</v>
      </c>
      <c r="B8722">
        <v>50.069304843322001</v>
      </c>
      <c r="C8722" s="1">
        <v>45138</v>
      </c>
    </row>
    <row r="8723" spans="1:3">
      <c r="A8723" t="s">
        <v>160</v>
      </c>
      <c r="B8723">
        <v>13.21431081757</v>
      </c>
      <c r="C8723" s="1">
        <v>45138</v>
      </c>
    </row>
    <row r="8724" spans="1:3">
      <c r="A8724" t="s">
        <v>162</v>
      </c>
      <c r="B8724">
        <v>7.2538131721979999</v>
      </c>
      <c r="C8724" s="1">
        <v>45138</v>
      </c>
    </row>
    <row r="8725" spans="1:3">
      <c r="A8725" t="s">
        <v>164</v>
      </c>
      <c r="B8725">
        <v>15.4584944121624</v>
      </c>
      <c r="C8725" s="1">
        <v>45138</v>
      </c>
    </row>
    <row r="8726" spans="1:3">
      <c r="A8726" t="s">
        <v>166</v>
      </c>
      <c r="B8726">
        <v>4.7065438954493999</v>
      </c>
      <c r="C8726" s="1">
        <v>45138</v>
      </c>
    </row>
    <row r="8727" spans="1:3">
      <c r="A8727" t="s">
        <v>168</v>
      </c>
      <c r="B8727">
        <v>11.2883953047965</v>
      </c>
      <c r="C8727" s="1">
        <v>45138</v>
      </c>
    </row>
    <row r="8728" spans="1:3">
      <c r="A8728" t="s">
        <v>17</v>
      </c>
      <c r="B8728">
        <v>141.95775019921001</v>
      </c>
      <c r="C8728" s="1">
        <v>45169</v>
      </c>
    </row>
    <row r="8729" spans="1:3">
      <c r="A8729" t="s">
        <v>4</v>
      </c>
      <c r="B8729">
        <v>0.17744916820848</v>
      </c>
      <c r="C8729" s="1">
        <v>45169</v>
      </c>
    </row>
    <row r="8730" spans="1:3">
      <c r="A8730" t="s">
        <v>8</v>
      </c>
      <c r="B8730">
        <v>16.6860311593658</v>
      </c>
      <c r="C8730" s="1">
        <v>45169</v>
      </c>
    </row>
    <row r="8731" spans="1:3">
      <c r="A8731" t="s">
        <v>11</v>
      </c>
      <c r="B8731">
        <v>33.227356747037803</v>
      </c>
      <c r="C8731" s="1">
        <v>45169</v>
      </c>
    </row>
    <row r="8732" spans="1:3">
      <c r="A8732" t="s">
        <v>14</v>
      </c>
      <c r="B8732">
        <v>5.9086348033228298</v>
      </c>
      <c r="C8732" s="1">
        <v>45169</v>
      </c>
    </row>
    <row r="8733" spans="1:3">
      <c r="A8733" t="s">
        <v>20</v>
      </c>
      <c r="B8733">
        <v>0.44626353314334999</v>
      </c>
      <c r="C8733" s="1">
        <v>45169</v>
      </c>
    </row>
    <row r="8734" spans="1:3">
      <c r="A8734" t="s">
        <v>24</v>
      </c>
      <c r="B8734">
        <v>0.52706627938114003</v>
      </c>
      <c r="C8734" s="1">
        <v>45169</v>
      </c>
    </row>
    <row r="8735" spans="1:3">
      <c r="A8735" t="s">
        <v>27</v>
      </c>
      <c r="B8735">
        <v>26.775283866076499</v>
      </c>
      <c r="C8735" s="1">
        <v>45169</v>
      </c>
    </row>
    <row r="8736" spans="1:3">
      <c r="A8736" t="s">
        <v>29</v>
      </c>
      <c r="B8736">
        <v>1.1338790599512101</v>
      </c>
      <c r="C8736" s="1">
        <v>45169</v>
      </c>
    </row>
    <row r="8737" spans="1:3">
      <c r="A8737" t="s">
        <v>32</v>
      </c>
      <c r="B8737">
        <v>5.6963295485019803</v>
      </c>
      <c r="C8737" s="1">
        <v>45169</v>
      </c>
    </row>
    <row r="8738" spans="1:3">
      <c r="A8738" t="s">
        <v>35</v>
      </c>
      <c r="B8738">
        <v>2.91787694747575</v>
      </c>
      <c r="C8738" s="1">
        <v>45169</v>
      </c>
    </row>
    <row r="8739" spans="1:3">
      <c r="A8739" t="s">
        <v>37</v>
      </c>
      <c r="B8739">
        <v>0.16688671771988001</v>
      </c>
      <c r="C8739" s="1">
        <v>45169</v>
      </c>
    </row>
    <row r="8740" spans="1:3">
      <c r="A8740" t="s">
        <v>39</v>
      </c>
      <c r="B8740">
        <v>1.3599155004072501</v>
      </c>
      <c r="C8740" s="1">
        <v>45169</v>
      </c>
    </row>
    <row r="8741" spans="1:3">
      <c r="A8741" t="s">
        <v>42</v>
      </c>
      <c r="B8741">
        <v>2.95484552418585</v>
      </c>
      <c r="C8741" s="1">
        <v>45169</v>
      </c>
    </row>
    <row r="8742" spans="1:3">
      <c r="A8742" t="s">
        <v>44</v>
      </c>
      <c r="B8742">
        <v>8.8634803275086895</v>
      </c>
      <c r="C8742" s="1">
        <v>45169</v>
      </c>
    </row>
    <row r="8743" spans="1:3">
      <c r="A8743" t="s">
        <v>47</v>
      </c>
      <c r="B8743">
        <v>5.0810668075410197</v>
      </c>
      <c r="C8743" s="1">
        <v>45169</v>
      </c>
    </row>
    <row r="8744" spans="1:3">
      <c r="A8744" t="s">
        <v>49</v>
      </c>
      <c r="B8744">
        <v>5.42645893851825</v>
      </c>
      <c r="C8744" s="1">
        <v>45169</v>
      </c>
    </row>
    <row r="8745" spans="1:3">
      <c r="A8745" t="s">
        <v>51</v>
      </c>
      <c r="B8745">
        <v>0.70662793768734</v>
      </c>
      <c r="C8745" s="1">
        <v>45169</v>
      </c>
    </row>
    <row r="8746" spans="1:3">
      <c r="A8746" t="s">
        <v>53</v>
      </c>
      <c r="B8746">
        <v>0.47002904674270002</v>
      </c>
      <c r="C8746" s="1">
        <v>45169</v>
      </c>
    </row>
    <row r="8747" spans="1:3">
      <c r="A8747" t="s">
        <v>55</v>
      </c>
      <c r="B8747">
        <v>1.6905202007004201</v>
      </c>
      <c r="C8747" s="1">
        <v>45169</v>
      </c>
    </row>
    <row r="8748" spans="1:3">
      <c r="A8748" t="s">
        <v>57</v>
      </c>
      <c r="B8748">
        <v>1.4290995511075799</v>
      </c>
      <c r="C8748" s="1">
        <v>45169</v>
      </c>
    </row>
    <row r="8749" spans="1:3">
      <c r="A8749" t="s">
        <v>59</v>
      </c>
      <c r="B8749">
        <v>2.0929495643160898</v>
      </c>
      <c r="C8749" s="1">
        <v>45169</v>
      </c>
    </row>
    <row r="8750" spans="1:3">
      <c r="A8750" t="s">
        <v>61</v>
      </c>
      <c r="B8750">
        <v>83.691576446422104</v>
      </c>
      <c r="C8750" s="1">
        <v>45169</v>
      </c>
    </row>
    <row r="8751" spans="1:3">
      <c r="A8751" t="s">
        <v>63</v>
      </c>
      <c r="B8751">
        <v>9.0308951677530001</v>
      </c>
      <c r="C8751" s="1">
        <v>45169</v>
      </c>
    </row>
    <row r="8752" spans="1:3">
      <c r="A8752" t="s">
        <v>65</v>
      </c>
      <c r="B8752">
        <v>0.18906786374594001</v>
      </c>
      <c r="C8752" s="1">
        <v>45169</v>
      </c>
    </row>
    <row r="8753" spans="1:3">
      <c r="A8753" t="s">
        <v>67</v>
      </c>
      <c r="B8753">
        <v>7.7491418009613797</v>
      </c>
      <c r="C8753" s="1">
        <v>45169</v>
      </c>
    </row>
    <row r="8754" spans="1:3">
      <c r="A8754" t="s">
        <v>69</v>
      </c>
      <c r="B8754">
        <v>3.8267758120197799</v>
      </c>
      <c r="C8754" s="1">
        <v>45169</v>
      </c>
    </row>
    <row r="8755" spans="1:3">
      <c r="A8755" t="s">
        <v>71</v>
      </c>
      <c r="B8755">
        <v>1.0879324003258</v>
      </c>
      <c r="C8755" s="1">
        <v>45169</v>
      </c>
    </row>
    <row r="8756" spans="1:3">
      <c r="A8756" t="s">
        <v>73</v>
      </c>
      <c r="B8756">
        <v>0.69923422234531996</v>
      </c>
      <c r="C8756" s="1">
        <v>45169</v>
      </c>
    </row>
    <row r="8757" spans="1:3">
      <c r="A8757" t="s">
        <v>75</v>
      </c>
      <c r="B8757">
        <v>9.9287034592839996E-2</v>
      </c>
      <c r="C8757" s="1">
        <v>45169</v>
      </c>
    </row>
    <row r="8758" spans="1:3">
      <c r="A8758" t="s">
        <v>77</v>
      </c>
      <c r="B8758">
        <v>0.62371270135182999</v>
      </c>
      <c r="C8758" s="1">
        <v>45169</v>
      </c>
    </row>
    <row r="8759" spans="1:3">
      <c r="A8759" t="s">
        <v>79</v>
      </c>
      <c r="B8759">
        <v>3.1792975970685999</v>
      </c>
      <c r="C8759" s="1">
        <v>45169</v>
      </c>
    </row>
    <row r="8760" spans="1:3">
      <c r="A8760" t="s">
        <v>81</v>
      </c>
      <c r="B8760">
        <v>5.9920781621827697</v>
      </c>
      <c r="C8760" s="1">
        <v>45169</v>
      </c>
    </row>
    <row r="8761" spans="1:3">
      <c r="A8761" t="s">
        <v>83</v>
      </c>
      <c r="B8761">
        <v>0.13097438605864001</v>
      </c>
      <c r="C8761" s="1">
        <v>45169</v>
      </c>
    </row>
    <row r="8762" spans="1:3">
      <c r="A8762" t="s">
        <v>85</v>
      </c>
      <c r="B8762">
        <v>1.72379191973952</v>
      </c>
      <c r="C8762" s="1">
        <v>45169</v>
      </c>
    </row>
    <row r="8763" spans="1:3">
      <c r="A8763" t="s">
        <v>87</v>
      </c>
      <c r="B8763">
        <v>9.0942698706846006</v>
      </c>
      <c r="C8763" s="1">
        <v>45169</v>
      </c>
    </row>
    <row r="8764" spans="1:3">
      <c r="A8764" t="s">
        <v>89</v>
      </c>
      <c r="B8764">
        <v>12.0887245842027</v>
      </c>
      <c r="C8764" s="1">
        <v>45169</v>
      </c>
    </row>
    <row r="8765" spans="1:3">
      <c r="A8765" t="s">
        <v>91</v>
      </c>
      <c r="B8765">
        <v>15.7702667020042</v>
      </c>
      <c r="C8765" s="1">
        <v>45169</v>
      </c>
    </row>
    <row r="8766" spans="1:3">
      <c r="A8766" t="s">
        <v>93</v>
      </c>
      <c r="B8766">
        <v>9.7063638764989602</v>
      </c>
      <c r="C8766" s="1">
        <v>45169</v>
      </c>
    </row>
    <row r="8767" spans="1:3">
      <c r="A8767" t="s">
        <v>95</v>
      </c>
      <c r="B8767">
        <v>0.56086612094465904</v>
      </c>
      <c r="C8767" s="1">
        <v>45169</v>
      </c>
    </row>
    <row r="8768" spans="1:3">
      <c r="A8768" t="s">
        <v>97</v>
      </c>
      <c r="B8768">
        <v>2.8719302878503399</v>
      </c>
      <c r="C8768" s="1">
        <v>45169</v>
      </c>
    </row>
    <row r="8769" spans="1:3">
      <c r="A8769" t="s">
        <v>99</v>
      </c>
      <c r="B8769">
        <v>3.6614734618731899</v>
      </c>
      <c r="C8769" s="1">
        <v>45169</v>
      </c>
    </row>
    <row r="8770" spans="1:3">
      <c r="A8770" t="s">
        <v>101</v>
      </c>
      <c r="B8770">
        <v>8.0802746237789993</v>
      </c>
      <c r="C8770" s="1">
        <v>45169</v>
      </c>
    </row>
    <row r="8771" spans="1:3">
      <c r="A8771" t="s">
        <v>103</v>
      </c>
      <c r="B8771">
        <v>0.58199102192186003</v>
      </c>
      <c r="C8771" s="1">
        <v>45169</v>
      </c>
    </row>
    <row r="8772" spans="1:3">
      <c r="A8772" t="s">
        <v>105</v>
      </c>
      <c r="B8772">
        <v>0.13731185635179999</v>
      </c>
      <c r="C8772" s="1">
        <v>45169</v>
      </c>
    </row>
    <row r="8773" spans="1:3">
      <c r="A8773" t="s">
        <v>107</v>
      </c>
      <c r="B8773">
        <v>1.95194085029328</v>
      </c>
      <c r="C8773" s="1">
        <v>45169</v>
      </c>
    </row>
    <row r="8774" spans="1:3">
      <c r="A8774" t="s">
        <v>109</v>
      </c>
      <c r="B8774">
        <v>4.1621336150328299</v>
      </c>
      <c r="C8774" s="1">
        <v>45169</v>
      </c>
    </row>
    <row r="8775" spans="1:3">
      <c r="A8775" t="s">
        <v>111</v>
      </c>
      <c r="B8775">
        <v>5.68999207820882</v>
      </c>
      <c r="C8775" s="1">
        <v>45169</v>
      </c>
    </row>
    <row r="8776" spans="1:3">
      <c r="A8776" t="s">
        <v>113</v>
      </c>
      <c r="B8776">
        <v>5.51676789019578</v>
      </c>
      <c r="C8776" s="1">
        <v>45169</v>
      </c>
    </row>
    <row r="8777" spans="1:3">
      <c r="A8777" t="s">
        <v>115</v>
      </c>
      <c r="B8777">
        <v>3.9176128862217401</v>
      </c>
      <c r="C8777" s="1">
        <v>45169</v>
      </c>
    </row>
    <row r="8778" spans="1:3">
      <c r="A8778" t="s">
        <v>117</v>
      </c>
      <c r="B8778">
        <v>1.84050699763855</v>
      </c>
      <c r="C8778" s="1">
        <v>45169</v>
      </c>
    </row>
    <row r="8779" spans="1:3">
      <c r="A8779" t="s">
        <v>119</v>
      </c>
      <c r="B8779">
        <v>21.937153419773299</v>
      </c>
      <c r="C8779" s="1">
        <v>45169</v>
      </c>
    </row>
    <row r="8780" spans="1:3">
      <c r="A8780" t="s">
        <v>121</v>
      </c>
      <c r="B8780">
        <v>8.3469764986161508</v>
      </c>
      <c r="C8780" s="1">
        <v>45169</v>
      </c>
    </row>
    <row r="8781" spans="1:3">
      <c r="A8781" t="s">
        <v>123</v>
      </c>
      <c r="B8781">
        <v>3.5991550039904499</v>
      </c>
      <c r="C8781" s="1">
        <v>45169</v>
      </c>
    </row>
    <row r="8782" spans="1:3">
      <c r="A8782" t="s">
        <v>125</v>
      </c>
      <c r="B8782">
        <v>169.89648798660599</v>
      </c>
      <c r="C8782" s="1">
        <v>45169</v>
      </c>
    </row>
    <row r="8783" spans="1:3">
      <c r="A8783" t="s">
        <v>127</v>
      </c>
      <c r="B8783">
        <v>6.3543702139417597</v>
      </c>
      <c r="C8783" s="1">
        <v>45169</v>
      </c>
    </row>
    <row r="8784" spans="1:3">
      <c r="A8784" t="s">
        <v>129</v>
      </c>
      <c r="B8784">
        <v>3.8764193293161999</v>
      </c>
      <c r="C8784" s="1">
        <v>45169</v>
      </c>
    </row>
    <row r="8785" spans="1:3">
      <c r="A8785" t="s">
        <v>131</v>
      </c>
      <c r="B8785">
        <v>1.93873778718253</v>
      </c>
      <c r="C8785" s="1">
        <v>45169</v>
      </c>
    </row>
    <row r="8786" spans="1:3">
      <c r="A8786" t="s">
        <v>134</v>
      </c>
      <c r="B8786">
        <v>1.79931344073301</v>
      </c>
      <c r="C8786" s="1">
        <v>45169</v>
      </c>
    </row>
    <row r="8787" spans="1:3">
      <c r="A8787" t="s">
        <v>136</v>
      </c>
      <c r="B8787">
        <v>13.9334565620366</v>
      </c>
      <c r="C8787" s="1">
        <v>45169</v>
      </c>
    </row>
    <row r="8788" spans="1:3">
      <c r="A8788" t="s">
        <v>138</v>
      </c>
      <c r="B8788">
        <v>15.0488513336328</v>
      </c>
      <c r="C8788" s="1">
        <v>45169</v>
      </c>
    </row>
    <row r="8789" spans="1:3">
      <c r="A8789" t="s">
        <v>140</v>
      </c>
      <c r="B8789">
        <v>14.444151043160501</v>
      </c>
      <c r="C8789" s="1">
        <v>45169</v>
      </c>
    </row>
    <row r="8790" spans="1:3">
      <c r="A8790" t="s">
        <v>142</v>
      </c>
      <c r="B8790">
        <v>5.8537100607821202</v>
      </c>
      <c r="C8790" s="1">
        <v>45169</v>
      </c>
    </row>
    <row r="8791" spans="1:3">
      <c r="A8791" t="s">
        <v>144</v>
      </c>
      <c r="B8791">
        <v>3.1734882492998699</v>
      </c>
      <c r="C8791" s="1">
        <v>45169</v>
      </c>
    </row>
    <row r="8792" spans="1:3">
      <c r="A8792" t="s">
        <v>146</v>
      </c>
      <c r="B8792">
        <v>2.1182994454887298</v>
      </c>
      <c r="C8792" s="1">
        <v>45169</v>
      </c>
    </row>
    <row r="8793" spans="1:3">
      <c r="A8793" t="s">
        <v>148</v>
      </c>
      <c r="B8793">
        <v>10.203855294512</v>
      </c>
      <c r="C8793" s="1">
        <v>45169</v>
      </c>
    </row>
    <row r="8794" spans="1:3">
      <c r="A8794" t="s">
        <v>150</v>
      </c>
      <c r="B8794">
        <v>3.8310007922152201</v>
      </c>
      <c r="C8794" s="1">
        <v>45169</v>
      </c>
    </row>
    <row r="8795" spans="1:3">
      <c r="A8795" t="s">
        <v>152</v>
      </c>
      <c r="B8795">
        <v>17.045154475978201</v>
      </c>
      <c r="C8795" s="1">
        <v>45169</v>
      </c>
    </row>
    <row r="8796" spans="1:3">
      <c r="A8796" t="s">
        <v>154</v>
      </c>
      <c r="B8796">
        <v>8.6300501717106304</v>
      </c>
      <c r="C8796" s="1">
        <v>45169</v>
      </c>
    </row>
    <row r="8797" spans="1:3">
      <c r="A8797" t="s">
        <v>156</v>
      </c>
      <c r="B8797">
        <v>12.899920781727101</v>
      </c>
      <c r="C8797" s="1">
        <v>45169</v>
      </c>
    </row>
    <row r="8798" spans="1:3">
      <c r="A8798" t="s">
        <v>158</v>
      </c>
      <c r="B8798">
        <v>34.913123845018397</v>
      </c>
      <c r="C8798" s="1">
        <v>45169</v>
      </c>
    </row>
    <row r="8799" spans="1:3">
      <c r="A8799" t="s">
        <v>160</v>
      </c>
      <c r="B8799">
        <v>11.397412199723799</v>
      </c>
      <c r="C8799" s="1">
        <v>45169</v>
      </c>
    </row>
    <row r="8800" spans="1:3">
      <c r="A8800" t="s">
        <v>162</v>
      </c>
      <c r="B8800">
        <v>5.1470821230947799</v>
      </c>
      <c r="C8800" s="1">
        <v>45169</v>
      </c>
    </row>
    <row r="8801" spans="1:3">
      <c r="A8801" t="s">
        <v>164</v>
      </c>
      <c r="B8801">
        <v>12.826511750831401</v>
      </c>
      <c r="C8801" s="1">
        <v>45169</v>
      </c>
    </row>
    <row r="8802" spans="1:3">
      <c r="A8802" t="s">
        <v>166</v>
      </c>
      <c r="B8802">
        <v>4.4758383945442501</v>
      </c>
      <c r="C8802" s="1">
        <v>45169</v>
      </c>
    </row>
    <row r="8803" spans="1:3">
      <c r="A8803" t="s">
        <v>168</v>
      </c>
      <c r="B8803">
        <v>9.4533931872969994</v>
      </c>
      <c r="C8803" s="1">
        <v>45169</v>
      </c>
    </row>
    <row r="8804" spans="1:3">
      <c r="A8804" t="s">
        <v>17</v>
      </c>
      <c r="B8804">
        <v>123.105831395935</v>
      </c>
      <c r="C8804" s="1">
        <v>45199</v>
      </c>
    </row>
    <row r="8805" spans="1:3">
      <c r="A8805" t="s">
        <v>4</v>
      </c>
      <c r="B8805">
        <v>0.17781882650194999</v>
      </c>
      <c r="C8805" s="1">
        <v>45199</v>
      </c>
    </row>
    <row r="8806" spans="1:3">
      <c r="A8806" t="s">
        <v>8</v>
      </c>
      <c r="B8806">
        <v>16.791936048922899</v>
      </c>
      <c r="C8806" s="1">
        <v>45199</v>
      </c>
    </row>
    <row r="8807" spans="1:3">
      <c r="A8807" t="s">
        <v>11</v>
      </c>
      <c r="B8807">
        <v>31.503126426539499</v>
      </c>
      <c r="C8807" s="1">
        <v>45199</v>
      </c>
    </row>
    <row r="8808" spans="1:3">
      <c r="A8808" t="s">
        <v>14</v>
      </c>
      <c r="B8808">
        <v>5.9009310275288902</v>
      </c>
      <c r="C8808" s="1">
        <v>45199</v>
      </c>
    </row>
    <row r="8809" spans="1:3">
      <c r="A8809" t="s">
        <v>20</v>
      </c>
      <c r="B8809">
        <v>0.45118209709449902</v>
      </c>
      <c r="C8809" s="1">
        <v>45199</v>
      </c>
    </row>
    <row r="8810" spans="1:3">
      <c r="A8810" t="s">
        <v>24</v>
      </c>
      <c r="B8810">
        <v>0.53611049184170001</v>
      </c>
      <c r="C8810" s="1">
        <v>45199</v>
      </c>
    </row>
    <row r="8811" spans="1:3">
      <c r="A8811" t="s">
        <v>27</v>
      </c>
      <c r="B8811">
        <v>27.881461193038501</v>
      </c>
      <c r="C8811" s="1">
        <v>45199</v>
      </c>
    </row>
    <row r="8812" spans="1:3">
      <c r="A8812" t="s">
        <v>29</v>
      </c>
      <c r="B8812">
        <v>1.07540579848642</v>
      </c>
      <c r="C8812" s="1">
        <v>45199</v>
      </c>
    </row>
    <row r="8813" spans="1:3">
      <c r="A8813" t="s">
        <v>32</v>
      </c>
      <c r="B8813">
        <v>5.6137668927899202</v>
      </c>
      <c r="C8813" s="1">
        <v>45199</v>
      </c>
    </row>
    <row r="8814" spans="1:3">
      <c r="A8814" t="s">
        <v>35</v>
      </c>
      <c r="B8814">
        <v>3.025574062869</v>
      </c>
      <c r="C8814" s="1">
        <v>45199</v>
      </c>
    </row>
    <row r="8815" spans="1:3">
      <c r="A8815" t="s">
        <v>37</v>
      </c>
      <c r="B8815">
        <v>0.15764833274949</v>
      </c>
      <c r="C8815" s="1">
        <v>45199</v>
      </c>
    </row>
    <row r="8816" spans="1:3">
      <c r="A8816" t="s">
        <v>39</v>
      </c>
      <c r="B8816">
        <v>1.49951696975525</v>
      </c>
      <c r="C8816" s="1">
        <v>45199</v>
      </c>
    </row>
    <row r="8817" spans="1:3">
      <c r="A8817" t="s">
        <v>42</v>
      </c>
      <c r="B8817">
        <v>2.7999830143217501</v>
      </c>
      <c r="C8817" s="1">
        <v>45199</v>
      </c>
    </row>
    <row r="8818" spans="1:3">
      <c r="A8818" t="s">
        <v>44</v>
      </c>
      <c r="B8818">
        <v>9.1499729290764602</v>
      </c>
      <c r="C8818" s="1">
        <v>45199</v>
      </c>
    </row>
    <row r="8819" spans="1:3">
      <c r="A8819" t="s">
        <v>47</v>
      </c>
      <c r="B8819">
        <v>4.8982451670447498</v>
      </c>
      <c r="C8819" s="1">
        <v>45199</v>
      </c>
    </row>
    <row r="8820" spans="1:3">
      <c r="A8820" t="s">
        <v>49</v>
      </c>
      <c r="B8820">
        <v>6.1721710882527603</v>
      </c>
      <c r="C8820" s="1">
        <v>45199</v>
      </c>
    </row>
    <row r="8821" spans="1:3">
      <c r="A8821" t="s">
        <v>51</v>
      </c>
      <c r="B8821">
        <v>0.69535123199269999</v>
      </c>
      <c r="C8821" s="1">
        <v>45199</v>
      </c>
    </row>
    <row r="8822" spans="1:3">
      <c r="A8822" t="s">
        <v>53</v>
      </c>
      <c r="B8822">
        <v>0.42835759100618997</v>
      </c>
      <c r="C8822" s="1">
        <v>45199</v>
      </c>
    </row>
    <row r="8823" spans="1:3">
      <c r="A8823" t="s">
        <v>55</v>
      </c>
      <c r="B8823">
        <v>1.6444260432926601</v>
      </c>
      <c r="C8823" s="1">
        <v>45199</v>
      </c>
    </row>
    <row r="8824" spans="1:3">
      <c r="A8824" t="s">
        <v>57</v>
      </c>
      <c r="B8824">
        <v>1.23358493370308</v>
      </c>
      <c r="C8824" s="1">
        <v>45199</v>
      </c>
    </row>
    <row r="8825" spans="1:3">
      <c r="A8825" t="s">
        <v>59</v>
      </c>
      <c r="B8825">
        <v>2.07596844910187</v>
      </c>
      <c r="C8825" s="1">
        <v>45199</v>
      </c>
    </row>
    <row r="8826" spans="1:3">
      <c r="A8826" t="s">
        <v>61</v>
      </c>
      <c r="B8826">
        <v>91.103219847788594</v>
      </c>
      <c r="C8826" s="1">
        <v>45199</v>
      </c>
    </row>
    <row r="8827" spans="1:3">
      <c r="A8827" t="s">
        <v>63</v>
      </c>
      <c r="B8827">
        <v>7.2719938002289997</v>
      </c>
      <c r="C8827" s="1">
        <v>45199</v>
      </c>
    </row>
    <row r="8828" spans="1:3">
      <c r="A8828" t="s">
        <v>65</v>
      </c>
      <c r="B8828">
        <v>0.18843487584534999</v>
      </c>
      <c r="C8828" s="1">
        <v>45199</v>
      </c>
    </row>
    <row r="8829" spans="1:3">
      <c r="A8829" t="s">
        <v>67</v>
      </c>
      <c r="B8829">
        <v>7.28048663970372</v>
      </c>
      <c r="C8829" s="1">
        <v>45199</v>
      </c>
    </row>
    <row r="8830" spans="1:3">
      <c r="A8830" t="s">
        <v>69</v>
      </c>
      <c r="B8830">
        <v>4.0606388738504897</v>
      </c>
      <c r="C8830" s="1">
        <v>45199</v>
      </c>
    </row>
    <row r="8831" spans="1:3">
      <c r="A8831" t="s">
        <v>71</v>
      </c>
      <c r="B8831">
        <v>1.1189316007943599</v>
      </c>
      <c r="C8831" s="1">
        <v>45199</v>
      </c>
    </row>
    <row r="8832" spans="1:3">
      <c r="A8832" t="s">
        <v>73</v>
      </c>
      <c r="B8832">
        <v>0.71658333067949997</v>
      </c>
      <c r="C8832" s="1">
        <v>45199</v>
      </c>
    </row>
    <row r="8833" spans="1:3">
      <c r="A8833" t="s">
        <v>75</v>
      </c>
      <c r="B8833">
        <v>0.108814505769849</v>
      </c>
      <c r="C8833" s="1">
        <v>45199</v>
      </c>
    </row>
    <row r="8834" spans="1:3">
      <c r="A8834" t="s">
        <v>77</v>
      </c>
      <c r="B8834">
        <v>0.55999660286435005</v>
      </c>
      <c r="C8834" s="1">
        <v>45199</v>
      </c>
    </row>
    <row r="8835" spans="1:3">
      <c r="A8835" t="s">
        <v>79</v>
      </c>
      <c r="B8835">
        <v>3.4480928267363198</v>
      </c>
      <c r="C8835" s="1">
        <v>45199</v>
      </c>
    </row>
    <row r="8836" spans="1:3">
      <c r="A8836" t="s">
        <v>81</v>
      </c>
      <c r="B8836">
        <v>6.61751435820839</v>
      </c>
      <c r="C8836" s="1">
        <v>45199</v>
      </c>
    </row>
    <row r="8837" spans="1:3">
      <c r="A8837" t="s">
        <v>83</v>
      </c>
      <c r="B8837">
        <v>0.12739259212079901</v>
      </c>
      <c r="C8837" s="1">
        <v>45199</v>
      </c>
    </row>
    <row r="8838" spans="1:3">
      <c r="A8838" t="s">
        <v>85</v>
      </c>
      <c r="B8838">
        <v>1.6959138826081499</v>
      </c>
      <c r="C8838" s="1">
        <v>45199</v>
      </c>
    </row>
    <row r="8839" spans="1:3">
      <c r="A8839" t="s">
        <v>87</v>
      </c>
      <c r="B8839">
        <v>9.1202479909149297</v>
      </c>
      <c r="C8839" s="1">
        <v>45199</v>
      </c>
    </row>
    <row r="8840" spans="1:3">
      <c r="A8840" t="s">
        <v>89</v>
      </c>
      <c r="B8840">
        <v>10.5868552077056</v>
      </c>
      <c r="C8840" s="1">
        <v>45199</v>
      </c>
    </row>
    <row r="8841" spans="1:3">
      <c r="A8841" t="s">
        <v>91</v>
      </c>
      <c r="B8841">
        <v>16.027049693730898</v>
      </c>
      <c r="C8841" s="1">
        <v>45199</v>
      </c>
    </row>
    <row r="8842" spans="1:3">
      <c r="A8842" t="s">
        <v>93</v>
      </c>
      <c r="B8842">
        <v>8.2481395373546196</v>
      </c>
      <c r="C8842" s="1">
        <v>45199</v>
      </c>
    </row>
    <row r="8843" spans="1:3">
      <c r="A8843" t="s">
        <v>95</v>
      </c>
      <c r="B8843">
        <v>0.61201524464700996</v>
      </c>
      <c r="C8843" s="1">
        <v>45199</v>
      </c>
    </row>
    <row r="8844" spans="1:3">
      <c r="A8844" t="s">
        <v>97</v>
      </c>
      <c r="B8844">
        <v>2.99054110003578</v>
      </c>
      <c r="C8844" s="1">
        <v>45199</v>
      </c>
    </row>
    <row r="8845" spans="1:3">
      <c r="A8845" t="s">
        <v>99</v>
      </c>
      <c r="B8845">
        <v>4.0075586271335002</v>
      </c>
      <c r="C8845" s="1">
        <v>45199</v>
      </c>
    </row>
    <row r="8846" spans="1:3">
      <c r="A8846" t="s">
        <v>101</v>
      </c>
      <c r="B8846">
        <v>8.1796660190896997</v>
      </c>
      <c r="C8846" s="1">
        <v>45199</v>
      </c>
    </row>
    <row r="8847" spans="1:3">
      <c r="A8847" t="s">
        <v>103</v>
      </c>
      <c r="B8847">
        <v>0.46710617110960001</v>
      </c>
      <c r="C8847" s="1">
        <v>45199</v>
      </c>
    </row>
    <row r="8848" spans="1:3">
      <c r="A8848" t="s">
        <v>105</v>
      </c>
      <c r="B8848">
        <v>0.16189475248684901</v>
      </c>
      <c r="C8848" s="1">
        <v>45199</v>
      </c>
    </row>
    <row r="8849" spans="1:3">
      <c r="A8849" t="s">
        <v>107</v>
      </c>
      <c r="B8849">
        <v>2.2203467201720999</v>
      </c>
      <c r="C8849" s="1">
        <v>45199</v>
      </c>
    </row>
    <row r="8850" spans="1:3">
      <c r="A8850" t="s">
        <v>109</v>
      </c>
      <c r="B8850">
        <v>3.76975912184133</v>
      </c>
      <c r="C8850" s="1">
        <v>45199</v>
      </c>
    </row>
    <row r="8851" spans="1:3">
      <c r="A8851" t="s">
        <v>111</v>
      </c>
      <c r="B8851">
        <v>5.9980678790209998</v>
      </c>
      <c r="C8851" s="1">
        <v>45199</v>
      </c>
    </row>
    <row r="8852" spans="1:3">
      <c r="A8852" t="s">
        <v>113</v>
      </c>
      <c r="B8852">
        <v>5.2491055978441299</v>
      </c>
      <c r="C8852" s="1">
        <v>45199</v>
      </c>
    </row>
    <row r="8853" spans="1:3">
      <c r="A8853" t="s">
        <v>115</v>
      </c>
      <c r="B8853">
        <v>3.6004331348141099</v>
      </c>
      <c r="C8853" s="1">
        <v>45199</v>
      </c>
    </row>
    <row r="8854" spans="1:3">
      <c r="A8854" t="s">
        <v>117</v>
      </c>
      <c r="B8854">
        <v>1.963969128529</v>
      </c>
      <c r="C8854" s="1">
        <v>45199</v>
      </c>
    </row>
    <row r="8855" spans="1:3">
      <c r="A8855" t="s">
        <v>119</v>
      </c>
      <c r="B8855">
        <v>24.140365404424401</v>
      </c>
      <c r="C8855" s="1">
        <v>45199</v>
      </c>
    </row>
    <row r="8856" spans="1:3">
      <c r="A8856" t="s">
        <v>121</v>
      </c>
      <c r="B8856">
        <v>7.8824166374744999</v>
      </c>
      <c r="C8856" s="1">
        <v>45199</v>
      </c>
    </row>
    <row r="8857" spans="1:3">
      <c r="A8857" t="s">
        <v>123</v>
      </c>
      <c r="B8857">
        <v>3.4857798019053901</v>
      </c>
      <c r="C8857" s="1">
        <v>45199</v>
      </c>
    </row>
    <row r="8858" spans="1:3">
      <c r="A8858" t="s">
        <v>125</v>
      </c>
      <c r="B8858">
        <v>160.59694045461899</v>
      </c>
      <c r="C8858" s="1">
        <v>45199</v>
      </c>
    </row>
    <row r="8859" spans="1:3">
      <c r="A8859" t="s">
        <v>127</v>
      </c>
      <c r="B8859">
        <v>5.9901058420134499</v>
      </c>
      <c r="C8859" s="1">
        <v>45199</v>
      </c>
    </row>
    <row r="8860" spans="1:3">
      <c r="A8860" t="s">
        <v>129</v>
      </c>
      <c r="B8860">
        <v>3.3897045553476199</v>
      </c>
      <c r="C8860" s="1">
        <v>45199</v>
      </c>
    </row>
    <row r="8861" spans="1:3">
      <c r="A8861" t="s">
        <v>131</v>
      </c>
      <c r="B8861">
        <v>1.90823486947615</v>
      </c>
      <c r="C8861" s="1">
        <v>45199</v>
      </c>
    </row>
    <row r="8862" spans="1:3">
      <c r="A8862" t="s">
        <v>134</v>
      </c>
      <c r="B8862">
        <v>1.7558945613983501</v>
      </c>
      <c r="C8862" s="1">
        <v>45199</v>
      </c>
    </row>
    <row r="8863" spans="1:3">
      <c r="A8863" t="s">
        <v>136</v>
      </c>
      <c r="B8863">
        <v>12.730766372605199</v>
      </c>
      <c r="C8863" s="1">
        <v>45199</v>
      </c>
    </row>
    <row r="8864" spans="1:3">
      <c r="A8864" t="s">
        <v>138</v>
      </c>
      <c r="B8864">
        <v>14.4792296994632</v>
      </c>
      <c r="C8864" s="1">
        <v>45199</v>
      </c>
    </row>
    <row r="8865" spans="1:3">
      <c r="A8865" t="s">
        <v>140</v>
      </c>
      <c r="B8865">
        <v>13.729205813351999</v>
      </c>
      <c r="C8865" s="1">
        <v>45199</v>
      </c>
    </row>
    <row r="8866" spans="1:3">
      <c r="A8866" t="s">
        <v>142</v>
      </c>
      <c r="B8866">
        <v>5.7815004724156402</v>
      </c>
      <c r="C8866" s="1">
        <v>45199</v>
      </c>
    </row>
    <row r="8867" spans="1:3">
      <c r="A8867" t="s">
        <v>144</v>
      </c>
      <c r="B8867">
        <v>3.1933076424947102</v>
      </c>
      <c r="C8867" s="1">
        <v>45199</v>
      </c>
    </row>
    <row r="8868" spans="1:3">
      <c r="A8868" t="s">
        <v>146</v>
      </c>
      <c r="B8868">
        <v>2.33765406541667</v>
      </c>
      <c r="C8868" s="1">
        <v>45199</v>
      </c>
    </row>
    <row r="8869" spans="1:3">
      <c r="A8869" t="s">
        <v>148</v>
      </c>
      <c r="B8869">
        <v>9.7519029268472401</v>
      </c>
      <c r="C8869" s="1">
        <v>45199</v>
      </c>
    </row>
    <row r="8870" spans="1:3">
      <c r="A8870" t="s">
        <v>150</v>
      </c>
      <c r="B8870">
        <v>3.96190961495688</v>
      </c>
      <c r="C8870" s="1">
        <v>45199</v>
      </c>
    </row>
    <row r="8871" spans="1:3">
      <c r="A8871" t="s">
        <v>152</v>
      </c>
      <c r="B8871">
        <v>16.1746127796042</v>
      </c>
      <c r="C8871" s="1">
        <v>45199</v>
      </c>
    </row>
    <row r="8872" spans="1:3">
      <c r="A8872" t="s">
        <v>154</v>
      </c>
      <c r="B8872">
        <v>8.1451638587236399</v>
      </c>
      <c r="C8872" s="1">
        <v>45199</v>
      </c>
    </row>
    <row r="8873" spans="1:3">
      <c r="A8873" t="s">
        <v>156</v>
      </c>
      <c r="B8873">
        <v>13.855005998071301</v>
      </c>
      <c r="C8873" s="1">
        <v>45199</v>
      </c>
    </row>
    <row r="8874" spans="1:3">
      <c r="A8874" t="s">
        <v>158</v>
      </c>
      <c r="B8874">
        <v>37.472530972333303</v>
      </c>
      <c r="C8874" s="1">
        <v>45199</v>
      </c>
    </row>
    <row r="8875" spans="1:3">
      <c r="A8875" t="s">
        <v>160</v>
      </c>
      <c r="B8875">
        <v>10.7397263182506</v>
      </c>
      <c r="C8875" s="1">
        <v>45199</v>
      </c>
    </row>
    <row r="8876" spans="1:3">
      <c r="A8876" t="s">
        <v>162</v>
      </c>
      <c r="B8876">
        <v>5.2475131904426098</v>
      </c>
      <c r="C8876" s="1">
        <v>45199</v>
      </c>
    </row>
    <row r="8877" spans="1:3">
      <c r="A8877" t="s">
        <v>164</v>
      </c>
      <c r="B8877">
        <v>10.8979054534672</v>
      </c>
      <c r="C8877" s="1">
        <v>45199</v>
      </c>
    </row>
    <row r="8878" spans="1:3">
      <c r="A8878" t="s">
        <v>166</v>
      </c>
      <c r="B8878">
        <v>4.6094886249042801</v>
      </c>
      <c r="C8878" s="1">
        <v>45199</v>
      </c>
    </row>
    <row r="8879" spans="1:3">
      <c r="A8879" t="s">
        <v>168</v>
      </c>
      <c r="B8879">
        <v>9.0284191640945295</v>
      </c>
      <c r="C8879" s="1">
        <v>45199</v>
      </c>
    </row>
    <row r="8880" spans="1:3">
      <c r="A8880" t="s">
        <v>17</v>
      </c>
      <c r="B8880">
        <v>118.274488048192</v>
      </c>
      <c r="C8880" s="1">
        <v>45230</v>
      </c>
    </row>
    <row r="8881" spans="1:3">
      <c r="A8881" t="s">
        <v>4</v>
      </c>
      <c r="B8881">
        <v>0.19363201382546999</v>
      </c>
      <c r="C8881" s="1">
        <v>45230</v>
      </c>
    </row>
    <row r="8882" spans="1:3">
      <c r="A8882" t="s">
        <v>8</v>
      </c>
      <c r="B8882">
        <v>16.0655895107314</v>
      </c>
      <c r="C8882" s="1">
        <v>45230</v>
      </c>
    </row>
    <row r="8883" spans="1:3">
      <c r="A8883" t="s">
        <v>11</v>
      </c>
      <c r="B8883">
        <v>29.784124308426801</v>
      </c>
      <c r="C8883" s="1">
        <v>45230</v>
      </c>
    </row>
    <row r="8884" spans="1:3">
      <c r="A8884" t="s">
        <v>14</v>
      </c>
      <c r="B8884">
        <v>5.5091775173263198</v>
      </c>
      <c r="C8884" s="1">
        <v>45230</v>
      </c>
    </row>
    <row r="8885" spans="1:3">
      <c r="A8885" t="s">
        <v>20</v>
      </c>
      <c r="B8885">
        <v>0.42940432818044999</v>
      </c>
      <c r="C8885" s="1">
        <v>45230</v>
      </c>
    </row>
    <row r="8886" spans="1:3">
      <c r="A8886" t="s">
        <v>24</v>
      </c>
      <c r="B8886">
        <v>0.54142284857534995</v>
      </c>
      <c r="C8886" s="1">
        <v>45230</v>
      </c>
    </row>
    <row r="8887" spans="1:3">
      <c r="A8887" t="s">
        <v>27</v>
      </c>
      <c r="B8887">
        <v>25.422336492859699</v>
      </c>
      <c r="C8887" s="1">
        <v>45230</v>
      </c>
    </row>
    <row r="8888" spans="1:3">
      <c r="A8888" t="s">
        <v>29</v>
      </c>
      <c r="B8888">
        <v>0.99056377320632905</v>
      </c>
      <c r="C8888" s="1">
        <v>45230</v>
      </c>
    </row>
    <row r="8889" spans="1:3">
      <c r="A8889" t="s">
        <v>32</v>
      </c>
      <c r="B8889">
        <v>5.4120947996507303</v>
      </c>
      <c r="C8889" s="1">
        <v>45230</v>
      </c>
    </row>
    <row r="8890" spans="1:3">
      <c r="A8890" t="s">
        <v>35</v>
      </c>
      <c r="B8890">
        <v>2.88794414008566</v>
      </c>
      <c r="C8890" s="1">
        <v>45230</v>
      </c>
    </row>
    <row r="8891" spans="1:3">
      <c r="A8891" t="s">
        <v>37</v>
      </c>
      <c r="B8891">
        <v>0.17282857432356</v>
      </c>
      <c r="C8891" s="1">
        <v>45230</v>
      </c>
    </row>
    <row r="8892" spans="1:3">
      <c r="A8892" t="s">
        <v>39</v>
      </c>
      <c r="B8892">
        <v>1.3026153657349799</v>
      </c>
      <c r="C8892" s="1">
        <v>45230</v>
      </c>
    </row>
    <row r="8893" spans="1:3">
      <c r="A8893" t="s">
        <v>42</v>
      </c>
      <c r="B8893">
        <v>2.7695245613824699</v>
      </c>
      <c r="C8893" s="1">
        <v>45230</v>
      </c>
    </row>
    <row r="8894" spans="1:3">
      <c r="A8894" t="s">
        <v>44</v>
      </c>
      <c r="B8894">
        <v>9.9728488443002394</v>
      </c>
      <c r="C8894" s="1">
        <v>45230</v>
      </c>
    </row>
    <row r="8895" spans="1:3">
      <c r="A8895" t="s">
        <v>47</v>
      </c>
      <c r="B8895">
        <v>4.7207805023564999</v>
      </c>
      <c r="C8895" s="1">
        <v>45230</v>
      </c>
    </row>
    <row r="8896" spans="1:3">
      <c r="A8896" t="s">
        <v>49</v>
      </c>
      <c r="B8896">
        <v>6.0009921640124997</v>
      </c>
      <c r="C8896" s="1">
        <v>45230</v>
      </c>
    </row>
    <row r="8897" spans="1:3">
      <c r="A8897" t="s">
        <v>51</v>
      </c>
      <c r="B8897">
        <v>0.66304295643266997</v>
      </c>
      <c r="C8897" s="1">
        <v>45230</v>
      </c>
    </row>
    <row r="8898" spans="1:3">
      <c r="A8898" t="s">
        <v>53</v>
      </c>
      <c r="B8898">
        <v>0.44167302327131902</v>
      </c>
      <c r="C8898" s="1">
        <v>45230</v>
      </c>
    </row>
    <row r="8899" spans="1:3">
      <c r="A8899" t="s">
        <v>55</v>
      </c>
      <c r="B8899">
        <v>1.61146642910949</v>
      </c>
      <c r="C8899" s="1">
        <v>45230</v>
      </c>
    </row>
    <row r="8900" spans="1:3">
      <c r="A8900" t="s">
        <v>57</v>
      </c>
      <c r="B8900">
        <v>1.1655260336326501</v>
      </c>
      <c r="C8900" s="1">
        <v>45230</v>
      </c>
    </row>
    <row r="8901" spans="1:3">
      <c r="A8901" t="s">
        <v>59</v>
      </c>
      <c r="B8901">
        <v>1.9816609679383499</v>
      </c>
      <c r="C8901" s="1">
        <v>45230</v>
      </c>
    </row>
    <row r="8902" spans="1:3">
      <c r="A8902" t="s">
        <v>61</v>
      </c>
      <c r="B8902">
        <v>88.2753948649124</v>
      </c>
      <c r="C8902" s="1">
        <v>45230</v>
      </c>
    </row>
    <row r="8903" spans="1:3">
      <c r="A8903" t="s">
        <v>63</v>
      </c>
      <c r="B8903">
        <v>7.79062138270245</v>
      </c>
      <c r="C8903" s="1">
        <v>45230</v>
      </c>
    </row>
    <row r="8904" spans="1:3">
      <c r="A8904" t="s">
        <v>65</v>
      </c>
      <c r="B8904">
        <v>0.18669753399149999</v>
      </c>
      <c r="C8904" s="1">
        <v>45230</v>
      </c>
    </row>
    <row r="8905" spans="1:3">
      <c r="A8905" t="s">
        <v>67</v>
      </c>
      <c r="B8905">
        <v>6.8587339773220197</v>
      </c>
      <c r="C8905" s="1">
        <v>45230</v>
      </c>
    </row>
    <row r="8906" spans="1:3">
      <c r="A8906" t="s">
        <v>69</v>
      </c>
      <c r="B8906">
        <v>4.0273325189594997</v>
      </c>
      <c r="C8906" s="1">
        <v>45230</v>
      </c>
    </row>
    <row r="8907" spans="1:3">
      <c r="A8907" t="s">
        <v>71</v>
      </c>
      <c r="B8907">
        <v>1.13192047751417</v>
      </c>
      <c r="C8907" s="1">
        <v>45230</v>
      </c>
    </row>
    <row r="8908" spans="1:3">
      <c r="A8908" t="s">
        <v>73</v>
      </c>
      <c r="B8908">
        <v>0.68864718966578997</v>
      </c>
      <c r="C8908" s="1">
        <v>45230</v>
      </c>
    </row>
    <row r="8909" spans="1:3">
      <c r="A8909" t="s">
        <v>75</v>
      </c>
      <c r="B8909">
        <v>0.101883511406789</v>
      </c>
      <c r="C8909" s="1">
        <v>45230</v>
      </c>
    </row>
    <row r="8910" spans="1:3">
      <c r="A8910" t="s">
        <v>77</v>
      </c>
      <c r="B8910">
        <v>0.516885458393609</v>
      </c>
      <c r="C8910" s="1">
        <v>45230</v>
      </c>
    </row>
    <row r="8911" spans="1:3">
      <c r="A8911" t="s">
        <v>79</v>
      </c>
      <c r="B8911">
        <v>3.0629064005119799</v>
      </c>
      <c r="C8911" s="1">
        <v>45230</v>
      </c>
    </row>
    <row r="8912" spans="1:3">
      <c r="A8912" t="s">
        <v>81</v>
      </c>
      <c r="B8912">
        <v>6.3061092767071703</v>
      </c>
      <c r="C8912" s="1">
        <v>45230</v>
      </c>
    </row>
    <row r="8913" spans="1:3">
      <c r="A8913" t="s">
        <v>83</v>
      </c>
      <c r="B8913">
        <v>0.11895300022887</v>
      </c>
      <c r="C8913" s="1">
        <v>45230</v>
      </c>
    </row>
    <row r="8914" spans="1:3">
      <c r="A8914" t="s">
        <v>85</v>
      </c>
      <c r="B8914">
        <v>1.51278344685684</v>
      </c>
      <c r="C8914" s="1">
        <v>45230</v>
      </c>
    </row>
    <row r="8915" spans="1:3">
      <c r="A8915" t="s">
        <v>87</v>
      </c>
      <c r="B8915">
        <v>9.0302930084059998</v>
      </c>
      <c r="C8915" s="1">
        <v>45230</v>
      </c>
    </row>
    <row r="8916" spans="1:3">
      <c r="A8916" t="s">
        <v>89</v>
      </c>
      <c r="B8916">
        <v>10.402786594006299</v>
      </c>
      <c r="C8916" s="1">
        <v>45230</v>
      </c>
    </row>
    <row r="8917" spans="1:3">
      <c r="A8917" t="s">
        <v>91</v>
      </c>
      <c r="B8917">
        <v>14.5672084450682</v>
      </c>
      <c r="C8917" s="1">
        <v>45230</v>
      </c>
    </row>
    <row r="8918" spans="1:3">
      <c r="A8918" t="s">
        <v>93</v>
      </c>
      <c r="B8918">
        <v>8.2141580741003093</v>
      </c>
      <c r="C8918" s="1">
        <v>45230</v>
      </c>
    </row>
    <row r="8919" spans="1:3">
      <c r="A8919" t="s">
        <v>95</v>
      </c>
      <c r="B8919">
        <v>0.57876235537364995</v>
      </c>
      <c r="C8919" s="1">
        <v>45230</v>
      </c>
    </row>
    <row r="8920" spans="1:3">
      <c r="A8920" t="s">
        <v>97</v>
      </c>
      <c r="B8920">
        <v>3.0869103691680202</v>
      </c>
      <c r="C8920" s="1">
        <v>45230</v>
      </c>
    </row>
    <row r="8921" spans="1:3">
      <c r="A8921" t="s">
        <v>99</v>
      </c>
      <c r="B8921">
        <v>3.6912769577748001</v>
      </c>
      <c r="C8921" s="1">
        <v>45230</v>
      </c>
    </row>
    <row r="8922" spans="1:3">
      <c r="A8922" t="s">
        <v>101</v>
      </c>
      <c r="B8922">
        <v>8.2360283566536001</v>
      </c>
      <c r="C8922" s="1">
        <v>45230</v>
      </c>
    </row>
    <row r="8923" spans="1:3">
      <c r="A8923" t="s">
        <v>103</v>
      </c>
      <c r="B8923">
        <v>0.43740565106579898</v>
      </c>
      <c r="C8923" s="1">
        <v>45230</v>
      </c>
    </row>
    <row r="8924" spans="1:3">
      <c r="A8924" t="s">
        <v>105</v>
      </c>
      <c r="B8924">
        <v>0.14882460566750999</v>
      </c>
      <c r="C8924" s="1">
        <v>45230</v>
      </c>
    </row>
    <row r="8925" spans="1:3">
      <c r="A8925" t="s">
        <v>107</v>
      </c>
      <c r="B8925">
        <v>2.0003307213374999</v>
      </c>
      <c r="C8925" s="1">
        <v>45230</v>
      </c>
    </row>
    <row r="8926" spans="1:3">
      <c r="A8926" t="s">
        <v>109</v>
      </c>
      <c r="B8926">
        <v>4.6071617173845301</v>
      </c>
      <c r="C8926" s="1">
        <v>45230</v>
      </c>
    </row>
    <row r="8927" spans="1:3">
      <c r="A8927" t="s">
        <v>111</v>
      </c>
      <c r="B8927">
        <v>5.8895070651432802</v>
      </c>
      <c r="C8927" s="1">
        <v>45230</v>
      </c>
    </row>
    <row r="8928" spans="1:3">
      <c r="A8928" t="s">
        <v>113</v>
      </c>
      <c r="B8928">
        <v>5.3720881852239897</v>
      </c>
      <c r="C8928" s="1">
        <v>45230</v>
      </c>
    </row>
    <row r="8929" spans="1:3">
      <c r="A8929" t="s">
        <v>115</v>
      </c>
      <c r="B8929">
        <v>3.70141196676291</v>
      </c>
      <c r="C8929" s="1">
        <v>45230</v>
      </c>
    </row>
    <row r="8930" spans="1:3">
      <c r="A8930" t="s">
        <v>117</v>
      </c>
      <c r="B8930">
        <v>1.3335538142249901</v>
      </c>
      <c r="C8930" s="1">
        <v>45230</v>
      </c>
    </row>
    <row r="8931" spans="1:3">
      <c r="A8931" t="s">
        <v>119</v>
      </c>
      <c r="B8931">
        <v>26.341421781623499</v>
      </c>
      <c r="C8931" s="1">
        <v>45230</v>
      </c>
    </row>
    <row r="8932" spans="1:3">
      <c r="A8932" t="s">
        <v>121</v>
      </c>
      <c r="B8932">
        <v>7.6855373421415196</v>
      </c>
      <c r="C8932" s="1">
        <v>45230</v>
      </c>
    </row>
    <row r="8933" spans="1:3">
      <c r="A8933" t="s">
        <v>123</v>
      </c>
      <c r="B8933">
        <v>3.4869765134355299</v>
      </c>
      <c r="C8933" s="1">
        <v>45230</v>
      </c>
    </row>
    <row r="8934" spans="1:3">
      <c r="A8934" t="s">
        <v>125</v>
      </c>
      <c r="B8934">
        <v>155.18992473356801</v>
      </c>
      <c r="C8934" s="1">
        <v>45230</v>
      </c>
    </row>
    <row r="8935" spans="1:3">
      <c r="A8935" t="s">
        <v>127</v>
      </c>
      <c r="B8935">
        <v>4.85306904072762</v>
      </c>
      <c r="C8935" s="1">
        <v>45230</v>
      </c>
    </row>
    <row r="8936" spans="1:3">
      <c r="A8936" t="s">
        <v>129</v>
      </c>
      <c r="B8936">
        <v>3.2773418538393502</v>
      </c>
      <c r="C8936" s="1">
        <v>45230</v>
      </c>
    </row>
    <row r="8937" spans="1:3">
      <c r="A8937" t="s">
        <v>131</v>
      </c>
      <c r="B8937">
        <v>1.8803108780572499</v>
      </c>
      <c r="C8937" s="1">
        <v>45230</v>
      </c>
    </row>
    <row r="8938" spans="1:3">
      <c r="A8938" t="s">
        <v>134</v>
      </c>
      <c r="B8938">
        <v>1.69521360864282</v>
      </c>
      <c r="C8938" s="1">
        <v>45230</v>
      </c>
    </row>
    <row r="8939" spans="1:3">
      <c r="A8939" t="s">
        <v>136</v>
      </c>
      <c r="B8939">
        <v>12.7397062980542</v>
      </c>
      <c r="C8939" s="1">
        <v>45230</v>
      </c>
    </row>
    <row r="8940" spans="1:3">
      <c r="A8940" t="s">
        <v>138</v>
      </c>
      <c r="B8940">
        <v>14.0721932692278</v>
      </c>
      <c r="C8940" s="1">
        <v>45230</v>
      </c>
    </row>
    <row r="8941" spans="1:3">
      <c r="A8941" t="s">
        <v>140</v>
      </c>
      <c r="B8941">
        <v>14.6498887815501</v>
      </c>
      <c r="C8941" s="1">
        <v>45230</v>
      </c>
    </row>
    <row r="8942" spans="1:3">
      <c r="A8942" t="s">
        <v>142</v>
      </c>
      <c r="B8942">
        <v>5.4392992974609298</v>
      </c>
      <c r="C8942" s="1">
        <v>45230</v>
      </c>
    </row>
    <row r="8943" spans="1:3">
      <c r="A8943" t="s">
        <v>144</v>
      </c>
      <c r="B8943">
        <v>3.1306509342746098</v>
      </c>
      <c r="C8943" s="1">
        <v>45230</v>
      </c>
    </row>
    <row r="8944" spans="1:3">
      <c r="A8944" t="s">
        <v>146</v>
      </c>
      <c r="B8944">
        <v>2.09154580223049</v>
      </c>
      <c r="C8944" s="1">
        <v>45230</v>
      </c>
    </row>
    <row r="8945" spans="1:3">
      <c r="A8945" t="s">
        <v>148</v>
      </c>
      <c r="B8945">
        <v>9.7557462833444095</v>
      </c>
      <c r="C8945" s="1">
        <v>45230</v>
      </c>
    </row>
    <row r="8946" spans="1:3">
      <c r="A8946" t="s">
        <v>150</v>
      </c>
      <c r="B8946">
        <v>3.7131472403280799</v>
      </c>
      <c r="C8946" s="1">
        <v>45230</v>
      </c>
    </row>
    <row r="8947" spans="1:3">
      <c r="A8947" t="s">
        <v>152</v>
      </c>
      <c r="B8947">
        <v>18.376371560020399</v>
      </c>
      <c r="C8947" s="1">
        <v>45230</v>
      </c>
    </row>
    <row r="8948" spans="1:3">
      <c r="A8948" t="s">
        <v>154</v>
      </c>
      <c r="B8948">
        <v>9.1956536813698992</v>
      </c>
      <c r="C8948" s="1">
        <v>45230</v>
      </c>
    </row>
    <row r="8949" spans="1:3">
      <c r="A8949" t="s">
        <v>156</v>
      </c>
      <c r="B8949">
        <v>12.5983495937464</v>
      </c>
      <c r="C8949" s="1">
        <v>45230</v>
      </c>
    </row>
    <row r="8950" spans="1:3">
      <c r="A8950" t="s">
        <v>158</v>
      </c>
      <c r="B8950">
        <v>33.285503203055903</v>
      </c>
      <c r="C8950" s="1">
        <v>45230</v>
      </c>
    </row>
    <row r="8951" spans="1:3">
      <c r="A8951" t="s">
        <v>160</v>
      </c>
      <c r="B8951">
        <v>10.6988355407643</v>
      </c>
      <c r="C8951" s="1">
        <v>45230</v>
      </c>
    </row>
    <row r="8952" spans="1:3">
      <c r="A8952" t="s">
        <v>162</v>
      </c>
      <c r="B8952">
        <v>4.1436184115599204</v>
      </c>
      <c r="C8952" s="1">
        <v>45230</v>
      </c>
    </row>
    <row r="8953" spans="1:3">
      <c r="A8953" t="s">
        <v>164</v>
      </c>
      <c r="B8953">
        <v>13.2539246488194</v>
      </c>
      <c r="C8953" s="1">
        <v>45230</v>
      </c>
    </row>
    <row r="8954" spans="1:3">
      <c r="A8954" t="s">
        <v>166</v>
      </c>
      <c r="B8954">
        <v>4.1814913398839098</v>
      </c>
      <c r="C8954" s="1">
        <v>45230</v>
      </c>
    </row>
    <row r="8955" spans="1:3">
      <c r="A8955" t="s">
        <v>168</v>
      </c>
      <c r="B8955">
        <v>8.1922877915470202</v>
      </c>
      <c r="C8955" s="1">
        <v>45230</v>
      </c>
    </row>
    <row r="8956" spans="1:3">
      <c r="A8956" t="s">
        <v>17</v>
      </c>
      <c r="B8956">
        <v>124.12928759938499</v>
      </c>
      <c r="C8956" s="1">
        <v>45260</v>
      </c>
    </row>
    <row r="8957" spans="1:3">
      <c r="A8957" t="s">
        <v>4</v>
      </c>
      <c r="B8957">
        <v>0.2163588390509</v>
      </c>
      <c r="C8957" s="1">
        <v>45260</v>
      </c>
    </row>
    <row r="8958" spans="1:3">
      <c r="A8958" t="s">
        <v>8</v>
      </c>
      <c r="B8958">
        <v>17.564643799534601</v>
      </c>
      <c r="C8958" s="1">
        <v>45260</v>
      </c>
    </row>
    <row r="8959" spans="1:3">
      <c r="A8959" t="s">
        <v>11</v>
      </c>
      <c r="B8959">
        <v>31.733509234941099</v>
      </c>
      <c r="C8959" s="1">
        <v>45260</v>
      </c>
    </row>
    <row r="8960" spans="1:3">
      <c r="A8960" t="s">
        <v>14</v>
      </c>
      <c r="B8960">
        <v>6.45224274408623</v>
      </c>
      <c r="C8960" s="1">
        <v>45260</v>
      </c>
    </row>
    <row r="8961" spans="1:3">
      <c r="A8961" t="s">
        <v>20</v>
      </c>
      <c r="B8961">
        <v>0.45646437994884997</v>
      </c>
      <c r="C8961" s="1">
        <v>45260</v>
      </c>
    </row>
    <row r="8962" spans="1:3">
      <c r="A8962" t="s">
        <v>24</v>
      </c>
      <c r="B8962">
        <v>0.59472295514722995</v>
      </c>
      <c r="C8962" s="1">
        <v>45260</v>
      </c>
    </row>
    <row r="8963" spans="1:3">
      <c r="A8963" t="s">
        <v>27</v>
      </c>
      <c r="B8963">
        <v>26.997889182153799</v>
      </c>
      <c r="C8963" s="1">
        <v>45260</v>
      </c>
    </row>
    <row r="8964" spans="1:3">
      <c r="A8964" t="s">
        <v>29</v>
      </c>
      <c r="B8964">
        <v>0.9551451187369</v>
      </c>
      <c r="C8964" s="1">
        <v>45260</v>
      </c>
    </row>
    <row r="8965" spans="1:3">
      <c r="A8965" t="s">
        <v>32</v>
      </c>
      <c r="B8965">
        <v>5.1187335092530004</v>
      </c>
      <c r="C8965" s="1">
        <v>45260</v>
      </c>
    </row>
    <row r="8966" spans="1:3">
      <c r="A8966" t="s">
        <v>35</v>
      </c>
      <c r="B8966">
        <v>2.8606860158412899</v>
      </c>
      <c r="C8966" s="1">
        <v>45260</v>
      </c>
    </row>
    <row r="8967" spans="1:3">
      <c r="A8967" t="s">
        <v>37</v>
      </c>
      <c r="B8967">
        <v>0.19788918205875</v>
      </c>
      <c r="C8967" s="1">
        <v>45260</v>
      </c>
    </row>
    <row r="8968" spans="1:3">
      <c r="A8968" t="s">
        <v>39</v>
      </c>
      <c r="B8968">
        <v>1.3889182058096801</v>
      </c>
      <c r="C8968" s="1">
        <v>45260</v>
      </c>
    </row>
    <row r="8969" spans="1:3">
      <c r="A8969" t="s">
        <v>42</v>
      </c>
      <c r="B8969">
        <v>2.9794195250765401</v>
      </c>
      <c r="C8969" s="1">
        <v>45260</v>
      </c>
    </row>
    <row r="8970" spans="1:3">
      <c r="A8970" t="s">
        <v>44</v>
      </c>
      <c r="B8970">
        <v>9.9076517150747492</v>
      </c>
      <c r="C8970" s="1">
        <v>45260</v>
      </c>
    </row>
    <row r="8971" spans="1:3">
      <c r="A8971" t="s">
        <v>47</v>
      </c>
      <c r="B8971">
        <v>4.6622691293041498</v>
      </c>
      <c r="C8971" s="1">
        <v>45260</v>
      </c>
    </row>
    <row r="8972" spans="1:3">
      <c r="A8972" t="s">
        <v>49</v>
      </c>
      <c r="B8972">
        <v>6.1477572559585001</v>
      </c>
      <c r="C8972" s="1">
        <v>45260</v>
      </c>
    </row>
    <row r="8973" spans="1:3">
      <c r="A8973" t="s">
        <v>51</v>
      </c>
      <c r="B8973">
        <v>0.69973614775974002</v>
      </c>
      <c r="C8973" s="1">
        <v>45260</v>
      </c>
    </row>
    <row r="8974" spans="1:3">
      <c r="A8974" t="s">
        <v>53</v>
      </c>
      <c r="B8974">
        <v>0.43641160950023</v>
      </c>
      <c r="C8974" s="1">
        <v>45260</v>
      </c>
    </row>
    <row r="8975" spans="1:3">
      <c r="A8975" t="s">
        <v>55</v>
      </c>
      <c r="B8975">
        <v>1.66596306069193</v>
      </c>
      <c r="C8975" s="1">
        <v>45260</v>
      </c>
    </row>
    <row r="8976" spans="1:3">
      <c r="A8976" t="s">
        <v>57</v>
      </c>
      <c r="B8976">
        <v>1.33456464380421</v>
      </c>
      <c r="C8976" s="1">
        <v>45260</v>
      </c>
    </row>
    <row r="8977" spans="1:3">
      <c r="A8977" t="s">
        <v>59</v>
      </c>
      <c r="B8977">
        <v>2.1113456464454901</v>
      </c>
      <c r="C8977" s="1">
        <v>45260</v>
      </c>
    </row>
    <row r="8978" spans="1:3">
      <c r="A8978" t="s">
        <v>61</v>
      </c>
      <c r="B8978">
        <v>103.467546174509</v>
      </c>
      <c r="C8978" s="1">
        <v>45260</v>
      </c>
    </row>
    <row r="8979" spans="1:3">
      <c r="A8979" t="s">
        <v>63</v>
      </c>
      <c r="B8979">
        <v>8.4353562005576492</v>
      </c>
      <c r="C8979" s="1">
        <v>45260</v>
      </c>
    </row>
    <row r="8980" spans="1:3">
      <c r="A8980" t="s">
        <v>65</v>
      </c>
      <c r="B8980">
        <v>0.18311345646502999</v>
      </c>
      <c r="C8980" s="1">
        <v>45260</v>
      </c>
    </row>
    <row r="8981" spans="1:3">
      <c r="A8981" t="s">
        <v>67</v>
      </c>
      <c r="B8981">
        <v>7.02058047495896</v>
      </c>
      <c r="C8981" s="1">
        <v>45260</v>
      </c>
    </row>
    <row r="8982" spans="1:3">
      <c r="A8982" t="s">
        <v>69</v>
      </c>
      <c r="B8982">
        <v>4.0416886543679098</v>
      </c>
      <c r="C8982" s="1">
        <v>45260</v>
      </c>
    </row>
    <row r="8983" spans="1:3">
      <c r="A8983" t="s">
        <v>71</v>
      </c>
      <c r="B8983">
        <v>1.2928759894505</v>
      </c>
      <c r="C8983" s="1">
        <v>45260</v>
      </c>
    </row>
    <row r="8984" spans="1:3">
      <c r="A8984" t="s">
        <v>73</v>
      </c>
      <c r="B8984">
        <v>0.72928759894717998</v>
      </c>
      <c r="C8984" s="1">
        <v>45260</v>
      </c>
    </row>
    <row r="8985" spans="1:3">
      <c r="A8985" t="s">
        <v>75</v>
      </c>
      <c r="B8985">
        <v>0.10976253298192</v>
      </c>
      <c r="C8985" s="1">
        <v>45260</v>
      </c>
    </row>
    <row r="8986" spans="1:3">
      <c r="A8986" t="s">
        <v>77</v>
      </c>
      <c r="B8986">
        <v>0.5593667546194</v>
      </c>
      <c r="C8986" s="1">
        <v>45260</v>
      </c>
    </row>
    <row r="8987" spans="1:3">
      <c r="A8987" t="s">
        <v>79</v>
      </c>
      <c r="B8987">
        <v>3.11398416887649</v>
      </c>
      <c r="C8987" s="1">
        <v>45260</v>
      </c>
    </row>
    <row r="8988" spans="1:3">
      <c r="A8988" t="s">
        <v>81</v>
      </c>
      <c r="B8988">
        <v>6.6490765171739996</v>
      </c>
      <c r="C8988" s="1">
        <v>45260</v>
      </c>
    </row>
    <row r="8989" spans="1:3">
      <c r="A8989" t="s">
        <v>83</v>
      </c>
      <c r="B8989">
        <v>0.12823218997406999</v>
      </c>
      <c r="C8989" s="1">
        <v>45260</v>
      </c>
    </row>
    <row r="8990" spans="1:3">
      <c r="A8990" t="s">
        <v>85</v>
      </c>
      <c r="B8990">
        <v>1.3519788918253799</v>
      </c>
      <c r="C8990" s="1">
        <v>45260</v>
      </c>
    </row>
    <row r="8991" spans="1:3">
      <c r="A8991" t="s">
        <v>87</v>
      </c>
      <c r="B8991">
        <v>9.7693931398763691</v>
      </c>
      <c r="C8991" s="1">
        <v>45260</v>
      </c>
    </row>
    <row r="8992" spans="1:3">
      <c r="A8992" t="s">
        <v>89</v>
      </c>
      <c r="B8992">
        <v>10.184696569957</v>
      </c>
      <c r="C8992" s="1">
        <v>45260</v>
      </c>
    </row>
    <row r="8993" spans="1:3">
      <c r="A8993" t="s">
        <v>91</v>
      </c>
      <c r="B8993">
        <v>15.289709762587201</v>
      </c>
      <c r="C8993" s="1">
        <v>45260</v>
      </c>
    </row>
    <row r="8994" spans="1:3">
      <c r="A8994" t="s">
        <v>93</v>
      </c>
      <c r="B8994">
        <v>8.8654353562320001</v>
      </c>
      <c r="C8994" s="1">
        <v>45260</v>
      </c>
    </row>
    <row r="8995" spans="1:3">
      <c r="A8995" t="s">
        <v>95</v>
      </c>
      <c r="B8995">
        <v>0.54617414248215002</v>
      </c>
      <c r="C8995" s="1">
        <v>45260</v>
      </c>
    </row>
    <row r="8996" spans="1:3">
      <c r="A8996" t="s">
        <v>97</v>
      </c>
      <c r="B8996">
        <v>3.1430079155784401</v>
      </c>
      <c r="C8996" s="1">
        <v>45260</v>
      </c>
    </row>
    <row r="8997" spans="1:3">
      <c r="A8997" t="s">
        <v>99</v>
      </c>
      <c r="B8997">
        <v>3.5873350923610201</v>
      </c>
      <c r="C8997" s="1">
        <v>45260</v>
      </c>
    </row>
    <row r="8998" spans="1:3">
      <c r="A8998" t="s">
        <v>101</v>
      </c>
      <c r="B8998">
        <v>8.6121372031968004</v>
      </c>
      <c r="C8998" s="1">
        <v>45260</v>
      </c>
    </row>
    <row r="8999" spans="1:3">
      <c r="A8999" t="s">
        <v>103</v>
      </c>
      <c r="B8999">
        <v>0.45382585752139998</v>
      </c>
      <c r="C8999" s="1">
        <v>45260</v>
      </c>
    </row>
    <row r="9000" spans="1:3">
      <c r="A9000" t="s">
        <v>105</v>
      </c>
      <c r="B9000">
        <v>0.19261213720385001</v>
      </c>
      <c r="C9000" s="1">
        <v>45260</v>
      </c>
    </row>
    <row r="9001" spans="1:3">
      <c r="A9001" t="s">
        <v>107</v>
      </c>
      <c r="B9001">
        <v>2.1055408971051</v>
      </c>
      <c r="C9001" s="1">
        <v>45260</v>
      </c>
    </row>
    <row r="9002" spans="1:3">
      <c r="A9002" t="s">
        <v>109</v>
      </c>
      <c r="B9002">
        <v>6.1704485488345702</v>
      </c>
      <c r="C9002" s="1">
        <v>45260</v>
      </c>
    </row>
    <row r="9003" spans="1:3">
      <c r="A9003" t="s">
        <v>111</v>
      </c>
      <c r="B9003">
        <v>5.4522427440826799</v>
      </c>
      <c r="C9003" s="1">
        <v>45260</v>
      </c>
    </row>
    <row r="9004" spans="1:3">
      <c r="A9004" t="s">
        <v>113</v>
      </c>
      <c r="B9004">
        <v>5.7715039578041303</v>
      </c>
      <c r="C9004" s="1">
        <v>45260</v>
      </c>
    </row>
    <row r="9005" spans="1:3">
      <c r="A9005" t="s">
        <v>115</v>
      </c>
      <c r="B9005">
        <v>3.5620052770575001</v>
      </c>
      <c r="C9005" s="1">
        <v>45260</v>
      </c>
    </row>
    <row r="9006" spans="1:3">
      <c r="A9006" t="s">
        <v>117</v>
      </c>
      <c r="B9006">
        <v>1.2559366754662</v>
      </c>
      <c r="C9006" s="1">
        <v>45260</v>
      </c>
    </row>
    <row r="9007" spans="1:3">
      <c r="A9007" t="s">
        <v>119</v>
      </c>
      <c r="B9007">
        <v>31.254353562116201</v>
      </c>
      <c r="C9007" s="1">
        <v>45260</v>
      </c>
    </row>
    <row r="9008" spans="1:3">
      <c r="A9008" t="s">
        <v>121</v>
      </c>
      <c r="B9008">
        <v>7.6627968338002903</v>
      </c>
      <c r="C9008" s="1">
        <v>45260</v>
      </c>
    </row>
    <row r="9009" spans="1:3">
      <c r="A9009" t="s">
        <v>123</v>
      </c>
      <c r="B9009">
        <v>3.58364116096259</v>
      </c>
      <c r="C9009" s="1">
        <v>45260</v>
      </c>
    </row>
    <row r="9010" spans="1:3">
      <c r="A9010" t="s">
        <v>125</v>
      </c>
      <c r="B9010">
        <v>183.30079155737801</v>
      </c>
      <c r="C9010" s="1">
        <v>45260</v>
      </c>
    </row>
    <row r="9011" spans="1:3">
      <c r="A9011" t="s">
        <v>127</v>
      </c>
      <c r="B9011">
        <v>5.4321899736340598</v>
      </c>
      <c r="C9011" s="1">
        <v>45260</v>
      </c>
    </row>
    <row r="9012" spans="1:3">
      <c r="A9012" t="s">
        <v>129</v>
      </c>
      <c r="B9012">
        <v>3.55831134565907</v>
      </c>
      <c r="C9012" s="1">
        <v>45260</v>
      </c>
    </row>
    <row r="9013" spans="1:3">
      <c r="A9013" t="s">
        <v>131</v>
      </c>
      <c r="B9013">
        <v>1.8469656992150001</v>
      </c>
      <c r="C9013" s="1">
        <v>45260</v>
      </c>
    </row>
    <row r="9014" spans="1:3">
      <c r="A9014" t="s">
        <v>134</v>
      </c>
      <c r="B9014">
        <v>1.53403693931943</v>
      </c>
      <c r="C9014" s="1">
        <v>45260</v>
      </c>
    </row>
    <row r="9015" spans="1:3">
      <c r="A9015" t="s">
        <v>136</v>
      </c>
      <c r="B9015">
        <v>13.5699208443753</v>
      </c>
      <c r="C9015" s="1">
        <v>45260</v>
      </c>
    </row>
    <row r="9016" spans="1:3">
      <c r="A9016" t="s">
        <v>138</v>
      </c>
      <c r="B9016">
        <v>12.4416886543977</v>
      </c>
      <c r="C9016" s="1">
        <v>45260</v>
      </c>
    </row>
    <row r="9017" spans="1:3">
      <c r="A9017" t="s">
        <v>140</v>
      </c>
      <c r="B9017">
        <v>15.574670184751801</v>
      </c>
      <c r="C9017" s="1">
        <v>45260</v>
      </c>
    </row>
    <row r="9018" spans="1:3">
      <c r="A9018" t="s">
        <v>142</v>
      </c>
      <c r="B9018">
        <v>6.3562005277270499</v>
      </c>
      <c r="C9018" s="1">
        <v>45260</v>
      </c>
    </row>
    <row r="9019" spans="1:3">
      <c r="A9019" t="s">
        <v>144</v>
      </c>
      <c r="B9019">
        <v>3.25857519790075</v>
      </c>
      <c r="C9019" s="1">
        <v>45260</v>
      </c>
    </row>
    <row r="9020" spans="1:3">
      <c r="A9020" t="s">
        <v>146</v>
      </c>
      <c r="B9020">
        <v>2.0849604221709899</v>
      </c>
      <c r="C9020" s="1">
        <v>45260</v>
      </c>
    </row>
    <row r="9021" spans="1:3">
      <c r="A9021" t="s">
        <v>148</v>
      </c>
      <c r="B9021">
        <v>10.5656992084807</v>
      </c>
      <c r="C9021" s="1">
        <v>45260</v>
      </c>
    </row>
    <row r="9022" spans="1:3">
      <c r="A9022" t="s">
        <v>150</v>
      </c>
      <c r="B9022">
        <v>4.1335092348431699</v>
      </c>
      <c r="C9022" s="1">
        <v>45260</v>
      </c>
    </row>
    <row r="9023" spans="1:3">
      <c r="A9023" t="s">
        <v>152</v>
      </c>
      <c r="B9023">
        <v>19.2237467019152</v>
      </c>
      <c r="C9023" s="1">
        <v>45260</v>
      </c>
    </row>
    <row r="9024" spans="1:3">
      <c r="A9024" t="s">
        <v>154</v>
      </c>
      <c r="B9024">
        <v>9.6543535620395495</v>
      </c>
      <c r="C9024" s="1">
        <v>45260</v>
      </c>
    </row>
    <row r="9025" spans="1:3">
      <c r="A9025" t="s">
        <v>156</v>
      </c>
      <c r="B9025">
        <v>11.055408971015501</v>
      </c>
      <c r="C9025" s="1">
        <v>45260</v>
      </c>
    </row>
    <row r="9026" spans="1:3">
      <c r="A9026" t="s">
        <v>158</v>
      </c>
      <c r="B9026">
        <v>42.091292876138802</v>
      </c>
      <c r="C9026" s="1">
        <v>45260</v>
      </c>
    </row>
    <row r="9027" spans="1:3">
      <c r="A9027" t="s">
        <v>160</v>
      </c>
      <c r="B9027">
        <v>11.2823218997762</v>
      </c>
      <c r="C9027" s="1">
        <v>45260</v>
      </c>
    </row>
    <row r="9028" spans="1:3">
      <c r="A9028" t="s">
        <v>162</v>
      </c>
      <c r="B9028">
        <v>4.0437994723098702</v>
      </c>
      <c r="C9028" s="1">
        <v>45260</v>
      </c>
    </row>
    <row r="9029" spans="1:3">
      <c r="A9029" t="s">
        <v>164</v>
      </c>
      <c r="B9029">
        <v>15.0295514512406</v>
      </c>
      <c r="C9029" s="1">
        <v>45260</v>
      </c>
    </row>
    <row r="9030" spans="1:3">
      <c r="A9030" t="s">
        <v>166</v>
      </c>
      <c r="B9030">
        <v>4.0237467018612501</v>
      </c>
      <c r="C9030" s="1">
        <v>45260</v>
      </c>
    </row>
    <row r="9031" spans="1:3">
      <c r="A9031" t="s">
        <v>168</v>
      </c>
      <c r="B9031">
        <v>9.5894459103242795</v>
      </c>
      <c r="C9031" s="1">
        <v>45260</v>
      </c>
    </row>
    <row r="9032" spans="1:3">
      <c r="A9032" t="s">
        <v>17</v>
      </c>
      <c r="B9032">
        <v>140.40246069638101</v>
      </c>
      <c r="C9032" s="1">
        <v>45291</v>
      </c>
    </row>
    <row r="9033" spans="1:3">
      <c r="A9033" t="s">
        <v>4</v>
      </c>
      <c r="B9033">
        <v>0.22365003417505</v>
      </c>
      <c r="C9033" s="1">
        <v>45291</v>
      </c>
    </row>
    <row r="9034" spans="1:3">
      <c r="A9034" t="s">
        <v>8</v>
      </c>
      <c r="B9034">
        <v>19.849624060035001</v>
      </c>
      <c r="C9034" s="1">
        <v>45291</v>
      </c>
    </row>
    <row r="9035" spans="1:3">
      <c r="A9035" t="s">
        <v>11</v>
      </c>
      <c r="B9035">
        <v>29.610936431816899</v>
      </c>
      <c r="C9035" s="1">
        <v>45291</v>
      </c>
    </row>
    <row r="9036" spans="1:3">
      <c r="A9036" t="s">
        <v>14</v>
      </c>
      <c r="B9036">
        <v>6.8872180450727498</v>
      </c>
      <c r="C9036" s="1">
        <v>45291</v>
      </c>
    </row>
    <row r="9037" spans="1:3">
      <c r="A9037" t="s">
        <v>20</v>
      </c>
      <c r="B9037">
        <v>0.50416951469289994</v>
      </c>
      <c r="C9037" s="1">
        <v>45291</v>
      </c>
    </row>
    <row r="9038" spans="1:3">
      <c r="A9038" t="s">
        <v>24</v>
      </c>
      <c r="B9038">
        <v>0.63704716335925005</v>
      </c>
      <c r="C9038" s="1">
        <v>45291</v>
      </c>
    </row>
    <row r="9039" spans="1:3">
      <c r="A9039" t="s">
        <v>27</v>
      </c>
      <c r="B9039">
        <v>25.891455912358001</v>
      </c>
      <c r="C9039" s="1">
        <v>45291</v>
      </c>
    </row>
    <row r="9040" spans="1:3">
      <c r="A9040" t="s">
        <v>29</v>
      </c>
      <c r="B9040">
        <v>1.0045112781896499</v>
      </c>
      <c r="C9040" s="1">
        <v>45291</v>
      </c>
    </row>
    <row r="9041" spans="1:3">
      <c r="A9041" t="s">
        <v>32</v>
      </c>
      <c r="B9041">
        <v>5.7963089541699997</v>
      </c>
      <c r="C9041" s="1">
        <v>45291</v>
      </c>
    </row>
    <row r="9042" spans="1:3">
      <c r="A9042" t="s">
        <v>35</v>
      </c>
      <c r="B9042">
        <v>3.2863978126945002</v>
      </c>
      <c r="C9042" s="1">
        <v>45291</v>
      </c>
    </row>
    <row r="9043" spans="1:3">
      <c r="A9043" t="s">
        <v>37</v>
      </c>
      <c r="B9043">
        <v>0.21216678058659999</v>
      </c>
      <c r="C9043" s="1">
        <v>45291</v>
      </c>
    </row>
    <row r="9044" spans="1:3">
      <c r="A9044" t="s">
        <v>39</v>
      </c>
      <c r="B9044">
        <v>1.5157894736754001</v>
      </c>
      <c r="C9044" s="1">
        <v>45291</v>
      </c>
    </row>
    <row r="9045" spans="1:3">
      <c r="A9045" t="s">
        <v>42</v>
      </c>
      <c r="B9045">
        <v>3.4449760765350002</v>
      </c>
      <c r="C9045" s="1">
        <v>45291</v>
      </c>
    </row>
    <row r="9046" spans="1:3">
      <c r="A9046" t="s">
        <v>44</v>
      </c>
      <c r="B9046">
        <v>11.181408065553599</v>
      </c>
      <c r="C9046" s="1">
        <v>45291</v>
      </c>
    </row>
    <row r="9047" spans="1:3">
      <c r="A9047" t="s">
        <v>47</v>
      </c>
      <c r="B9047">
        <v>5.0548188653158004</v>
      </c>
      <c r="C9047" s="1">
        <v>45291</v>
      </c>
    </row>
    <row r="9048" spans="1:3">
      <c r="A9048" t="s">
        <v>49</v>
      </c>
      <c r="B9048">
        <v>6.4470266575155</v>
      </c>
      <c r="C9048" s="1">
        <v>45291</v>
      </c>
    </row>
    <row r="9049" spans="1:3">
      <c r="A9049" t="s">
        <v>51</v>
      </c>
      <c r="B9049">
        <v>0.77211209842340001</v>
      </c>
      <c r="C9049" s="1">
        <v>45291</v>
      </c>
    </row>
    <row r="9050" spans="1:3">
      <c r="A9050" t="s">
        <v>53</v>
      </c>
      <c r="B9050">
        <v>0.46753246752974997</v>
      </c>
      <c r="C9050" s="1">
        <v>45291</v>
      </c>
    </row>
    <row r="9051" spans="1:3">
      <c r="A9051" t="s">
        <v>55</v>
      </c>
      <c r="B9051">
        <v>1.7038961038861999</v>
      </c>
      <c r="C9051" s="1">
        <v>45291</v>
      </c>
    </row>
    <row r="9052" spans="1:3">
      <c r="A9052" t="s">
        <v>57</v>
      </c>
      <c r="B9052">
        <v>1.6262474367643001</v>
      </c>
      <c r="C9052" s="1">
        <v>45291</v>
      </c>
    </row>
    <row r="9053" spans="1:3">
      <c r="A9053" t="s">
        <v>59</v>
      </c>
      <c r="B9053">
        <v>2.4218728639640501</v>
      </c>
      <c r="C9053" s="1">
        <v>45291</v>
      </c>
    </row>
    <row r="9054" spans="1:3">
      <c r="A9054" t="s">
        <v>61</v>
      </c>
      <c r="B9054">
        <v>110.80574162615</v>
      </c>
      <c r="C9054" s="1">
        <v>45291</v>
      </c>
    </row>
    <row r="9055" spans="1:3">
      <c r="A9055" t="s">
        <v>63</v>
      </c>
      <c r="B9055">
        <v>8.0147641831386505</v>
      </c>
      <c r="C9055" s="1">
        <v>45291</v>
      </c>
    </row>
    <row r="9056" spans="1:3">
      <c r="A9056" t="s">
        <v>65</v>
      </c>
      <c r="B9056">
        <v>0.21052631578825001</v>
      </c>
      <c r="C9056" s="1">
        <v>45291</v>
      </c>
    </row>
    <row r="9057" spans="1:3">
      <c r="A9057" t="s">
        <v>67</v>
      </c>
      <c r="B9057">
        <v>7.8567327408976002</v>
      </c>
      <c r="C9057" s="1">
        <v>45291</v>
      </c>
    </row>
    <row r="9058" spans="1:3">
      <c r="A9058" t="s">
        <v>69</v>
      </c>
      <c r="B9058">
        <v>4.0656185919107397</v>
      </c>
      <c r="C9058" s="1">
        <v>45291</v>
      </c>
    </row>
    <row r="9059" spans="1:3">
      <c r="A9059" t="s">
        <v>71</v>
      </c>
      <c r="B9059">
        <v>1.3419002050502999</v>
      </c>
      <c r="C9059" s="1">
        <v>45291</v>
      </c>
    </row>
    <row r="9060" spans="1:3">
      <c r="A9060" t="s">
        <v>73</v>
      </c>
      <c r="B9060">
        <v>0.77867395761680003</v>
      </c>
      <c r="C9060" s="1">
        <v>45291</v>
      </c>
    </row>
    <row r="9061" spans="1:3">
      <c r="A9061" t="s">
        <v>75</v>
      </c>
      <c r="B9061">
        <v>0.12686261107239999</v>
      </c>
      <c r="C9061" s="1">
        <v>45291</v>
      </c>
    </row>
    <row r="9062" spans="1:3">
      <c r="A9062" t="s">
        <v>77</v>
      </c>
      <c r="B9062">
        <v>0.63868762815760005</v>
      </c>
      <c r="C9062" s="1">
        <v>45291</v>
      </c>
    </row>
    <row r="9063" spans="1:3">
      <c r="A9063" t="s">
        <v>79</v>
      </c>
      <c r="B9063">
        <v>3.16773752561385</v>
      </c>
      <c r="C9063" s="1">
        <v>45291</v>
      </c>
    </row>
    <row r="9064" spans="1:3">
      <c r="A9064" t="s">
        <v>81</v>
      </c>
      <c r="B9064">
        <v>7.1119617224466998</v>
      </c>
      <c r="C9064" s="1">
        <v>45291</v>
      </c>
    </row>
    <row r="9065" spans="1:3">
      <c r="A9065" t="s">
        <v>83</v>
      </c>
      <c r="B9065">
        <v>0.14326725905589999</v>
      </c>
      <c r="C9065" s="1">
        <v>45291</v>
      </c>
    </row>
    <row r="9066" spans="1:3">
      <c r="A9066" t="s">
        <v>85</v>
      </c>
      <c r="B9066">
        <v>1.7011619958889499</v>
      </c>
      <c r="C9066" s="1">
        <v>45291</v>
      </c>
    </row>
    <row r="9067" spans="1:3">
      <c r="A9067" t="s">
        <v>87</v>
      </c>
      <c r="B9067">
        <v>11.1278195488075</v>
      </c>
      <c r="C9067" s="1">
        <v>45291</v>
      </c>
    </row>
    <row r="9068" spans="1:3">
      <c r="A9068" t="s">
        <v>89</v>
      </c>
      <c r="B9068">
        <v>11.078605604857</v>
      </c>
      <c r="C9068" s="1">
        <v>45291</v>
      </c>
    </row>
    <row r="9069" spans="1:3">
      <c r="A9069" t="s">
        <v>91</v>
      </c>
      <c r="B9069">
        <v>15.6702665754386</v>
      </c>
      <c r="C9069" s="1">
        <v>45291</v>
      </c>
    </row>
    <row r="9070" spans="1:3">
      <c r="A9070" t="s">
        <v>93</v>
      </c>
      <c r="B9070">
        <v>9.1280929596188507</v>
      </c>
      <c r="C9070" s="1">
        <v>45291</v>
      </c>
    </row>
    <row r="9071" spans="1:3">
      <c r="A9071" t="s">
        <v>95</v>
      </c>
      <c r="B9071">
        <v>0.62665755296970005</v>
      </c>
      <c r="C9071" s="1">
        <v>45291</v>
      </c>
    </row>
    <row r="9072" spans="1:3">
      <c r="A9072" t="s">
        <v>97</v>
      </c>
      <c r="B9072">
        <v>3.57457279560465</v>
      </c>
      <c r="C9072" s="1">
        <v>45291</v>
      </c>
    </row>
    <row r="9073" spans="1:3">
      <c r="A9073" t="s">
        <v>99</v>
      </c>
      <c r="B9073">
        <v>3.86438824331315</v>
      </c>
      <c r="C9073" s="1">
        <v>45291</v>
      </c>
    </row>
    <row r="9074" spans="1:3">
      <c r="A9074" t="s">
        <v>101</v>
      </c>
      <c r="B9074">
        <v>8.7835953519653494</v>
      </c>
      <c r="C9074" s="1">
        <v>45291</v>
      </c>
    </row>
    <row r="9075" spans="1:3">
      <c r="A9075" t="s">
        <v>103</v>
      </c>
      <c r="B9075">
        <v>0.46534518113195</v>
      </c>
      <c r="C9075" s="1">
        <v>45291</v>
      </c>
    </row>
    <row r="9076" spans="1:3">
      <c r="A9076" t="s">
        <v>105</v>
      </c>
      <c r="B9076">
        <v>0.21818181818054999</v>
      </c>
      <c r="C9076" s="1">
        <v>45291</v>
      </c>
    </row>
    <row r="9077" spans="1:3">
      <c r="A9077" t="s">
        <v>107</v>
      </c>
      <c r="B9077">
        <v>2.2419685577449999</v>
      </c>
      <c r="C9077" s="1">
        <v>45291</v>
      </c>
    </row>
    <row r="9078" spans="1:3">
      <c r="A9078" t="s">
        <v>109</v>
      </c>
      <c r="B9078">
        <v>6.53943950782255</v>
      </c>
      <c r="C9078" s="1">
        <v>45291</v>
      </c>
    </row>
    <row r="9079" spans="1:3">
      <c r="A9079" t="s">
        <v>111</v>
      </c>
      <c r="B9079">
        <v>5.9980861243670498</v>
      </c>
      <c r="C9079" s="1">
        <v>45291</v>
      </c>
    </row>
    <row r="9080" spans="1:3">
      <c r="A9080" t="s">
        <v>113</v>
      </c>
      <c r="B9080">
        <v>6.0675324674972</v>
      </c>
      <c r="C9080" s="1">
        <v>45291</v>
      </c>
    </row>
    <row r="9081" spans="1:3">
      <c r="A9081" t="s">
        <v>115</v>
      </c>
      <c r="B9081">
        <v>3.9480519480290002</v>
      </c>
      <c r="C9081" s="1">
        <v>45291</v>
      </c>
    </row>
    <row r="9082" spans="1:3">
      <c r="A9082" t="s">
        <v>117</v>
      </c>
      <c r="B9082">
        <v>1.27245386192015</v>
      </c>
      <c r="C9082" s="1">
        <v>45291</v>
      </c>
    </row>
    <row r="9083" spans="1:3">
      <c r="A9083" t="s">
        <v>119</v>
      </c>
      <c r="B9083">
        <v>33.617498290987101</v>
      </c>
      <c r="C9083" s="1">
        <v>45291</v>
      </c>
    </row>
    <row r="9084" spans="1:3">
      <c r="A9084" t="s">
        <v>121</v>
      </c>
      <c r="B9084">
        <v>8.8847573478635997</v>
      </c>
      <c r="C9084" s="1">
        <v>45291</v>
      </c>
    </row>
    <row r="9085" spans="1:3">
      <c r="A9085" t="s">
        <v>123</v>
      </c>
      <c r="B9085">
        <v>3.9808612439959998</v>
      </c>
      <c r="C9085" s="1">
        <v>45291</v>
      </c>
    </row>
    <row r="9086" spans="1:3">
      <c r="A9086" t="s">
        <v>125</v>
      </c>
      <c r="B9086">
        <v>171.04579630795999</v>
      </c>
      <c r="C9086" s="1">
        <v>45291</v>
      </c>
    </row>
    <row r="9087" spans="1:3">
      <c r="A9087" t="s">
        <v>127</v>
      </c>
      <c r="B9087">
        <v>6.3157894736475004</v>
      </c>
      <c r="C9087" s="1">
        <v>45291</v>
      </c>
    </row>
    <row r="9088" spans="1:3">
      <c r="A9088" t="s">
        <v>129</v>
      </c>
      <c r="B9088">
        <v>4.0196855775569498</v>
      </c>
      <c r="C9088" s="1">
        <v>45291</v>
      </c>
    </row>
    <row r="9089" spans="1:3">
      <c r="A9089" t="s">
        <v>131</v>
      </c>
      <c r="B9089">
        <v>2.2146274777724999</v>
      </c>
      <c r="C9089" s="1">
        <v>45291</v>
      </c>
    </row>
    <row r="9090" spans="1:3">
      <c r="A9090" t="s">
        <v>134</v>
      </c>
      <c r="B9090">
        <v>1.62679425836375</v>
      </c>
      <c r="C9090" s="1">
        <v>45291</v>
      </c>
    </row>
    <row r="9091" spans="1:3">
      <c r="A9091" t="s">
        <v>136</v>
      </c>
      <c r="B9091">
        <v>15.040328092872199</v>
      </c>
      <c r="C9091" s="1">
        <v>45291</v>
      </c>
    </row>
    <row r="9092" spans="1:3">
      <c r="A9092" t="s">
        <v>138</v>
      </c>
      <c r="B9092">
        <v>13.795762132524001</v>
      </c>
      <c r="C9092" s="1">
        <v>45291</v>
      </c>
    </row>
    <row r="9093" spans="1:3">
      <c r="A9093" t="s">
        <v>140</v>
      </c>
      <c r="B9093">
        <v>17.810526315685902</v>
      </c>
      <c r="C9093" s="1">
        <v>45291</v>
      </c>
    </row>
    <row r="9094" spans="1:3">
      <c r="A9094" t="s">
        <v>142</v>
      </c>
      <c r="B9094">
        <v>6.8675324674925502</v>
      </c>
      <c r="C9094" s="1">
        <v>45291</v>
      </c>
    </row>
    <row r="9095" spans="1:3">
      <c r="A9095" t="s">
        <v>144</v>
      </c>
      <c r="B9095">
        <v>3.2776486671032998</v>
      </c>
      <c r="C9095" s="1">
        <v>45291</v>
      </c>
    </row>
    <row r="9096" spans="1:3">
      <c r="A9096" t="s">
        <v>146</v>
      </c>
      <c r="B9096">
        <v>2.4169514695690002</v>
      </c>
      <c r="C9096" s="1">
        <v>45291</v>
      </c>
    </row>
    <row r="9097" spans="1:3">
      <c r="A9097" t="s">
        <v>148</v>
      </c>
      <c r="B9097">
        <v>11.3793574845545</v>
      </c>
      <c r="C9097" s="1">
        <v>45291</v>
      </c>
    </row>
    <row r="9098" spans="1:3">
      <c r="A9098" t="s">
        <v>150</v>
      </c>
      <c r="B9098">
        <v>4.4877648666861498</v>
      </c>
      <c r="C9098" s="1">
        <v>45291</v>
      </c>
    </row>
    <row r="9099" spans="1:3">
      <c r="A9099" t="s">
        <v>152</v>
      </c>
      <c r="B9099">
        <v>19.3252221461624</v>
      </c>
      <c r="C9099" s="1">
        <v>45291</v>
      </c>
    </row>
    <row r="9100" spans="1:3">
      <c r="A9100" t="s">
        <v>154</v>
      </c>
      <c r="B9100">
        <v>11.006971975329</v>
      </c>
      <c r="C9100" s="1">
        <v>45291</v>
      </c>
    </row>
    <row r="9101" spans="1:3">
      <c r="A9101" t="s">
        <v>156</v>
      </c>
      <c r="B9101">
        <v>10.132057416208999</v>
      </c>
      <c r="C9101" s="1">
        <v>45291</v>
      </c>
    </row>
    <row r="9102" spans="1:3">
      <c r="A9102" t="s">
        <v>158</v>
      </c>
      <c r="B9102">
        <v>52.713602186979998</v>
      </c>
      <c r="C9102" s="1">
        <v>45291</v>
      </c>
    </row>
    <row r="9103" spans="1:3">
      <c r="A9103" t="s">
        <v>160</v>
      </c>
      <c r="B9103">
        <v>11.823923444907299</v>
      </c>
      <c r="C9103" s="1">
        <v>45291</v>
      </c>
    </row>
    <row r="9104" spans="1:3">
      <c r="A9104" t="s">
        <v>162</v>
      </c>
      <c r="B9104">
        <v>4.9908407381801503</v>
      </c>
      <c r="C9104" s="1">
        <v>45291</v>
      </c>
    </row>
    <row r="9105" spans="1:3">
      <c r="A9105" t="s">
        <v>164</v>
      </c>
      <c r="B9105">
        <v>15.1896103895221</v>
      </c>
      <c r="C9105" s="1">
        <v>45291</v>
      </c>
    </row>
    <row r="9106" spans="1:3">
      <c r="A9106" t="s">
        <v>166</v>
      </c>
      <c r="B9106">
        <v>4.3198906356549998</v>
      </c>
      <c r="C9106" s="1">
        <v>45291</v>
      </c>
    </row>
    <row r="9107" spans="1:3">
      <c r="A9107" t="s">
        <v>168</v>
      </c>
      <c r="B9107">
        <v>10.936431989000001</v>
      </c>
      <c r="C9107" s="1">
        <v>45291</v>
      </c>
    </row>
    <row r="9108" spans="1:3">
      <c r="A9108" t="s">
        <v>17</v>
      </c>
      <c r="B9108">
        <v>151.39727132336</v>
      </c>
      <c r="C9108" s="1">
        <v>45322</v>
      </c>
    </row>
    <row r="9109" spans="1:3">
      <c r="A9109" t="s">
        <v>4</v>
      </c>
      <c r="B9109">
        <v>0.23388668593529999</v>
      </c>
      <c r="C9109" s="1">
        <v>45322</v>
      </c>
    </row>
    <row r="9110" spans="1:3">
      <c r="A9110" t="s">
        <v>8</v>
      </c>
      <c r="B9110">
        <v>18.110894549527899</v>
      </c>
      <c r="C9110" s="1">
        <v>45322</v>
      </c>
    </row>
    <row r="9111" spans="1:3">
      <c r="A9111" t="s">
        <v>11</v>
      </c>
      <c r="B9111">
        <v>29.9885745012445</v>
      </c>
      <c r="C9111" s="1">
        <v>45322</v>
      </c>
    </row>
    <row r="9112" spans="1:3">
      <c r="A9112" t="s">
        <v>14</v>
      </c>
      <c r="B9112">
        <v>6.6606626790034396</v>
      </c>
      <c r="C9112" s="1">
        <v>45322</v>
      </c>
    </row>
    <row r="9113" spans="1:3">
      <c r="A9113" t="s">
        <v>20</v>
      </c>
      <c r="B9113">
        <v>0.53551986021048004</v>
      </c>
      <c r="C9113" s="1">
        <v>45322</v>
      </c>
    </row>
    <row r="9114" spans="1:3">
      <c r="A9114" t="s">
        <v>24</v>
      </c>
      <c r="B9114">
        <v>0.64735533302551995</v>
      </c>
      <c r="C9114" s="1">
        <v>45322</v>
      </c>
    </row>
    <row r="9115" spans="1:3">
      <c r="A9115" t="s">
        <v>27</v>
      </c>
      <c r="B9115">
        <v>24.3091605620845</v>
      </c>
      <c r="C9115" s="1">
        <v>45322</v>
      </c>
    </row>
    <row r="9116" spans="1:3">
      <c r="A9116" t="s">
        <v>29</v>
      </c>
      <c r="B9116">
        <v>0.99415283286061995</v>
      </c>
      <c r="C9116" s="1">
        <v>45322</v>
      </c>
    </row>
    <row r="9117" spans="1:3">
      <c r="A9117" t="s">
        <v>32</v>
      </c>
      <c r="B9117">
        <v>5.0196921836596804</v>
      </c>
      <c r="C9117" s="1">
        <v>45322</v>
      </c>
    </row>
    <row r="9118" spans="1:3">
      <c r="A9118" t="s">
        <v>35</v>
      </c>
      <c r="B9118">
        <v>3.0109550373279999</v>
      </c>
      <c r="C9118" s="1">
        <v>45322</v>
      </c>
    </row>
    <row r="9119" spans="1:3">
      <c r="A9119" t="s">
        <v>37</v>
      </c>
      <c r="B9119">
        <v>0.18818468983299999</v>
      </c>
      <c r="C9119" s="1">
        <v>45322</v>
      </c>
    </row>
    <row r="9120" spans="1:3">
      <c r="A9120" t="s">
        <v>39</v>
      </c>
      <c r="B9120">
        <v>1.6130116271399999</v>
      </c>
      <c r="C9120" s="1">
        <v>45322</v>
      </c>
    </row>
    <row r="9121" spans="1:3">
      <c r="A9121" t="s">
        <v>42</v>
      </c>
      <c r="B9121">
        <v>3.5018482425209401</v>
      </c>
      <c r="C9121" s="1">
        <v>45322</v>
      </c>
    </row>
    <row r="9122" spans="1:3">
      <c r="A9122" t="s">
        <v>44</v>
      </c>
      <c r="B9122">
        <v>10.068956247150201</v>
      </c>
      <c r="C9122" s="1">
        <v>45322</v>
      </c>
    </row>
    <row r="9123" spans="1:3">
      <c r="A9123" t="s">
        <v>47</v>
      </c>
      <c r="B9123">
        <v>4.6680556489431497</v>
      </c>
      <c r="C9123" s="1">
        <v>45322</v>
      </c>
    </row>
    <row r="9124" spans="1:3">
      <c r="A9124" t="s">
        <v>49</v>
      </c>
      <c r="B9124">
        <v>6.0353518382155</v>
      </c>
      <c r="C9124" s="1">
        <v>45322</v>
      </c>
    </row>
    <row r="9125" spans="1:3">
      <c r="A9125" t="s">
        <v>51</v>
      </c>
      <c r="B9125">
        <v>0.81457087170569997</v>
      </c>
      <c r="C9125" s="1">
        <v>45322</v>
      </c>
    </row>
    <row r="9126" spans="1:3">
      <c r="A9126" t="s">
        <v>53</v>
      </c>
      <c r="B9126">
        <v>0.46884871295536001</v>
      </c>
      <c r="C9126" s="1">
        <v>45322</v>
      </c>
    </row>
    <row r="9127" spans="1:3">
      <c r="A9127" t="s">
        <v>55</v>
      </c>
      <c r="B9127">
        <v>1.67538141005608</v>
      </c>
      <c r="C9127" s="1">
        <v>45322</v>
      </c>
    </row>
    <row r="9128" spans="1:3">
      <c r="A9128" t="s">
        <v>57</v>
      </c>
      <c r="B9128">
        <v>1.51838161168112</v>
      </c>
      <c r="C9128" s="1">
        <v>45322</v>
      </c>
    </row>
    <row r="9129" spans="1:3">
      <c r="A9129" t="s">
        <v>59</v>
      </c>
      <c r="B9129">
        <v>2.5351166073217</v>
      </c>
      <c r="C9129" s="1">
        <v>45322</v>
      </c>
    </row>
    <row r="9130" spans="1:3">
      <c r="A9130" t="s">
        <v>61</v>
      </c>
      <c r="B9130">
        <v>107.426574367524</v>
      </c>
      <c r="C9130" s="1">
        <v>45322</v>
      </c>
    </row>
    <row r="9131" spans="1:3">
      <c r="A9131" t="s">
        <v>63</v>
      </c>
      <c r="B9131">
        <v>8.4951945696039992</v>
      </c>
      <c r="C9131" s="1">
        <v>45322</v>
      </c>
    </row>
    <row r="9132" spans="1:3">
      <c r="A9132" t="s">
        <v>65</v>
      </c>
      <c r="B9132">
        <v>0.22420861617245999</v>
      </c>
      <c r="C9132" s="1">
        <v>45322</v>
      </c>
    </row>
    <row r="9133" spans="1:3">
      <c r="A9133" t="s">
        <v>67</v>
      </c>
      <c r="B9133">
        <v>7.4483500235901401</v>
      </c>
      <c r="C9133" s="1">
        <v>45322</v>
      </c>
    </row>
    <row r="9134" spans="1:3">
      <c r="A9134" t="s">
        <v>69</v>
      </c>
      <c r="B9134">
        <v>4.1975939243606497</v>
      </c>
      <c r="C9134" s="1">
        <v>45322</v>
      </c>
    </row>
    <row r="9135" spans="1:3">
      <c r="A9135" t="s">
        <v>71</v>
      </c>
      <c r="B9135">
        <v>1.44257006520554</v>
      </c>
      <c r="C9135" s="1">
        <v>45322</v>
      </c>
    </row>
    <row r="9136" spans="1:3">
      <c r="A9136" t="s">
        <v>73</v>
      </c>
      <c r="B9136">
        <v>0.76564285234912</v>
      </c>
      <c r="C9136" s="1">
        <v>45322</v>
      </c>
    </row>
    <row r="9137" spans="1:3">
      <c r="A9137" t="s">
        <v>75</v>
      </c>
      <c r="B9137">
        <v>0.13710598830689999</v>
      </c>
      <c r="C9137" s="1">
        <v>45322</v>
      </c>
    </row>
    <row r="9138" spans="1:3">
      <c r="A9138" t="s">
        <v>77</v>
      </c>
      <c r="B9138">
        <v>0.63713959272029996</v>
      </c>
      <c r="C9138" s="1">
        <v>45322</v>
      </c>
    </row>
    <row r="9139" spans="1:3">
      <c r="A9139" t="s">
        <v>79</v>
      </c>
      <c r="B9139">
        <v>3.0700987969898001</v>
      </c>
      <c r="C9139" s="1">
        <v>45322</v>
      </c>
    </row>
    <row r="9140" spans="1:3">
      <c r="A9140" t="s">
        <v>81</v>
      </c>
      <c r="B9140">
        <v>7.0085355199233001</v>
      </c>
      <c r="C9140" s="1">
        <v>45322</v>
      </c>
    </row>
    <row r="9141" spans="1:3">
      <c r="A9141" t="s">
        <v>83</v>
      </c>
      <c r="B9141">
        <v>0.11990053095074001</v>
      </c>
      <c r="C9141" s="1">
        <v>45322</v>
      </c>
    </row>
    <row r="9142" spans="1:3">
      <c r="A9142" t="s">
        <v>85</v>
      </c>
      <c r="B9142">
        <v>1.7269977821245599</v>
      </c>
      <c r="C9142" s="1">
        <v>45322</v>
      </c>
    </row>
    <row r="9143" spans="1:3">
      <c r="A9143" t="s">
        <v>87</v>
      </c>
      <c r="B9143">
        <v>10.435109886511</v>
      </c>
      <c r="C9143" s="1">
        <v>45322</v>
      </c>
    </row>
    <row r="9144" spans="1:3">
      <c r="A9144" t="s">
        <v>89</v>
      </c>
      <c r="B9144">
        <v>9.5242959877193201</v>
      </c>
      <c r="C9144" s="1">
        <v>45322</v>
      </c>
    </row>
    <row r="9145" spans="1:3">
      <c r="A9145" t="s">
        <v>91</v>
      </c>
      <c r="B9145">
        <v>15.603736810409901</v>
      </c>
      <c r="C9145" s="1">
        <v>45322</v>
      </c>
    </row>
    <row r="9146" spans="1:3">
      <c r="A9146" t="s">
        <v>93</v>
      </c>
      <c r="B9146">
        <v>9.0597486391030007</v>
      </c>
      <c r="C9146" s="1">
        <v>45322</v>
      </c>
    </row>
    <row r="9147" spans="1:3">
      <c r="A9147" t="s">
        <v>95</v>
      </c>
      <c r="B9147">
        <v>0.65434505007646004</v>
      </c>
      <c r="C9147" s="1">
        <v>45322</v>
      </c>
    </row>
    <row r="9148" spans="1:3">
      <c r="A9148" t="s">
        <v>97</v>
      </c>
      <c r="B9148">
        <v>3.48571812624954</v>
      </c>
      <c r="C9148" s="1">
        <v>45322</v>
      </c>
    </row>
    <row r="9149" spans="1:3">
      <c r="A9149" t="s">
        <v>99</v>
      </c>
      <c r="B9149">
        <v>3.89757376171262</v>
      </c>
      <c r="C9149" s="1">
        <v>45322</v>
      </c>
    </row>
    <row r="9150" spans="1:3">
      <c r="A9150" t="s">
        <v>101</v>
      </c>
      <c r="B9150">
        <v>8.5489616238420005</v>
      </c>
      <c r="C9150" s="1">
        <v>45322</v>
      </c>
    </row>
    <row r="9151" spans="1:3">
      <c r="A9151" t="s">
        <v>103</v>
      </c>
      <c r="B9151">
        <v>0.47422541837915999</v>
      </c>
      <c r="C9151" s="1">
        <v>45322</v>
      </c>
    </row>
    <row r="9152" spans="1:3">
      <c r="A9152" t="s">
        <v>105</v>
      </c>
      <c r="B9152">
        <v>0.19409906579917999</v>
      </c>
      <c r="C9152" s="1">
        <v>45322</v>
      </c>
    </row>
    <row r="9153" spans="1:3">
      <c r="A9153" t="s">
        <v>107</v>
      </c>
      <c r="B9153">
        <v>2.2797230996911999</v>
      </c>
      <c r="C9153" s="1">
        <v>45322</v>
      </c>
    </row>
    <row r="9154" spans="1:3">
      <c r="A9154" t="s">
        <v>109</v>
      </c>
      <c r="B9154">
        <v>6.3122521675412004</v>
      </c>
      <c r="C9154" s="1">
        <v>45322</v>
      </c>
    </row>
    <row r="9155" spans="1:3">
      <c r="A9155" t="s">
        <v>111</v>
      </c>
      <c r="B9155">
        <v>5.4455272532246397</v>
      </c>
      <c r="C9155" s="1">
        <v>45322</v>
      </c>
    </row>
    <row r="9156" spans="1:3">
      <c r="A9156" t="s">
        <v>113</v>
      </c>
      <c r="B9156">
        <v>6.1160024195725002</v>
      </c>
      <c r="C9156" s="1">
        <v>45322</v>
      </c>
    </row>
    <row r="9157" spans="1:3">
      <c r="A9157" t="s">
        <v>115</v>
      </c>
      <c r="B9157">
        <v>3.7298205524900601</v>
      </c>
      <c r="C9157" s="1">
        <v>45322</v>
      </c>
    </row>
    <row r="9158" spans="1:3">
      <c r="A9158" t="s">
        <v>117</v>
      </c>
      <c r="B9158">
        <v>1.2581490691692001</v>
      </c>
      <c r="C9158" s="1">
        <v>45322</v>
      </c>
    </row>
    <row r="9159" spans="1:3">
      <c r="A9159" t="s">
        <v>119</v>
      </c>
      <c r="B9159">
        <v>29.733718664156299</v>
      </c>
      <c r="C9159" s="1">
        <v>45322</v>
      </c>
    </row>
    <row r="9160" spans="1:3">
      <c r="A9160" t="s">
        <v>121</v>
      </c>
      <c r="B9160">
        <v>8.4790644533325992</v>
      </c>
      <c r="C9160" s="1">
        <v>45322</v>
      </c>
    </row>
    <row r="9161" spans="1:3">
      <c r="A9161" t="s">
        <v>123</v>
      </c>
      <c r="B9161">
        <v>3.84058068422034</v>
      </c>
      <c r="C9161" s="1">
        <v>45322</v>
      </c>
    </row>
    <row r="9162" spans="1:3">
      <c r="A9162" t="s">
        <v>125</v>
      </c>
      <c r="B9162">
        <v>168.68015323762299</v>
      </c>
      <c r="C9162" s="1">
        <v>45322</v>
      </c>
    </row>
    <row r="9163" spans="1:3">
      <c r="A9163" t="s">
        <v>127</v>
      </c>
      <c r="B9163">
        <v>5.1369043618985204</v>
      </c>
      <c r="C9163" s="1">
        <v>45322</v>
      </c>
    </row>
    <row r="9164" spans="1:3">
      <c r="A9164" t="s">
        <v>129</v>
      </c>
      <c r="B9164">
        <v>3.65185832384496</v>
      </c>
      <c r="C9164" s="1">
        <v>45322</v>
      </c>
    </row>
    <row r="9165" spans="1:3">
      <c r="A9165" t="s">
        <v>131</v>
      </c>
      <c r="B9165">
        <v>2.2033738826732399</v>
      </c>
      <c r="C9165" s="1">
        <v>45322</v>
      </c>
    </row>
    <row r="9166" spans="1:3">
      <c r="A9166" t="s">
        <v>134</v>
      </c>
      <c r="B9166">
        <v>1.5054775186639999</v>
      </c>
      <c r="C9166" s="1">
        <v>45322</v>
      </c>
    </row>
    <row r="9167" spans="1:3">
      <c r="A9167" t="s">
        <v>136</v>
      </c>
      <c r="B9167">
        <v>14.5972175550746</v>
      </c>
      <c r="C9167" s="1">
        <v>45322</v>
      </c>
    </row>
    <row r="9168" spans="1:3">
      <c r="A9168" t="s">
        <v>138</v>
      </c>
      <c r="B9168">
        <v>13.271321997565501</v>
      </c>
      <c r="C9168" s="1">
        <v>45322</v>
      </c>
    </row>
    <row r="9169" spans="1:3">
      <c r="A9169" t="s">
        <v>140</v>
      </c>
      <c r="B9169">
        <v>16.1806573023837</v>
      </c>
      <c r="C9169" s="1">
        <v>45322</v>
      </c>
    </row>
    <row r="9170" spans="1:3">
      <c r="A9170" t="s">
        <v>142</v>
      </c>
      <c r="B9170">
        <v>6.6617380200882002</v>
      </c>
      <c r="C9170" s="1">
        <v>45322</v>
      </c>
    </row>
    <row r="9171" spans="1:3">
      <c r="A9171" t="s">
        <v>144</v>
      </c>
      <c r="B9171">
        <v>3.2346259829580801</v>
      </c>
      <c r="C9171" s="1">
        <v>45322</v>
      </c>
    </row>
    <row r="9172" spans="1:3">
      <c r="A9172" t="s">
        <v>146</v>
      </c>
      <c r="B9172">
        <v>2.3958599368452802</v>
      </c>
      <c r="C9172" s="1">
        <v>45322</v>
      </c>
    </row>
    <row r="9173" spans="1:3">
      <c r="A9173" t="s">
        <v>148</v>
      </c>
      <c r="B9173">
        <v>10.739431413498099</v>
      </c>
      <c r="C9173" s="1">
        <v>45322</v>
      </c>
    </row>
    <row r="9174" spans="1:3">
      <c r="A9174" t="s">
        <v>150</v>
      </c>
      <c r="B9174">
        <v>4.4782579474830202</v>
      </c>
      <c r="C9174" s="1">
        <v>45322</v>
      </c>
    </row>
    <row r="9175" spans="1:3">
      <c r="A9175" t="s">
        <v>152</v>
      </c>
      <c r="B9175">
        <v>18.174877344071099</v>
      </c>
      <c r="C9175" s="1">
        <v>45322</v>
      </c>
    </row>
    <row r="9176" spans="1:3">
      <c r="A9176" t="s">
        <v>154</v>
      </c>
      <c r="B9176">
        <v>11.2846293434714</v>
      </c>
      <c r="C9176" s="1">
        <v>45322</v>
      </c>
    </row>
    <row r="9177" spans="1:3">
      <c r="A9177" t="s">
        <v>156</v>
      </c>
      <c r="B9177">
        <v>8.8290879764219792</v>
      </c>
      <c r="C9177" s="1">
        <v>45322</v>
      </c>
    </row>
    <row r="9178" spans="1:3">
      <c r="A9178" t="s">
        <v>158</v>
      </c>
      <c r="B9178">
        <v>42.851804557143602</v>
      </c>
      <c r="C9178" s="1">
        <v>45322</v>
      </c>
    </row>
    <row r="9179" spans="1:3">
      <c r="A9179" t="s">
        <v>160</v>
      </c>
      <c r="B9179">
        <v>11.694334296765</v>
      </c>
      <c r="C9179" s="1">
        <v>45322</v>
      </c>
    </row>
    <row r="9180" spans="1:3">
      <c r="A9180" t="s">
        <v>162</v>
      </c>
      <c r="B9180">
        <v>3.9395120640182602</v>
      </c>
      <c r="C9180" s="1">
        <v>45322</v>
      </c>
    </row>
    <row r="9181" spans="1:3">
      <c r="A9181" t="s">
        <v>164</v>
      </c>
      <c r="B9181">
        <v>14.935949996773999</v>
      </c>
      <c r="C9181" s="1">
        <v>45322</v>
      </c>
    </row>
    <row r="9182" spans="1:3">
      <c r="A9182" t="s">
        <v>166</v>
      </c>
      <c r="B9182">
        <v>4.0271523624262002</v>
      </c>
      <c r="C9182" s="1">
        <v>45322</v>
      </c>
    </row>
    <row r="9183" spans="1:3">
      <c r="A9183" t="s">
        <v>168</v>
      </c>
      <c r="B9183">
        <v>9.9727132200642394</v>
      </c>
      <c r="C9183" s="1">
        <v>45322</v>
      </c>
    </row>
    <row r="9184" spans="1:3">
      <c r="A9184" t="s">
        <v>17</v>
      </c>
      <c r="B9184">
        <v>159.90095784128201</v>
      </c>
      <c r="C9184" s="1">
        <v>45351</v>
      </c>
    </row>
    <row r="9185" spans="1:3">
      <c r="A9185" t="s">
        <v>4</v>
      </c>
      <c r="B9185">
        <v>0.24812666970644001</v>
      </c>
      <c r="C9185" s="1">
        <v>45351</v>
      </c>
    </row>
    <row r="9186" spans="1:3">
      <c r="A9186" t="s">
        <v>8</v>
      </c>
      <c r="B9186">
        <v>17.803609825953199</v>
      </c>
      <c r="C9186" s="1">
        <v>45351</v>
      </c>
    </row>
    <row r="9187" spans="1:3">
      <c r="A9187" t="s">
        <v>11</v>
      </c>
      <c r="B9187">
        <v>29.9414869354374</v>
      </c>
      <c r="C9187" s="1">
        <v>45351</v>
      </c>
    </row>
    <row r="9188" spans="1:3">
      <c r="A9188" t="s">
        <v>14</v>
      </c>
      <c r="B9188">
        <v>6.2396559587942999</v>
      </c>
      <c r="C9188" s="1">
        <v>45351</v>
      </c>
    </row>
    <row r="9189" spans="1:3">
      <c r="A9189" t="s">
        <v>20</v>
      </c>
      <c r="B9189">
        <v>0.50042353554240004</v>
      </c>
      <c r="C9189" s="1">
        <v>45351</v>
      </c>
    </row>
    <row r="9190" spans="1:3">
      <c r="A9190" t="s">
        <v>24</v>
      </c>
      <c r="B9190">
        <v>0.59008275232707996</v>
      </c>
      <c r="C9190" s="1">
        <v>45351</v>
      </c>
    </row>
    <row r="9191" spans="1:3">
      <c r="A9191" t="s">
        <v>27</v>
      </c>
      <c r="B9191">
        <v>21.9034338957876</v>
      </c>
      <c r="C9191" s="1">
        <v>45351</v>
      </c>
    </row>
    <row r="9192" spans="1:3">
      <c r="A9192" t="s">
        <v>29</v>
      </c>
      <c r="B9192">
        <v>0.91483677591345003</v>
      </c>
      <c r="C9192" s="1">
        <v>45351</v>
      </c>
    </row>
    <row r="9193" spans="1:3">
      <c r="A9193" t="s">
        <v>32</v>
      </c>
      <c r="B9193">
        <v>4.9010230012183804</v>
      </c>
      <c r="C9193" s="1">
        <v>45351</v>
      </c>
    </row>
    <row r="9194" spans="1:3">
      <c r="A9194" t="s">
        <v>35</v>
      </c>
      <c r="B9194">
        <v>2.9238287613097098</v>
      </c>
      <c r="C9194" s="1">
        <v>45351</v>
      </c>
    </row>
    <row r="9195" spans="1:3">
      <c r="A9195" t="s">
        <v>37</v>
      </c>
      <c r="B9195">
        <v>0.18765882582839999</v>
      </c>
      <c r="C9195" s="1">
        <v>45351</v>
      </c>
    </row>
    <row r="9196" spans="1:3">
      <c r="A9196" t="s">
        <v>39</v>
      </c>
      <c r="B9196">
        <v>1.459568645332</v>
      </c>
      <c r="C9196" s="1">
        <v>45351</v>
      </c>
    </row>
    <row r="9197" spans="1:3">
      <c r="A9197" t="s">
        <v>42</v>
      </c>
      <c r="B9197">
        <v>3.2652635694141598</v>
      </c>
      <c r="C9197" s="1">
        <v>45351</v>
      </c>
    </row>
    <row r="9198" spans="1:3">
      <c r="A9198" t="s">
        <v>44</v>
      </c>
      <c r="B9198">
        <v>9.26409070172868</v>
      </c>
      <c r="C9198" s="1">
        <v>45351</v>
      </c>
    </row>
    <row r="9199" spans="1:3">
      <c r="A9199" t="s">
        <v>47</v>
      </c>
      <c r="B9199">
        <v>4.5684498598891601</v>
      </c>
      <c r="C9199" s="1">
        <v>45351</v>
      </c>
    </row>
    <row r="9200" spans="1:3">
      <c r="A9200" t="s">
        <v>49</v>
      </c>
      <c r="B9200">
        <v>5.0902456505953504</v>
      </c>
      <c r="C9200" s="1">
        <v>45351</v>
      </c>
    </row>
    <row r="9201" spans="1:3">
      <c r="A9201" t="s">
        <v>51</v>
      </c>
      <c r="B9201">
        <v>0.76992246041263002</v>
      </c>
      <c r="C9201" s="1">
        <v>45351</v>
      </c>
    </row>
    <row r="9202" spans="1:3">
      <c r="A9202" t="s">
        <v>53</v>
      </c>
      <c r="B9202">
        <v>0.46393431940910002</v>
      </c>
      <c r="C9202" s="1">
        <v>45351</v>
      </c>
    </row>
    <row r="9203" spans="1:3">
      <c r="A9203" t="s">
        <v>55</v>
      </c>
      <c r="B9203">
        <v>1.62689776502899</v>
      </c>
      <c r="C9203" s="1">
        <v>45351</v>
      </c>
    </row>
    <row r="9204" spans="1:3">
      <c r="A9204" t="s">
        <v>57</v>
      </c>
      <c r="B9204">
        <v>1.5064833517891001</v>
      </c>
      <c r="C9204" s="1">
        <v>45351</v>
      </c>
    </row>
    <row r="9205" spans="1:3">
      <c r="A9205" t="s">
        <v>59</v>
      </c>
      <c r="B9205">
        <v>2.4572880693196599</v>
      </c>
      <c r="C9205" s="1">
        <v>45351</v>
      </c>
    </row>
    <row r="9206" spans="1:3">
      <c r="A9206" t="s">
        <v>61</v>
      </c>
      <c r="B9206">
        <v>105.181208053269</v>
      </c>
      <c r="C9206" s="1">
        <v>45351</v>
      </c>
    </row>
    <row r="9207" spans="1:3">
      <c r="A9207" t="s">
        <v>63</v>
      </c>
      <c r="B9207">
        <v>7.6460546034749202</v>
      </c>
      <c r="C9207" s="1">
        <v>45351</v>
      </c>
    </row>
    <row r="9208" spans="1:3">
      <c r="A9208" t="s">
        <v>65</v>
      </c>
      <c r="B9208">
        <v>0.20850980647600001</v>
      </c>
      <c r="C9208" s="1">
        <v>45351</v>
      </c>
    </row>
    <row r="9209" spans="1:3">
      <c r="A9209" t="s">
        <v>67</v>
      </c>
      <c r="B9209">
        <v>7.0841206750221</v>
      </c>
      <c r="C9209" s="1">
        <v>45351</v>
      </c>
    </row>
    <row r="9210" spans="1:3">
      <c r="A9210" t="s">
        <v>69</v>
      </c>
      <c r="B9210">
        <v>3.7463999478575301</v>
      </c>
      <c r="C9210" s="1">
        <v>45351</v>
      </c>
    </row>
    <row r="9211" spans="1:3">
      <c r="A9211" t="s">
        <v>71</v>
      </c>
      <c r="B9211">
        <v>1.43298364500631</v>
      </c>
      <c r="C9211" s="1">
        <v>45351</v>
      </c>
    </row>
    <row r="9212" spans="1:3">
      <c r="A9212" t="s">
        <v>73</v>
      </c>
      <c r="B9212">
        <v>0.70684824395363999</v>
      </c>
      <c r="C9212" s="1">
        <v>45351</v>
      </c>
    </row>
    <row r="9213" spans="1:3">
      <c r="A9213" t="s">
        <v>75</v>
      </c>
      <c r="B9213">
        <v>0.12823353098274001</v>
      </c>
      <c r="C9213" s="1">
        <v>45351</v>
      </c>
    </row>
    <row r="9214" spans="1:3">
      <c r="A9214" t="s">
        <v>77</v>
      </c>
      <c r="B9214">
        <v>0.61041245845849001</v>
      </c>
      <c r="C9214" s="1">
        <v>45351</v>
      </c>
    </row>
    <row r="9215" spans="1:3">
      <c r="A9215" t="s">
        <v>79</v>
      </c>
      <c r="B9215">
        <v>2.9535414087325398</v>
      </c>
      <c r="C9215" s="1">
        <v>45351</v>
      </c>
    </row>
    <row r="9216" spans="1:3">
      <c r="A9216" t="s">
        <v>81</v>
      </c>
      <c r="B9216">
        <v>6.7791750830509496</v>
      </c>
      <c r="C9216" s="1">
        <v>45351</v>
      </c>
    </row>
    <row r="9217" spans="1:3">
      <c r="A9217" t="s">
        <v>83</v>
      </c>
      <c r="B9217">
        <v>0.1198931387237</v>
      </c>
      <c r="C9217" s="1">
        <v>45351</v>
      </c>
    </row>
    <row r="9218" spans="1:3">
      <c r="A9218" t="s">
        <v>85</v>
      </c>
      <c r="B9218">
        <v>1.6352381572880299</v>
      </c>
      <c r="C9218" s="1">
        <v>45351</v>
      </c>
    </row>
    <row r="9219" spans="1:3">
      <c r="A9219" t="s">
        <v>87</v>
      </c>
      <c r="B9219">
        <v>10.216459242807799</v>
      </c>
      <c r="C9219" s="1">
        <v>45351</v>
      </c>
    </row>
    <row r="9220" spans="1:3">
      <c r="A9220" t="s">
        <v>89</v>
      </c>
      <c r="B9220">
        <v>9.1587932494583004</v>
      </c>
      <c r="C9220" s="1">
        <v>45351</v>
      </c>
    </row>
    <row r="9221" spans="1:3">
      <c r="A9221" t="s">
        <v>91</v>
      </c>
      <c r="B9221">
        <v>15.778979605071299</v>
      </c>
      <c r="C9221" s="1">
        <v>45351</v>
      </c>
    </row>
    <row r="9222" spans="1:3">
      <c r="A9222" t="s">
        <v>93</v>
      </c>
      <c r="B9222">
        <v>7.0372059685649999</v>
      </c>
      <c r="C9222" s="1">
        <v>45351</v>
      </c>
    </row>
    <row r="9223" spans="1:3">
      <c r="A9223" t="s">
        <v>95</v>
      </c>
      <c r="B9223">
        <v>0.67244412588510005</v>
      </c>
      <c r="C9223" s="1">
        <v>45351</v>
      </c>
    </row>
    <row r="9224" spans="1:3">
      <c r="A9224" t="s">
        <v>97</v>
      </c>
      <c r="B9224">
        <v>3.2527529810256</v>
      </c>
      <c r="C9224" s="1">
        <v>45351</v>
      </c>
    </row>
    <row r="9225" spans="1:3">
      <c r="A9225" t="s">
        <v>99</v>
      </c>
      <c r="B9225">
        <v>3.7213787710804098</v>
      </c>
      <c r="C9225" s="1">
        <v>45351</v>
      </c>
    </row>
    <row r="9226" spans="1:3">
      <c r="A9226" t="s">
        <v>101</v>
      </c>
      <c r="B9226">
        <v>8.3403922590399997</v>
      </c>
      <c r="C9226" s="1">
        <v>45351</v>
      </c>
    </row>
    <row r="9227" spans="1:3">
      <c r="A9227" t="s">
        <v>103</v>
      </c>
      <c r="B9227">
        <v>0.53170000651380001</v>
      </c>
      <c r="C9227" s="1">
        <v>45351</v>
      </c>
    </row>
    <row r="9228" spans="1:3">
      <c r="A9228" t="s">
        <v>105</v>
      </c>
      <c r="B9228">
        <v>0.19182902195792001</v>
      </c>
      <c r="C9228" s="1">
        <v>45351</v>
      </c>
    </row>
    <row r="9229" spans="1:3">
      <c r="A9229" t="s">
        <v>107</v>
      </c>
      <c r="B9229">
        <v>2.0538215937886002</v>
      </c>
      <c r="C9229" s="1">
        <v>45351</v>
      </c>
    </row>
    <row r="9230" spans="1:3">
      <c r="A9230" t="s">
        <v>109</v>
      </c>
      <c r="B9230">
        <v>5.8659021306860701</v>
      </c>
      <c r="C9230" s="1">
        <v>45351</v>
      </c>
    </row>
    <row r="9231" spans="1:3">
      <c r="A9231" t="s">
        <v>111</v>
      </c>
      <c r="B9231">
        <v>5.0537564344620503</v>
      </c>
      <c r="C9231" s="1">
        <v>45351</v>
      </c>
    </row>
    <row r="9232" spans="1:3">
      <c r="A9232" t="s">
        <v>113</v>
      </c>
      <c r="B9232">
        <v>5.4525314393473998</v>
      </c>
      <c r="C9232" s="1">
        <v>45351</v>
      </c>
    </row>
    <row r="9233" spans="1:3">
      <c r="A9233" t="s">
        <v>115</v>
      </c>
      <c r="B9233">
        <v>3.3450185703912299</v>
      </c>
      <c r="C9233" s="1">
        <v>45351</v>
      </c>
    </row>
    <row r="9234" spans="1:3">
      <c r="A9234" t="s">
        <v>117</v>
      </c>
      <c r="B9234">
        <v>1.0550596207685501</v>
      </c>
      <c r="C9234" s="1">
        <v>45351</v>
      </c>
    </row>
    <row r="9235" spans="1:3">
      <c r="A9235" t="s">
        <v>119</v>
      </c>
      <c r="B9235">
        <v>27.989835146821999</v>
      </c>
      <c r="C9235" s="1">
        <v>45351</v>
      </c>
    </row>
    <row r="9236" spans="1:3">
      <c r="A9236" t="s">
        <v>121</v>
      </c>
      <c r="B9236">
        <v>7.5824591124997403</v>
      </c>
      <c r="C9236" s="1">
        <v>45351</v>
      </c>
    </row>
    <row r="9237" spans="1:3">
      <c r="A9237" t="s">
        <v>123</v>
      </c>
      <c r="B9237">
        <v>3.8339740665774502</v>
      </c>
      <c r="C9237" s="1">
        <v>45351</v>
      </c>
    </row>
    <row r="9238" spans="1:3">
      <c r="A9238" t="s">
        <v>125</v>
      </c>
      <c r="B9238">
        <v>164.46940770117101</v>
      </c>
      <c r="C9238" s="1">
        <v>45351</v>
      </c>
    </row>
    <row r="9239" spans="1:3">
      <c r="A9239" t="s">
        <v>127</v>
      </c>
      <c r="B9239">
        <v>4.3526422101864997</v>
      </c>
      <c r="C9239" s="1">
        <v>45351</v>
      </c>
    </row>
    <row r="9240" spans="1:3">
      <c r="A9240" t="s">
        <v>129</v>
      </c>
      <c r="B9240">
        <v>3.3768163158788198</v>
      </c>
      <c r="C9240" s="1">
        <v>45351</v>
      </c>
    </row>
    <row r="9241" spans="1:3">
      <c r="A9241" t="s">
        <v>131</v>
      </c>
      <c r="B9241">
        <v>2.09812992766475</v>
      </c>
      <c r="C9241" s="1">
        <v>45351</v>
      </c>
    </row>
    <row r="9242" spans="1:3">
      <c r="A9242" t="s">
        <v>134</v>
      </c>
      <c r="B9242">
        <v>1.3766859972577901</v>
      </c>
      <c r="C9242" s="1">
        <v>45351</v>
      </c>
    </row>
    <row r="9243" spans="1:3">
      <c r="A9243" t="s">
        <v>136</v>
      </c>
      <c r="B9243">
        <v>13.460350557058099</v>
      </c>
      <c r="C9243" s="1">
        <v>45351</v>
      </c>
    </row>
    <row r="9244" spans="1:3">
      <c r="A9244" t="s">
        <v>138</v>
      </c>
      <c r="B9244">
        <v>12.1801003452955</v>
      </c>
      <c r="C9244" s="1">
        <v>45351</v>
      </c>
    </row>
    <row r="9245" spans="1:3">
      <c r="A9245" t="s">
        <v>140</v>
      </c>
      <c r="B9245">
        <v>15.642926956345701</v>
      </c>
      <c r="C9245" s="1">
        <v>45351</v>
      </c>
    </row>
    <row r="9246" spans="1:3">
      <c r="A9246" t="s">
        <v>142</v>
      </c>
      <c r="B9246">
        <v>6.2876132142837804</v>
      </c>
      <c r="C9246" s="1">
        <v>45351</v>
      </c>
    </row>
    <row r="9247" spans="1:3">
      <c r="A9247" t="s">
        <v>144</v>
      </c>
      <c r="B9247">
        <v>3.3976672965264201</v>
      </c>
      <c r="C9247" s="1">
        <v>45351</v>
      </c>
    </row>
    <row r="9248" spans="1:3">
      <c r="A9248" t="s">
        <v>146</v>
      </c>
      <c r="B9248">
        <v>2.4067244412492301</v>
      </c>
      <c r="C9248" s="1">
        <v>45351</v>
      </c>
    </row>
    <row r="9249" spans="1:3">
      <c r="A9249" t="s">
        <v>148</v>
      </c>
      <c r="B9249">
        <v>10.520362285746501</v>
      </c>
      <c r="C9249" s="1">
        <v>45351</v>
      </c>
    </row>
    <row r="9250" spans="1:3">
      <c r="A9250" t="s">
        <v>150</v>
      </c>
      <c r="B9250">
        <v>4.6612367237709798</v>
      </c>
      <c r="C9250" s="1">
        <v>45351</v>
      </c>
    </row>
    <row r="9251" spans="1:3">
      <c r="A9251" t="s">
        <v>152</v>
      </c>
      <c r="B9251">
        <v>18.8185313089751</v>
      </c>
      <c r="C9251" s="1">
        <v>45351</v>
      </c>
    </row>
    <row r="9252" spans="1:3">
      <c r="A9252" t="s">
        <v>154</v>
      </c>
      <c r="B9252">
        <v>10.3994265979905</v>
      </c>
      <c r="C9252" s="1">
        <v>45351</v>
      </c>
    </row>
    <row r="9253" spans="1:3">
      <c r="A9253" t="s">
        <v>156</v>
      </c>
      <c r="B9253">
        <v>7.5444060728178597</v>
      </c>
      <c r="C9253" s="1">
        <v>45351</v>
      </c>
    </row>
    <row r="9254" spans="1:3">
      <c r="A9254" t="s">
        <v>158</v>
      </c>
      <c r="B9254">
        <v>38.413240372557198</v>
      </c>
      <c r="C9254" s="1">
        <v>45351</v>
      </c>
    </row>
    <row r="9255" spans="1:3">
      <c r="A9255" t="s">
        <v>160</v>
      </c>
      <c r="B9255">
        <v>11.4258161203686</v>
      </c>
      <c r="C9255" s="1">
        <v>45351</v>
      </c>
    </row>
    <row r="9256" spans="1:3">
      <c r="A9256" t="s">
        <v>162</v>
      </c>
      <c r="B9256">
        <v>3.3768163158788198</v>
      </c>
      <c r="C9256" s="1">
        <v>45351</v>
      </c>
    </row>
    <row r="9257" spans="1:3">
      <c r="A9257" t="s">
        <v>164</v>
      </c>
      <c r="B9257">
        <v>13.1256923176642</v>
      </c>
      <c r="C9257" s="1">
        <v>45351</v>
      </c>
    </row>
    <row r="9258" spans="1:3">
      <c r="A9258" t="s">
        <v>166</v>
      </c>
      <c r="B9258">
        <v>3.5055711213777498</v>
      </c>
      <c r="C9258" s="1">
        <v>45351</v>
      </c>
    </row>
    <row r="9259" spans="1:3">
      <c r="A9259" t="s">
        <v>168</v>
      </c>
      <c r="B9259">
        <v>8.8011989313519603</v>
      </c>
      <c r="C9259" s="1">
        <v>45351</v>
      </c>
    </row>
    <row r="9260" spans="1:3">
      <c r="A9260" t="s">
        <v>17</v>
      </c>
      <c r="B9260">
        <v>152.48267212299899</v>
      </c>
      <c r="C9260" s="1">
        <v>45382</v>
      </c>
    </row>
    <row r="9261" spans="1:3">
      <c r="A9261" t="s">
        <v>4</v>
      </c>
      <c r="B9261">
        <v>0.28463925011444902</v>
      </c>
      <c r="C9261" s="1">
        <v>45382</v>
      </c>
    </row>
    <row r="9262" spans="1:3">
      <c r="A9262" t="s">
        <v>8</v>
      </c>
      <c r="B9262">
        <v>17.633903227869599</v>
      </c>
      <c r="C9262" s="1">
        <v>45382</v>
      </c>
    </row>
    <row r="9263" spans="1:3">
      <c r="A9263" t="s">
        <v>11</v>
      </c>
      <c r="B9263">
        <v>30.477523268748101</v>
      </c>
      <c r="C9263" s="1">
        <v>45382</v>
      </c>
    </row>
    <row r="9264" spans="1:3">
      <c r="A9264" t="s">
        <v>14</v>
      </c>
      <c r="B9264">
        <v>6.6686910026813999</v>
      </c>
      <c r="C9264" s="1">
        <v>45382</v>
      </c>
    </row>
    <row r="9265" spans="1:3">
      <c r="A9265" t="s">
        <v>20</v>
      </c>
      <c r="B9265">
        <v>0.56346953594085003</v>
      </c>
      <c r="C9265" s="1">
        <v>45382</v>
      </c>
    </row>
    <row r="9266" spans="1:3">
      <c r="A9266" t="s">
        <v>24</v>
      </c>
      <c r="B9266">
        <v>0.58089642880500003</v>
      </c>
      <c r="C9266" s="1">
        <v>45382</v>
      </c>
    </row>
    <row r="9267" spans="1:3">
      <c r="A9267" t="s">
        <v>27</v>
      </c>
      <c r="B9267">
        <v>24.564525711175801</v>
      </c>
      <c r="C9267" s="1">
        <v>45382</v>
      </c>
    </row>
    <row r="9268" spans="1:3">
      <c r="A9268" t="s">
        <v>29</v>
      </c>
      <c r="B9268">
        <v>0.90778269192344996</v>
      </c>
      <c r="C9268" s="1">
        <v>45382</v>
      </c>
    </row>
    <row r="9269" spans="1:3">
      <c r="A9269" t="s">
        <v>32</v>
      </c>
      <c r="B9269">
        <v>5.2043039144302501</v>
      </c>
      <c r="C9269" s="1">
        <v>45382</v>
      </c>
    </row>
    <row r="9270" spans="1:3">
      <c r="A9270" t="s">
        <v>35</v>
      </c>
      <c r="B9270">
        <v>2.9044821440250002</v>
      </c>
      <c r="C9270" s="1">
        <v>45382</v>
      </c>
    </row>
    <row r="9271" spans="1:3">
      <c r="A9271" t="s">
        <v>37</v>
      </c>
      <c r="B9271">
        <v>0.2471450260734</v>
      </c>
      <c r="C9271" s="1">
        <v>45382</v>
      </c>
    </row>
    <row r="9272" spans="1:3">
      <c r="A9272" t="s">
        <v>39</v>
      </c>
      <c r="B9272">
        <v>1.63231896494205</v>
      </c>
      <c r="C9272" s="1">
        <v>45382</v>
      </c>
    </row>
    <row r="9273" spans="1:3">
      <c r="A9273" t="s">
        <v>42</v>
      </c>
      <c r="B9273">
        <v>3.0539309525266498</v>
      </c>
      <c r="C9273" s="1">
        <v>45382</v>
      </c>
    </row>
    <row r="9274" spans="1:3">
      <c r="A9274" t="s">
        <v>44</v>
      </c>
      <c r="B9274">
        <v>8.9236253217698902</v>
      </c>
      <c r="C9274" s="1">
        <v>45382</v>
      </c>
    </row>
    <row r="9275" spans="1:3">
      <c r="A9275" t="s">
        <v>47</v>
      </c>
      <c r="B9275">
        <v>4.6682949369419999</v>
      </c>
      <c r="C9275" s="1">
        <v>45382</v>
      </c>
    </row>
    <row r="9276" spans="1:3">
      <c r="A9276" t="s">
        <v>49</v>
      </c>
      <c r="B9276">
        <v>4.6704072875921998</v>
      </c>
      <c r="C9276" s="1">
        <v>45382</v>
      </c>
    </row>
    <row r="9277" spans="1:3">
      <c r="A9277" t="s">
        <v>51</v>
      </c>
      <c r="B9277">
        <v>0.80163707175090004</v>
      </c>
      <c r="C9277" s="1">
        <v>45382</v>
      </c>
    </row>
    <row r="9278" spans="1:3">
      <c r="A9278" t="s">
        <v>53</v>
      </c>
      <c r="B9278">
        <v>0.4583800910934</v>
      </c>
      <c r="C9278" s="1">
        <v>45382</v>
      </c>
    </row>
    <row r="9279" spans="1:3">
      <c r="A9279" t="s">
        <v>55</v>
      </c>
      <c r="B9279">
        <v>1.59640900388865</v>
      </c>
      <c r="C9279" s="1">
        <v>45382</v>
      </c>
    </row>
    <row r="9280" spans="1:3">
      <c r="A9280" t="s">
        <v>57</v>
      </c>
      <c r="B9280">
        <v>1.5842629876500001</v>
      </c>
      <c r="C9280" s="1">
        <v>45382</v>
      </c>
    </row>
    <row r="9281" spans="1:3">
      <c r="A9281" t="s">
        <v>59</v>
      </c>
      <c r="B9281">
        <v>2.4497986665694498</v>
      </c>
      <c r="C9281" s="1">
        <v>45382</v>
      </c>
    </row>
    <row r="9282" spans="1:3">
      <c r="A9282" t="s">
        <v>61</v>
      </c>
      <c r="B9282">
        <v>110.676084229566</v>
      </c>
      <c r="C9282" s="1">
        <v>45382</v>
      </c>
    </row>
    <row r="9283" spans="1:3">
      <c r="A9283" t="s">
        <v>63</v>
      </c>
      <c r="B9283">
        <v>7.4877549672964498</v>
      </c>
      <c r="C9283" s="1">
        <v>45382</v>
      </c>
    </row>
    <row r="9284" spans="1:3">
      <c r="A9284" t="s">
        <v>65</v>
      </c>
      <c r="B9284">
        <v>0.20859462670725001</v>
      </c>
      <c r="C9284" s="1">
        <v>45382</v>
      </c>
    </row>
    <row r="9285" spans="1:3">
      <c r="A9285" t="s">
        <v>67</v>
      </c>
      <c r="B9285">
        <v>6.3703214733406499</v>
      </c>
      <c r="C9285" s="1">
        <v>45382</v>
      </c>
    </row>
    <row r="9286" spans="1:3">
      <c r="A9286" t="s">
        <v>69</v>
      </c>
      <c r="B9286">
        <v>4.0308931282441502</v>
      </c>
      <c r="C9286" s="1">
        <v>45382</v>
      </c>
    </row>
    <row r="9287" spans="1:3">
      <c r="A9287" t="s">
        <v>71</v>
      </c>
      <c r="B9287">
        <v>1.4992408739794501</v>
      </c>
      <c r="C9287" s="1">
        <v>45382</v>
      </c>
    </row>
    <row r="9288" spans="1:3">
      <c r="A9288" t="s">
        <v>73</v>
      </c>
      <c r="B9288">
        <v>0.62789623077195</v>
      </c>
      <c r="C9288" s="1">
        <v>45382</v>
      </c>
    </row>
    <row r="9289" spans="1:3">
      <c r="A9289" t="s">
        <v>75</v>
      </c>
      <c r="B9289">
        <v>0.13043765264984999</v>
      </c>
      <c r="C9289" s="1">
        <v>45382</v>
      </c>
    </row>
    <row r="9290" spans="1:3">
      <c r="A9290" t="s">
        <v>77</v>
      </c>
      <c r="B9290">
        <v>0.59462670803130002</v>
      </c>
      <c r="C9290" s="1">
        <v>45382</v>
      </c>
    </row>
    <row r="9291" spans="1:3">
      <c r="A9291" t="s">
        <v>79</v>
      </c>
      <c r="B9291">
        <v>2.8231566439922999</v>
      </c>
      <c r="C9291" s="1">
        <v>45382</v>
      </c>
    </row>
    <row r="9292" spans="1:3">
      <c r="A9292" t="s">
        <v>81</v>
      </c>
      <c r="B9292">
        <v>7.1767113340544997</v>
      </c>
      <c r="C9292" s="1">
        <v>45382</v>
      </c>
    </row>
    <row r="9293" spans="1:3">
      <c r="A9293" t="s">
        <v>83</v>
      </c>
      <c r="B9293">
        <v>0.13730279226299999</v>
      </c>
      <c r="C9293" s="1">
        <v>45382</v>
      </c>
    </row>
    <row r="9294" spans="1:3">
      <c r="A9294" t="s">
        <v>85</v>
      </c>
      <c r="B9294">
        <v>1.55099346490935</v>
      </c>
      <c r="C9294" s="1">
        <v>45382</v>
      </c>
    </row>
    <row r="9295" spans="1:3">
      <c r="A9295" t="s">
        <v>87</v>
      </c>
      <c r="B9295">
        <v>11.585187141021899</v>
      </c>
      <c r="C9295" s="1">
        <v>45382</v>
      </c>
    </row>
    <row r="9296" spans="1:3">
      <c r="A9296" t="s">
        <v>89</v>
      </c>
      <c r="B9296">
        <v>9.0831077958600002</v>
      </c>
      <c r="C9296" s="1">
        <v>45382</v>
      </c>
    </row>
    <row r="9297" spans="1:3">
      <c r="A9297" t="s">
        <v>91</v>
      </c>
      <c r="B9297">
        <v>15.7306752920394</v>
      </c>
      <c r="C9297" s="1">
        <v>45382</v>
      </c>
    </row>
    <row r="9298" spans="1:3">
      <c r="A9298" t="s">
        <v>93</v>
      </c>
      <c r="B9298">
        <v>7.6519902303495</v>
      </c>
      <c r="C9298" s="1">
        <v>45382</v>
      </c>
    </row>
    <row r="9299" spans="1:3">
      <c r="A9299" t="s">
        <v>95</v>
      </c>
      <c r="B9299">
        <v>0.68545778598990004</v>
      </c>
      <c r="C9299" s="1">
        <v>45382</v>
      </c>
    </row>
    <row r="9300" spans="1:3">
      <c r="A9300" t="s">
        <v>97</v>
      </c>
      <c r="B9300">
        <v>3.1173014720326502</v>
      </c>
      <c r="C9300" s="1">
        <v>45382</v>
      </c>
    </row>
    <row r="9301" spans="1:3">
      <c r="A9301" t="s">
        <v>99</v>
      </c>
      <c r="B9301">
        <v>3.7230180209774999</v>
      </c>
      <c r="C9301" s="1">
        <v>45382</v>
      </c>
    </row>
    <row r="9302" spans="1:3">
      <c r="A9302" t="s">
        <v>101</v>
      </c>
      <c r="B9302">
        <v>8.3701894514175006</v>
      </c>
      <c r="C9302" s="1">
        <v>45382</v>
      </c>
    </row>
    <row r="9303" spans="1:3">
      <c r="A9303" t="s">
        <v>103</v>
      </c>
      <c r="B9303">
        <v>0.52808766254999995</v>
      </c>
      <c r="C9303" s="1">
        <v>45382</v>
      </c>
    </row>
    <row r="9304" spans="1:3">
      <c r="A9304" t="s">
        <v>105</v>
      </c>
      <c r="B9304">
        <v>0.17426892864149901</v>
      </c>
      <c r="C9304" s="1">
        <v>45382</v>
      </c>
    </row>
    <row r="9305" spans="1:3">
      <c r="A9305" t="s">
        <v>107</v>
      </c>
      <c r="B9305">
        <v>1.90375602349275</v>
      </c>
      <c r="C9305" s="1">
        <v>45382</v>
      </c>
    </row>
    <row r="9306" spans="1:3">
      <c r="A9306" t="s">
        <v>109</v>
      </c>
      <c r="B9306">
        <v>8.3443131559525501</v>
      </c>
      <c r="C9306" s="1">
        <v>45382</v>
      </c>
    </row>
    <row r="9307" spans="1:3">
      <c r="A9307" t="s">
        <v>111</v>
      </c>
      <c r="B9307">
        <v>4.9075186480771498</v>
      </c>
      <c r="C9307" s="1">
        <v>45382</v>
      </c>
    </row>
    <row r="9308" spans="1:3">
      <c r="A9308" t="s">
        <v>113</v>
      </c>
      <c r="B9308">
        <v>5.2571126806852497</v>
      </c>
      <c r="C9308" s="1">
        <v>45382</v>
      </c>
    </row>
    <row r="9309" spans="1:3">
      <c r="A9309" t="s">
        <v>115</v>
      </c>
      <c r="B9309">
        <v>3.1268070499585501</v>
      </c>
      <c r="C9309" s="1">
        <v>45382</v>
      </c>
    </row>
    <row r="9310" spans="1:3">
      <c r="A9310" t="s">
        <v>117</v>
      </c>
      <c r="B9310">
        <v>0.9864677536434</v>
      </c>
      <c r="C9310" s="1">
        <v>45382</v>
      </c>
    </row>
    <row r="9311" spans="1:3">
      <c r="A9311" t="s">
        <v>119</v>
      </c>
      <c r="B9311">
        <v>24.411908376698801</v>
      </c>
      <c r="C9311" s="1">
        <v>45382</v>
      </c>
    </row>
    <row r="9312" spans="1:3">
      <c r="A9312" t="s">
        <v>121</v>
      </c>
      <c r="B9312">
        <v>6.4484784473980499</v>
      </c>
      <c r="C9312" s="1">
        <v>45382</v>
      </c>
    </row>
    <row r="9313" spans="1:3">
      <c r="A9313" t="s">
        <v>123</v>
      </c>
      <c r="B9313">
        <v>3.6644002904344499</v>
      </c>
      <c r="C9313" s="1">
        <v>45382</v>
      </c>
    </row>
    <row r="9314" spans="1:3">
      <c r="A9314" t="s">
        <v>125</v>
      </c>
      <c r="B9314">
        <v>177.308073139475</v>
      </c>
      <c r="C9314" s="1">
        <v>45382</v>
      </c>
    </row>
    <row r="9315" spans="1:3">
      <c r="A9315" t="s">
        <v>127</v>
      </c>
      <c r="B9315">
        <v>4.9502937487436904</v>
      </c>
      <c r="C9315" s="1">
        <v>45382</v>
      </c>
    </row>
    <row r="9316" spans="1:3">
      <c r="A9316" t="s">
        <v>129</v>
      </c>
      <c r="B9316">
        <v>3.25988514092115</v>
      </c>
      <c r="C9316" s="1">
        <v>45382</v>
      </c>
    </row>
    <row r="9317" spans="1:3">
      <c r="A9317" t="s">
        <v>131</v>
      </c>
      <c r="B9317">
        <v>2.0009241534019502</v>
      </c>
      <c r="C9317" s="1">
        <v>45382</v>
      </c>
    </row>
    <row r="9318" spans="1:3">
      <c r="A9318" t="s">
        <v>134</v>
      </c>
      <c r="B9318">
        <v>1.3571852927535</v>
      </c>
      <c r="C9318" s="1">
        <v>45382</v>
      </c>
    </row>
    <row r="9319" spans="1:3">
      <c r="A9319" t="s">
        <v>136</v>
      </c>
      <c r="B9319">
        <v>13.067001122137199</v>
      </c>
      <c r="C9319" s="1">
        <v>45382</v>
      </c>
    </row>
    <row r="9320" spans="1:3">
      <c r="A9320" t="s">
        <v>138</v>
      </c>
      <c r="B9320">
        <v>12.806653904499999</v>
      </c>
      <c r="C9320" s="1">
        <v>45382</v>
      </c>
    </row>
    <row r="9321" spans="1:3">
      <c r="A9321" t="s">
        <v>140</v>
      </c>
      <c r="B9321">
        <v>15.637203775768</v>
      </c>
      <c r="C9321" s="1">
        <v>45382</v>
      </c>
    </row>
    <row r="9322" spans="1:3">
      <c r="A9322" t="s">
        <v>142</v>
      </c>
      <c r="B9322">
        <v>6.5973991682371498</v>
      </c>
      <c r="C9322" s="1">
        <v>45382</v>
      </c>
    </row>
    <row r="9323" spans="1:3">
      <c r="A9323" t="s">
        <v>144</v>
      </c>
      <c r="B9323">
        <v>3.4853785728300002</v>
      </c>
      <c r="C9323" s="1">
        <v>45382</v>
      </c>
    </row>
    <row r="9324" spans="1:3">
      <c r="A9324" t="s">
        <v>146</v>
      </c>
      <c r="B9324">
        <v>2.65575285496395</v>
      </c>
      <c r="C9324" s="1">
        <v>45382</v>
      </c>
    </row>
    <row r="9325" spans="1:3">
      <c r="A9325" t="s">
        <v>148</v>
      </c>
      <c r="B9325">
        <v>9.7822958610762001</v>
      </c>
      <c r="C9325" s="1">
        <v>45382</v>
      </c>
    </row>
    <row r="9326" spans="1:3">
      <c r="A9326" t="s">
        <v>150</v>
      </c>
      <c r="B9326">
        <v>4.8240807973942497</v>
      </c>
      <c r="C9326" s="1">
        <v>45382</v>
      </c>
    </row>
    <row r="9327" spans="1:3">
      <c r="A9327" t="s">
        <v>152</v>
      </c>
      <c r="B9327">
        <v>22.321737408325902</v>
      </c>
      <c r="C9327" s="1">
        <v>45382</v>
      </c>
    </row>
    <row r="9328" spans="1:3">
      <c r="A9328" t="s">
        <v>154</v>
      </c>
      <c r="B9328">
        <v>10.5929104230904</v>
      </c>
      <c r="C9328" s="1">
        <v>45382</v>
      </c>
    </row>
    <row r="9329" spans="1:3">
      <c r="A9329" t="s">
        <v>156</v>
      </c>
      <c r="B9329">
        <v>7.7306752920694404</v>
      </c>
      <c r="C9329" s="1">
        <v>45382</v>
      </c>
    </row>
    <row r="9330" spans="1:3">
      <c r="A9330" t="s">
        <v>158</v>
      </c>
      <c r="B9330">
        <v>40.583008779304897</v>
      </c>
      <c r="C9330" s="1">
        <v>45382</v>
      </c>
    </row>
    <row r="9331" spans="1:3">
      <c r="A9331" t="s">
        <v>160</v>
      </c>
      <c r="B9331">
        <v>12.0757805795308</v>
      </c>
      <c r="C9331" s="1">
        <v>45382</v>
      </c>
    </row>
    <row r="9332" spans="1:3">
      <c r="A9332" t="s">
        <v>162</v>
      </c>
      <c r="B9332">
        <v>4.13545448542905</v>
      </c>
      <c r="C9332" s="1">
        <v>45382</v>
      </c>
    </row>
    <row r="9333" spans="1:3">
      <c r="A9333" t="s">
        <v>164</v>
      </c>
      <c r="B9333">
        <v>16.048584064894499</v>
      </c>
      <c r="C9333" s="1">
        <v>45382</v>
      </c>
    </row>
    <row r="9334" spans="1:3">
      <c r="A9334" t="s">
        <v>166</v>
      </c>
      <c r="B9334">
        <v>3.2223909168801002</v>
      </c>
      <c r="C9334" s="1">
        <v>45382</v>
      </c>
    </row>
    <row r="9335" spans="1:3">
      <c r="A9335" t="s">
        <v>168</v>
      </c>
      <c r="B9335">
        <v>8.6859858736223998</v>
      </c>
      <c r="C9335" s="1">
        <v>45382</v>
      </c>
    </row>
    <row r="9336" spans="1:3">
      <c r="A9336" t="s">
        <v>17</v>
      </c>
      <c r="B9336">
        <v>140.577574971579</v>
      </c>
      <c r="C9336" s="1">
        <v>45412</v>
      </c>
    </row>
    <row r="9337" spans="1:3">
      <c r="A9337" t="s">
        <v>4</v>
      </c>
      <c r="B9337">
        <v>0.30314855075503</v>
      </c>
      <c r="C9337" s="1">
        <v>45412</v>
      </c>
    </row>
    <row r="9338" spans="1:3">
      <c r="A9338" t="s">
        <v>8</v>
      </c>
      <c r="B9338">
        <v>19.088802350958101</v>
      </c>
      <c r="C9338" s="1">
        <v>45412</v>
      </c>
    </row>
    <row r="9339" spans="1:3">
      <c r="A9339" t="s">
        <v>11</v>
      </c>
      <c r="B9339">
        <v>29.412311229122</v>
      </c>
      <c r="C9339" s="1">
        <v>45412</v>
      </c>
    </row>
    <row r="9340" spans="1:3">
      <c r="A9340" t="s">
        <v>14</v>
      </c>
      <c r="B9340">
        <v>6.40859221745003</v>
      </c>
      <c r="C9340" s="1">
        <v>45412</v>
      </c>
    </row>
    <row r="9341" spans="1:3">
      <c r="A9341" t="s">
        <v>20</v>
      </c>
      <c r="B9341">
        <v>0.53621722637930003</v>
      </c>
      <c r="C9341" s="1">
        <v>45412</v>
      </c>
    </row>
    <row r="9342" spans="1:3">
      <c r="A9342" t="s">
        <v>24</v>
      </c>
      <c r="B9342">
        <v>0.56913353136496003</v>
      </c>
      <c r="C9342" s="1">
        <v>45412</v>
      </c>
    </row>
    <row r="9343" spans="1:3">
      <c r="A9343" t="s">
        <v>27</v>
      </c>
      <c r="B9343">
        <v>32.757032542181001</v>
      </c>
      <c r="C9343" s="1">
        <v>45412</v>
      </c>
    </row>
    <row r="9344" spans="1:3">
      <c r="A9344" t="s">
        <v>29</v>
      </c>
      <c r="B9344">
        <v>0.57125716394467996</v>
      </c>
      <c r="C9344" s="1">
        <v>45412</v>
      </c>
    </row>
    <row r="9345" spans="1:3">
      <c r="A9345" t="s">
        <v>32</v>
      </c>
      <c r="B9345">
        <v>4.8020641708918497</v>
      </c>
      <c r="C9345" s="1">
        <v>45412</v>
      </c>
    </row>
    <row r="9346" spans="1:3">
      <c r="A9346" t="s">
        <v>35</v>
      </c>
      <c r="B9346">
        <v>2.95662745911517</v>
      </c>
      <c r="C9346" s="1">
        <v>45412</v>
      </c>
    </row>
    <row r="9347" spans="1:3">
      <c r="A9347" t="s">
        <v>37</v>
      </c>
      <c r="B9347">
        <v>0.2282905023199</v>
      </c>
      <c r="C9347" s="1">
        <v>45412</v>
      </c>
    </row>
    <row r="9348" spans="1:3">
      <c r="A9348" t="s">
        <v>39</v>
      </c>
      <c r="B9348">
        <v>1.6192698420364999</v>
      </c>
      <c r="C9348" s="1">
        <v>45412</v>
      </c>
    </row>
    <row r="9349" spans="1:3">
      <c r="A9349" t="s">
        <v>42</v>
      </c>
      <c r="B9349">
        <v>3.4185175452042702</v>
      </c>
      <c r="C9349" s="1">
        <v>45412</v>
      </c>
    </row>
    <row r="9350" spans="1:3">
      <c r="A9350" t="s">
        <v>44</v>
      </c>
      <c r="B9350">
        <v>9.6099683313779298</v>
      </c>
      <c r="C9350" s="1">
        <v>45412</v>
      </c>
    </row>
    <row r="9351" spans="1:3">
      <c r="A9351" t="s">
        <v>47</v>
      </c>
      <c r="B9351">
        <v>4.5626245975284201</v>
      </c>
      <c r="C9351" s="1">
        <v>45412</v>
      </c>
    </row>
    <row r="9352" spans="1:3">
      <c r="A9352" t="s">
        <v>49</v>
      </c>
      <c r="B9352">
        <v>5.1370672103426802</v>
      </c>
      <c r="C9352" s="1">
        <v>45412</v>
      </c>
    </row>
    <row r="9353" spans="1:3">
      <c r="A9353" t="s">
        <v>51</v>
      </c>
      <c r="B9353">
        <v>0.80432583956894999</v>
      </c>
      <c r="C9353" s="1">
        <v>45412</v>
      </c>
    </row>
    <row r="9354" spans="1:3">
      <c r="A9354" t="s">
        <v>53</v>
      </c>
      <c r="B9354">
        <v>0.51763544130674999</v>
      </c>
      <c r="C9354" s="1">
        <v>45412</v>
      </c>
    </row>
    <row r="9355" spans="1:3">
      <c r="A9355" t="s">
        <v>55</v>
      </c>
      <c r="B9355">
        <v>1.61980075018143</v>
      </c>
      <c r="C9355" s="1">
        <v>45412</v>
      </c>
    </row>
    <row r="9356" spans="1:3">
      <c r="A9356" t="s">
        <v>57</v>
      </c>
      <c r="B9356">
        <v>1.27099409896242</v>
      </c>
      <c r="C9356" s="1">
        <v>45412</v>
      </c>
    </row>
    <row r="9357" spans="1:3">
      <c r="A9357" t="s">
        <v>59</v>
      </c>
      <c r="B9357">
        <v>2.34873763317032</v>
      </c>
      <c r="C9357" s="1">
        <v>45412</v>
      </c>
    </row>
    <row r="9358" spans="1:3">
      <c r="A9358" t="s">
        <v>61</v>
      </c>
      <c r="B9358">
        <v>123.587983425674</v>
      </c>
      <c r="C9358" s="1">
        <v>45412</v>
      </c>
    </row>
    <row r="9359" spans="1:3">
      <c r="A9359" t="s">
        <v>63</v>
      </c>
      <c r="B9359">
        <v>7.88770230922501</v>
      </c>
      <c r="C9359" s="1">
        <v>45412</v>
      </c>
    </row>
    <row r="9360" spans="1:3">
      <c r="A9360" t="s">
        <v>65</v>
      </c>
      <c r="B9360">
        <v>0.21023962539228</v>
      </c>
      <c r="C9360" s="1">
        <v>45412</v>
      </c>
    </row>
    <row r="9361" spans="1:3">
      <c r="A9361" t="s">
        <v>67</v>
      </c>
      <c r="B9361">
        <v>6.3836395346383199</v>
      </c>
      <c r="C9361" s="1">
        <v>45412</v>
      </c>
    </row>
    <row r="9362" spans="1:3">
      <c r="A9362" t="s">
        <v>69</v>
      </c>
      <c r="B9362">
        <v>4.0078255860765699</v>
      </c>
      <c r="C9362" s="1">
        <v>45412</v>
      </c>
    </row>
    <row r="9363" spans="1:3">
      <c r="A9363" t="s">
        <v>71</v>
      </c>
      <c r="B9363">
        <v>1.5226445596592399</v>
      </c>
      <c r="C9363" s="1">
        <v>45412</v>
      </c>
    </row>
    <row r="9364" spans="1:3">
      <c r="A9364" t="s">
        <v>73</v>
      </c>
      <c r="B9364">
        <v>0.60895164223470999</v>
      </c>
      <c r="C9364" s="1">
        <v>45412</v>
      </c>
    </row>
    <row r="9365" spans="1:3">
      <c r="A9365" t="s">
        <v>75</v>
      </c>
      <c r="B9365">
        <v>0.13644339324700999</v>
      </c>
      <c r="C9365" s="1">
        <v>45412</v>
      </c>
    </row>
    <row r="9366" spans="1:3">
      <c r="A9366" t="s">
        <v>77</v>
      </c>
      <c r="B9366">
        <v>0.58081351055342001</v>
      </c>
      <c r="C9366" s="1">
        <v>45412</v>
      </c>
    </row>
    <row r="9367" spans="1:3">
      <c r="A9367" t="s">
        <v>79</v>
      </c>
      <c r="B9367">
        <v>2.9194638889700699</v>
      </c>
      <c r="C9367" s="1">
        <v>45412</v>
      </c>
    </row>
    <row r="9368" spans="1:3">
      <c r="A9368" t="s">
        <v>81</v>
      </c>
      <c r="B9368">
        <v>7.4173176928170301</v>
      </c>
      <c r="C9368" s="1">
        <v>45412</v>
      </c>
    </row>
    <row r="9369" spans="1:3">
      <c r="A9369" t="s">
        <v>83</v>
      </c>
      <c r="B9369">
        <v>0.13644339324700999</v>
      </c>
      <c r="C9369" s="1">
        <v>45412</v>
      </c>
    </row>
    <row r="9370" spans="1:3">
      <c r="A9370" t="s">
        <v>85</v>
      </c>
      <c r="B9370">
        <v>1.5385718040071401</v>
      </c>
      <c r="C9370" s="1">
        <v>45412</v>
      </c>
    </row>
    <row r="9371" spans="1:3">
      <c r="A9371" t="s">
        <v>87</v>
      </c>
      <c r="B9371">
        <v>11.906676966345101</v>
      </c>
      <c r="C9371" s="1">
        <v>45412</v>
      </c>
    </row>
    <row r="9372" spans="1:3">
      <c r="A9372" t="s">
        <v>89</v>
      </c>
      <c r="B9372">
        <v>9.1613509489120801</v>
      </c>
      <c r="C9372" s="1">
        <v>45412</v>
      </c>
    </row>
    <row r="9373" spans="1:3">
      <c r="A9373" t="s">
        <v>91</v>
      </c>
      <c r="B9373">
        <v>15.956444295871099</v>
      </c>
      <c r="C9373" s="1">
        <v>45412</v>
      </c>
    </row>
    <row r="9374" spans="1:3">
      <c r="A9374" t="s">
        <v>93</v>
      </c>
      <c r="B9374">
        <v>8.2290762464149996</v>
      </c>
      <c r="C9374" s="1">
        <v>45412</v>
      </c>
    </row>
    <row r="9375" spans="1:3">
      <c r="A9375" t="s">
        <v>95</v>
      </c>
      <c r="B9375">
        <v>0.69018058840899998</v>
      </c>
      <c r="C9375" s="1">
        <v>45412</v>
      </c>
    </row>
    <row r="9376" spans="1:3">
      <c r="A9376" t="s">
        <v>97</v>
      </c>
      <c r="B9376">
        <v>2.8403585753754998</v>
      </c>
      <c r="C9376" s="1">
        <v>45412</v>
      </c>
    </row>
    <row r="9377" spans="1:3">
      <c r="A9377" t="s">
        <v>99</v>
      </c>
      <c r="B9377">
        <v>4.0364946259027903</v>
      </c>
      <c r="C9377" s="1">
        <v>45412</v>
      </c>
    </row>
    <row r="9378" spans="1:3">
      <c r="A9378" t="s">
        <v>101</v>
      </c>
      <c r="B9378">
        <v>8.9192568348239991</v>
      </c>
      <c r="C9378" s="1">
        <v>45412</v>
      </c>
    </row>
    <row r="9379" spans="1:3">
      <c r="A9379" t="s">
        <v>103</v>
      </c>
      <c r="B9379">
        <v>0.55745355217649994</v>
      </c>
      <c r="C9379" s="1">
        <v>45412</v>
      </c>
    </row>
    <row r="9380" spans="1:3">
      <c r="A9380" t="s">
        <v>105</v>
      </c>
      <c r="B9380">
        <v>0.17307605524718001</v>
      </c>
      <c r="C9380" s="1">
        <v>45412</v>
      </c>
    </row>
    <row r="9381" spans="1:3">
      <c r="A9381" t="s">
        <v>107</v>
      </c>
      <c r="B9381">
        <v>1.9553346977771899</v>
      </c>
      <c r="C9381" s="1">
        <v>45412</v>
      </c>
    </row>
    <row r="9382" spans="1:3">
      <c r="A9382" t="s">
        <v>109</v>
      </c>
      <c r="B9382">
        <v>8.7552062180406303</v>
      </c>
      <c r="C9382" s="1">
        <v>45412</v>
      </c>
    </row>
    <row r="9383" spans="1:3">
      <c r="A9383" t="s">
        <v>111</v>
      </c>
      <c r="B9383">
        <v>4.9857583890376302</v>
      </c>
      <c r="C9383" s="1">
        <v>45412</v>
      </c>
    </row>
    <row r="9384" spans="1:3">
      <c r="A9384" t="s">
        <v>113</v>
      </c>
      <c r="B9384">
        <v>5.2867833072129402</v>
      </c>
      <c r="C9384" s="1">
        <v>45412</v>
      </c>
    </row>
    <row r="9385" spans="1:3">
      <c r="A9385" t="s">
        <v>115</v>
      </c>
      <c r="B9385">
        <v>3.1934124917539499</v>
      </c>
      <c r="C9385" s="1">
        <v>45412</v>
      </c>
    </row>
    <row r="9386" spans="1:3">
      <c r="A9386" t="s">
        <v>117</v>
      </c>
      <c r="B9386">
        <v>1.07031082017888</v>
      </c>
      <c r="C9386" s="1">
        <v>45412</v>
      </c>
    </row>
    <row r="9387" spans="1:3">
      <c r="A9387" t="s">
        <v>119</v>
      </c>
      <c r="B9387">
        <v>24.6086543337953</v>
      </c>
      <c r="C9387" s="1">
        <v>45412</v>
      </c>
    </row>
    <row r="9388" spans="1:3">
      <c r="A9388" t="s">
        <v>121</v>
      </c>
      <c r="B9388">
        <v>6.52539200933463</v>
      </c>
      <c r="C9388" s="1">
        <v>45412</v>
      </c>
    </row>
    <row r="9389" spans="1:3">
      <c r="A9389" t="s">
        <v>123</v>
      </c>
      <c r="B9389">
        <v>3.61229901810372</v>
      </c>
      <c r="C9389" s="1">
        <v>45412</v>
      </c>
    </row>
    <row r="9390" spans="1:3">
      <c r="A9390" t="s">
        <v>125</v>
      </c>
      <c r="B9390">
        <v>191.51821147761299</v>
      </c>
      <c r="C9390" s="1">
        <v>45412</v>
      </c>
    </row>
    <row r="9391" spans="1:3">
      <c r="A9391" t="s">
        <v>127</v>
      </c>
      <c r="B9391">
        <v>4.8089659767759398</v>
      </c>
      <c r="C9391" s="1">
        <v>45412</v>
      </c>
    </row>
    <row r="9392" spans="1:3">
      <c r="A9392" t="s">
        <v>129</v>
      </c>
      <c r="B9392">
        <v>3.4593974723638801</v>
      </c>
      <c r="C9392" s="1">
        <v>45412</v>
      </c>
    </row>
    <row r="9393" spans="1:3">
      <c r="A9393" t="s">
        <v>131</v>
      </c>
      <c r="B9393">
        <v>1.93940745342929</v>
      </c>
      <c r="C9393" s="1">
        <v>45412</v>
      </c>
    </row>
    <row r="9394" spans="1:3">
      <c r="A9394" t="s">
        <v>134</v>
      </c>
      <c r="B9394">
        <v>1.48441917322428</v>
      </c>
      <c r="C9394" s="1">
        <v>45412</v>
      </c>
    </row>
    <row r="9395" spans="1:3">
      <c r="A9395" t="s">
        <v>136</v>
      </c>
      <c r="B9395">
        <v>13.365612548612701</v>
      </c>
      <c r="C9395" s="1">
        <v>45412</v>
      </c>
    </row>
    <row r="9396" spans="1:3">
      <c r="A9396" t="s">
        <v>138</v>
      </c>
      <c r="B9396">
        <v>13.0730821607563</v>
      </c>
      <c r="C9396" s="1">
        <v>45412</v>
      </c>
    </row>
    <row r="9397" spans="1:3">
      <c r="A9397" t="s">
        <v>140</v>
      </c>
      <c r="B9397">
        <v>15.477565149144199</v>
      </c>
      <c r="C9397" s="1">
        <v>45412</v>
      </c>
    </row>
    <row r="9398" spans="1:3">
      <c r="A9398" t="s">
        <v>142</v>
      </c>
      <c r="B9398">
        <v>6.3687741065802799</v>
      </c>
      <c r="C9398" s="1">
        <v>45412</v>
      </c>
    </row>
    <row r="9399" spans="1:3">
      <c r="A9399" t="s">
        <v>144</v>
      </c>
      <c r="B9399">
        <v>3.5199210008858999</v>
      </c>
      <c r="C9399" s="1">
        <v>45412</v>
      </c>
    </row>
    <row r="9400" spans="1:3">
      <c r="A9400" t="s">
        <v>146</v>
      </c>
      <c r="B9400">
        <v>2.6948897436646799</v>
      </c>
      <c r="C9400" s="1">
        <v>45412</v>
      </c>
    </row>
    <row r="9401" spans="1:3">
      <c r="A9401" t="s">
        <v>148</v>
      </c>
      <c r="B9401">
        <v>9.4018523385653694</v>
      </c>
      <c r="C9401" s="1">
        <v>45412</v>
      </c>
    </row>
    <row r="9402" spans="1:3">
      <c r="A9402" t="s">
        <v>150</v>
      </c>
      <c r="B9402">
        <v>4.6135917794417001</v>
      </c>
      <c r="C9402" s="1">
        <v>45412</v>
      </c>
    </row>
    <row r="9403" spans="1:3">
      <c r="A9403" t="s">
        <v>152</v>
      </c>
      <c r="B9403">
        <v>23.179980515788699</v>
      </c>
      <c r="C9403" s="1">
        <v>45412</v>
      </c>
    </row>
    <row r="9404" spans="1:3">
      <c r="A9404" t="s">
        <v>154</v>
      </c>
      <c r="B9404">
        <v>10.913878735326</v>
      </c>
      <c r="C9404" s="1">
        <v>45412</v>
      </c>
    </row>
    <row r="9405" spans="1:3">
      <c r="A9405" t="s">
        <v>156</v>
      </c>
      <c r="B9405">
        <v>7.07488193933718</v>
      </c>
      <c r="C9405" s="1">
        <v>45412</v>
      </c>
    </row>
    <row r="9406" spans="1:3">
      <c r="A9406" t="s">
        <v>158</v>
      </c>
      <c r="B9406">
        <v>35.132315582597798</v>
      </c>
      <c r="C9406" s="1">
        <v>45412</v>
      </c>
    </row>
    <row r="9407" spans="1:3">
      <c r="A9407" t="s">
        <v>160</v>
      </c>
      <c r="B9407">
        <v>12.144523815273701</v>
      </c>
      <c r="C9407" s="1">
        <v>45412</v>
      </c>
    </row>
    <row r="9408" spans="1:3">
      <c r="A9408" t="s">
        <v>162</v>
      </c>
      <c r="B9408">
        <v>4.4989156201368203</v>
      </c>
      <c r="C9408" s="1">
        <v>45412</v>
      </c>
    </row>
    <row r="9409" spans="1:3">
      <c r="A9409" t="s">
        <v>164</v>
      </c>
      <c r="B9409">
        <v>16.4953160629751</v>
      </c>
      <c r="C9409" s="1">
        <v>45412</v>
      </c>
    </row>
    <row r="9410" spans="1:3">
      <c r="A9410" t="s">
        <v>166</v>
      </c>
      <c r="B9410">
        <v>4.5817372907458997</v>
      </c>
      <c r="C9410" s="1">
        <v>45412</v>
      </c>
    </row>
    <row r="9411" spans="1:3">
      <c r="A9411" t="s">
        <v>168</v>
      </c>
      <c r="B9411">
        <v>10.418541436106301</v>
      </c>
      <c r="C9411" s="1">
        <v>45412</v>
      </c>
    </row>
    <row r="9412" spans="1:3">
      <c r="A9412" t="s">
        <v>17</v>
      </c>
      <c r="B9412">
        <v>158.46501128790101</v>
      </c>
      <c r="C9412" s="1">
        <v>45443</v>
      </c>
    </row>
    <row r="9413" spans="1:3">
      <c r="A9413" t="s">
        <v>4</v>
      </c>
      <c r="B9413">
        <v>0.31921391581708902</v>
      </c>
      <c r="C9413" s="1">
        <v>45443</v>
      </c>
    </row>
    <row r="9414" spans="1:3">
      <c r="A9414" t="s">
        <v>8</v>
      </c>
      <c r="B9414">
        <v>19.7301819149042</v>
      </c>
      <c r="C9414" s="1">
        <v>45443</v>
      </c>
    </row>
    <row r="9415" spans="1:3">
      <c r="A9415" t="s">
        <v>11</v>
      </c>
      <c r="B9415">
        <v>30.752888062910898</v>
      </c>
      <c r="C9415" s="1">
        <v>45443</v>
      </c>
    </row>
    <row r="9416" spans="1:3">
      <c r="A9416" t="s">
        <v>14</v>
      </c>
      <c r="B9416">
        <v>6.5388394636009899</v>
      </c>
      <c r="C9416" s="1">
        <v>45443</v>
      </c>
    </row>
    <row r="9417" spans="1:3">
      <c r="A9417" t="s">
        <v>20</v>
      </c>
      <c r="B9417">
        <v>0.53007568716382003</v>
      </c>
      <c r="C9417" s="1">
        <v>45443</v>
      </c>
    </row>
    <row r="9418" spans="1:3">
      <c r="A9418" t="s">
        <v>24</v>
      </c>
      <c r="B9418">
        <v>0.56884875846938998</v>
      </c>
      <c r="C9418" s="1">
        <v>45443</v>
      </c>
    </row>
    <row r="9419" spans="1:3">
      <c r="A9419" t="s">
        <v>27</v>
      </c>
      <c r="B9419">
        <v>31.531536316800899</v>
      </c>
      <c r="C9419" s="1">
        <v>45443</v>
      </c>
    </row>
    <row r="9420" spans="1:3">
      <c r="A9420" t="s">
        <v>29</v>
      </c>
      <c r="B9420">
        <v>0.58796972514062995</v>
      </c>
      <c r="C9420" s="1">
        <v>45443</v>
      </c>
    </row>
    <row r="9421" spans="1:3">
      <c r="A9421" t="s">
        <v>32</v>
      </c>
      <c r="B9421">
        <v>4.9103704687670398</v>
      </c>
      <c r="C9421" s="1">
        <v>45443</v>
      </c>
    </row>
    <row r="9422" spans="1:3">
      <c r="A9422" t="s">
        <v>35</v>
      </c>
      <c r="B9422">
        <v>3.01580135442501</v>
      </c>
      <c r="C9422" s="1">
        <v>45443</v>
      </c>
    </row>
    <row r="9423" spans="1:3">
      <c r="A9423" t="s">
        <v>37</v>
      </c>
      <c r="B9423">
        <v>0.228389324128699</v>
      </c>
      <c r="C9423" s="1">
        <v>45443</v>
      </c>
    </row>
    <row r="9424" spans="1:3">
      <c r="A9424" t="s">
        <v>39</v>
      </c>
      <c r="B9424">
        <v>1.89934935600983</v>
      </c>
      <c r="C9424" s="1">
        <v>45443</v>
      </c>
    </row>
    <row r="9425" spans="1:3">
      <c r="A9425" t="s">
        <v>42</v>
      </c>
      <c r="B9425">
        <v>3.7423980879321301</v>
      </c>
      <c r="C9425" s="1">
        <v>45443</v>
      </c>
    </row>
    <row r="9426" spans="1:3">
      <c r="A9426" t="s">
        <v>44</v>
      </c>
      <c r="B9426">
        <v>9.6364360643418703</v>
      </c>
      <c r="C9426" s="1">
        <v>45443</v>
      </c>
    </row>
    <row r="9427" spans="1:3">
      <c r="A9427" t="s">
        <v>47</v>
      </c>
      <c r="B9427">
        <v>4.8885938122803596</v>
      </c>
      <c r="C9427" s="1">
        <v>45443</v>
      </c>
    </row>
    <row r="9428" spans="1:3">
      <c r="A9428" t="s">
        <v>49</v>
      </c>
      <c r="B9428">
        <v>5.5227725402098198</v>
      </c>
      <c r="C9428" s="1">
        <v>45443</v>
      </c>
    </row>
    <row r="9429" spans="1:3">
      <c r="A9429" t="s">
        <v>51</v>
      </c>
      <c r="B9429">
        <v>0.77917939185302998</v>
      </c>
      <c r="C9429" s="1">
        <v>45443</v>
      </c>
    </row>
    <row r="9430" spans="1:3">
      <c r="A9430" t="s">
        <v>53</v>
      </c>
      <c r="B9430">
        <v>0.50458106493549904</v>
      </c>
      <c r="C9430" s="1">
        <v>45443</v>
      </c>
    </row>
    <row r="9431" spans="1:3">
      <c r="A9431" t="s">
        <v>55</v>
      </c>
      <c r="B9431">
        <v>1.8467666976639301</v>
      </c>
      <c r="C9431" s="1">
        <v>45443</v>
      </c>
    </row>
    <row r="9432" spans="1:3">
      <c r="A9432" t="s">
        <v>57</v>
      </c>
      <c r="B9432">
        <v>1.26092152437565</v>
      </c>
      <c r="C9432" s="1">
        <v>45443</v>
      </c>
    </row>
    <row r="9433" spans="1:3">
      <c r="A9433" t="s">
        <v>59</v>
      </c>
      <c r="B9433">
        <v>2.2653034125788398</v>
      </c>
      <c r="C9433" s="1">
        <v>45443</v>
      </c>
    </row>
    <row r="9434" spans="1:3">
      <c r="A9434" t="s">
        <v>61</v>
      </c>
      <c r="B9434">
        <v>113.127074758539</v>
      </c>
      <c r="C9434" s="1">
        <v>45443</v>
      </c>
    </row>
    <row r="9435" spans="1:3">
      <c r="A9435" t="s">
        <v>63</v>
      </c>
      <c r="B9435">
        <v>7.4210596202934704</v>
      </c>
      <c r="C9435" s="1">
        <v>45443</v>
      </c>
    </row>
    <row r="9436" spans="1:3">
      <c r="A9436" t="s">
        <v>65</v>
      </c>
      <c r="B9436">
        <v>0.19067852874930999</v>
      </c>
      <c r="C9436" s="1">
        <v>45443</v>
      </c>
    </row>
    <row r="9437" spans="1:3">
      <c r="A9437" t="s">
        <v>67</v>
      </c>
      <c r="B9437">
        <v>5.8260523171341996</v>
      </c>
      <c r="C9437" s="1">
        <v>45443</v>
      </c>
    </row>
    <row r="9438" spans="1:3">
      <c r="A9438" t="s">
        <v>69</v>
      </c>
      <c r="B9438">
        <v>4.0515203824505202</v>
      </c>
      <c r="C9438" s="1">
        <v>45443</v>
      </c>
    </row>
    <row r="9439" spans="1:3">
      <c r="A9439" t="s">
        <v>71</v>
      </c>
      <c r="B9439">
        <v>1.3809587040339999</v>
      </c>
      <c r="C9439" s="1">
        <v>45443</v>
      </c>
    </row>
    <row r="9440" spans="1:3">
      <c r="A9440" t="s">
        <v>73</v>
      </c>
      <c r="B9440">
        <v>0.59806134643933995</v>
      </c>
      <c r="C9440" s="1">
        <v>45443</v>
      </c>
    </row>
    <row r="9441" spans="1:3">
      <c r="A9441" t="s">
        <v>75</v>
      </c>
      <c r="B9441">
        <v>0.133315628735589</v>
      </c>
      <c r="C9441" s="1">
        <v>45443</v>
      </c>
    </row>
    <row r="9442" spans="1:3">
      <c r="A9442" t="s">
        <v>77</v>
      </c>
      <c r="B9442">
        <v>0.58372062143590997</v>
      </c>
      <c r="C9442" s="1">
        <v>45443</v>
      </c>
    </row>
    <row r="9443" spans="1:3">
      <c r="A9443" t="s">
        <v>79</v>
      </c>
      <c r="B9443">
        <v>2.6487850219298199</v>
      </c>
      <c r="C9443" s="1">
        <v>45443</v>
      </c>
    </row>
    <row r="9444" spans="1:3">
      <c r="A9444" t="s">
        <v>81</v>
      </c>
      <c r="B9444">
        <v>8.0042491037662895</v>
      </c>
      <c r="C9444" s="1">
        <v>45443</v>
      </c>
    </row>
    <row r="9445" spans="1:3">
      <c r="A9445" t="s">
        <v>83</v>
      </c>
      <c r="B9445">
        <v>0.13437790466176999</v>
      </c>
      <c r="C9445" s="1">
        <v>45443</v>
      </c>
    </row>
    <row r="9446" spans="1:3">
      <c r="A9446" t="s">
        <v>85</v>
      </c>
      <c r="B9446">
        <v>1.4531934670142399</v>
      </c>
      <c r="C9446" s="1">
        <v>45443</v>
      </c>
    </row>
    <row r="9447" spans="1:3">
      <c r="A9447" t="s">
        <v>87</v>
      </c>
      <c r="B9447">
        <v>12.341521710359199</v>
      </c>
      <c r="C9447" s="1">
        <v>45443</v>
      </c>
    </row>
    <row r="9448" spans="1:3">
      <c r="A9448" t="s">
        <v>89</v>
      </c>
      <c r="B9448">
        <v>8.7563404595017396</v>
      </c>
      <c r="C9448" s="1">
        <v>45443</v>
      </c>
    </row>
    <row r="9449" spans="1:3">
      <c r="A9449" t="s">
        <v>91</v>
      </c>
      <c r="B9449">
        <v>15.863497543609</v>
      </c>
      <c r="C9449" s="1">
        <v>45443</v>
      </c>
    </row>
    <row r="9450" spans="1:3">
      <c r="A9450" t="s">
        <v>93</v>
      </c>
      <c r="B9450">
        <v>7.6483866684959896</v>
      </c>
      <c r="C9450" s="1">
        <v>45443</v>
      </c>
    </row>
    <row r="9451" spans="1:3">
      <c r="A9451" t="s">
        <v>95</v>
      </c>
      <c r="B9451">
        <v>0.71703625017149997</v>
      </c>
      <c r="C9451" s="1">
        <v>45443</v>
      </c>
    </row>
    <row r="9452" spans="1:3">
      <c r="A9452" t="s">
        <v>97</v>
      </c>
      <c r="B9452">
        <v>2.9807462488610699</v>
      </c>
      <c r="C9452" s="1">
        <v>45443</v>
      </c>
    </row>
    <row r="9453" spans="1:3">
      <c r="A9453" t="s">
        <v>99</v>
      </c>
      <c r="B9453">
        <v>3.8656220953690199</v>
      </c>
      <c r="C9453" s="1">
        <v>45443</v>
      </c>
    </row>
    <row r="9454" spans="1:3">
      <c r="A9454" t="s">
        <v>101</v>
      </c>
      <c r="B9454">
        <v>8.7653698048742701</v>
      </c>
      <c r="C9454" s="1">
        <v>45443</v>
      </c>
    </row>
    <row r="9455" spans="1:3">
      <c r="A9455" t="s">
        <v>103</v>
      </c>
      <c r="B9455">
        <v>0.53644934272089995</v>
      </c>
      <c r="C9455" s="1">
        <v>45443</v>
      </c>
    </row>
    <row r="9456" spans="1:3">
      <c r="A9456" t="s">
        <v>105</v>
      </c>
      <c r="B9456">
        <v>0.17793121763514999</v>
      </c>
      <c r="C9456" s="1">
        <v>45443</v>
      </c>
    </row>
    <row r="9457" spans="1:3">
      <c r="A9457" t="s">
        <v>107</v>
      </c>
      <c r="B9457">
        <v>1.9614924976913699</v>
      </c>
      <c r="C9457" s="1">
        <v>45443</v>
      </c>
    </row>
    <row r="9458" spans="1:3">
      <c r="A9458" t="s">
        <v>109</v>
      </c>
      <c r="B9458">
        <v>9.0776789271711902</v>
      </c>
      <c r="C9458" s="1">
        <v>45443</v>
      </c>
    </row>
    <row r="9459" spans="1:3">
      <c r="A9459" t="s">
        <v>111</v>
      </c>
      <c r="B9459">
        <v>5.0835214447343802</v>
      </c>
      <c r="C9459" s="1">
        <v>45443</v>
      </c>
    </row>
    <row r="9460" spans="1:3">
      <c r="A9460" t="s">
        <v>113</v>
      </c>
      <c r="B9460">
        <v>5.0458106493549897</v>
      </c>
      <c r="C9460" s="1">
        <v>45443</v>
      </c>
    </row>
    <row r="9461" spans="1:3">
      <c r="A9461" t="s">
        <v>115</v>
      </c>
      <c r="B9461">
        <v>2.8920462090250498</v>
      </c>
      <c r="C9461" s="1">
        <v>45443</v>
      </c>
    </row>
    <row r="9462" spans="1:3">
      <c r="A9462" t="s">
        <v>117</v>
      </c>
      <c r="B9462">
        <v>1.3193467003155599</v>
      </c>
      <c r="C9462" s="1">
        <v>45443</v>
      </c>
    </row>
    <row r="9463" spans="1:3">
      <c r="A9463" t="s">
        <v>119</v>
      </c>
      <c r="B9463">
        <v>26.0395697784503</v>
      </c>
      <c r="C9463" s="1">
        <v>45443</v>
      </c>
    </row>
    <row r="9464" spans="1:3">
      <c r="A9464" t="s">
        <v>121</v>
      </c>
      <c r="B9464">
        <v>6.4108352144962897</v>
      </c>
      <c r="C9464" s="1">
        <v>45443</v>
      </c>
    </row>
    <row r="9465" spans="1:3">
      <c r="A9465" t="s">
        <v>123</v>
      </c>
      <c r="B9465">
        <v>3.7625813305295601</v>
      </c>
      <c r="C9465" s="1">
        <v>45443</v>
      </c>
    </row>
    <row r="9466" spans="1:3">
      <c r="A9466" t="s">
        <v>125</v>
      </c>
      <c r="B9466">
        <v>198.025760192733</v>
      </c>
      <c r="C9466" s="1">
        <v>45443</v>
      </c>
    </row>
    <row r="9467" spans="1:3">
      <c r="A9467" t="s">
        <v>127</v>
      </c>
      <c r="B9467">
        <v>4.3585181251165297</v>
      </c>
      <c r="C9467" s="1">
        <v>45443</v>
      </c>
    </row>
    <row r="9468" spans="1:3">
      <c r="A9468" t="s">
        <v>129</v>
      </c>
      <c r="B9468">
        <v>3.4523967600849899</v>
      </c>
      <c r="C9468" s="1">
        <v>45443</v>
      </c>
    </row>
    <row r="9469" spans="1:3">
      <c r="A9469" t="s">
        <v>131</v>
      </c>
      <c r="B9469">
        <v>1.9806134643626001</v>
      </c>
      <c r="C9469" s="1">
        <v>45443</v>
      </c>
    </row>
    <row r="9470" spans="1:3">
      <c r="A9470" t="s">
        <v>134</v>
      </c>
      <c r="B9470">
        <v>1.4399150179369899</v>
      </c>
      <c r="C9470" s="1">
        <v>45443</v>
      </c>
    </row>
    <row r="9471" spans="1:3">
      <c r="A9471" t="s">
        <v>136</v>
      </c>
      <c r="B9471">
        <v>13.2619838003942</v>
      </c>
      <c r="C9471" s="1">
        <v>45443</v>
      </c>
    </row>
    <row r="9472" spans="1:3">
      <c r="A9472" t="s">
        <v>138</v>
      </c>
      <c r="B9472">
        <v>13.0458106494165</v>
      </c>
      <c r="C9472" s="1">
        <v>45443</v>
      </c>
    </row>
    <row r="9473" spans="1:3">
      <c r="A9473" t="s">
        <v>140</v>
      </c>
      <c r="B9473">
        <v>15.708936396349801</v>
      </c>
      <c r="C9473" s="1">
        <v>45443</v>
      </c>
    </row>
    <row r="9474" spans="1:3">
      <c r="A9474" t="s">
        <v>142</v>
      </c>
      <c r="B9474">
        <v>6.5351214978593601</v>
      </c>
      <c r="C9474" s="1">
        <v>45443</v>
      </c>
    </row>
    <row r="9475" spans="1:3">
      <c r="A9475" t="s">
        <v>144</v>
      </c>
      <c r="B9475">
        <v>3.6329836675356</v>
      </c>
      <c r="C9475" s="1">
        <v>45443</v>
      </c>
    </row>
    <row r="9476" spans="1:3">
      <c r="A9476" t="s">
        <v>146</v>
      </c>
      <c r="B9476">
        <v>2.84371265438386</v>
      </c>
      <c r="C9476" s="1">
        <v>45443</v>
      </c>
    </row>
    <row r="9477" spans="1:3">
      <c r="A9477" t="s">
        <v>148</v>
      </c>
      <c r="B9477">
        <v>9.5169300226466191</v>
      </c>
      <c r="C9477" s="1">
        <v>45443</v>
      </c>
    </row>
    <row r="9478" spans="1:3">
      <c r="A9478" t="s">
        <v>150</v>
      </c>
      <c r="B9478">
        <v>4.5056433408924699</v>
      </c>
      <c r="C9478" s="1">
        <v>45443</v>
      </c>
    </row>
    <row r="9479" spans="1:3">
      <c r="A9479" t="s">
        <v>152</v>
      </c>
      <c r="B9479">
        <v>23.763112468646501</v>
      </c>
      <c r="C9479" s="1">
        <v>45443</v>
      </c>
    </row>
    <row r="9480" spans="1:3">
      <c r="A9480" t="s">
        <v>154</v>
      </c>
      <c r="B9480">
        <v>10.357190280254899</v>
      </c>
      <c r="C9480" s="1">
        <v>45443</v>
      </c>
    </row>
    <row r="9481" spans="1:3">
      <c r="A9481" t="s">
        <v>156</v>
      </c>
      <c r="B9481">
        <v>6.5914221219468896</v>
      </c>
      <c r="C9481" s="1">
        <v>45443</v>
      </c>
    </row>
    <row r="9482" spans="1:3">
      <c r="A9482" t="s">
        <v>158</v>
      </c>
      <c r="B9482">
        <v>32.428628336459902</v>
      </c>
      <c r="C9482" s="1">
        <v>45443</v>
      </c>
    </row>
    <row r="9483" spans="1:3">
      <c r="A9483" t="s">
        <v>160</v>
      </c>
      <c r="B9483">
        <v>12.1354401806803</v>
      </c>
      <c r="C9483" s="1">
        <v>45443</v>
      </c>
    </row>
    <row r="9484" spans="1:3">
      <c r="A9484" t="s">
        <v>162</v>
      </c>
      <c r="B9484">
        <v>5.1100783428888796</v>
      </c>
      <c r="C9484" s="1">
        <v>45443</v>
      </c>
    </row>
    <row r="9485" spans="1:3">
      <c r="A9485" t="s">
        <v>164</v>
      </c>
      <c r="B9485">
        <v>15.545345903718101</v>
      </c>
      <c r="C9485" s="1">
        <v>45443</v>
      </c>
    </row>
    <row r="9486" spans="1:3">
      <c r="A9486" t="s">
        <v>166</v>
      </c>
      <c r="B9486">
        <v>4.78927101318253</v>
      </c>
      <c r="C9486" s="1">
        <v>45443</v>
      </c>
    </row>
    <row r="9487" spans="1:3">
      <c r="A9487" t="s">
        <v>168</v>
      </c>
      <c r="B9487">
        <v>11.995219758424501</v>
      </c>
      <c r="C9487" s="1">
        <v>45443</v>
      </c>
    </row>
    <row r="9488" spans="1:3">
      <c r="A9488" t="s">
        <v>17</v>
      </c>
      <c r="B9488">
        <v>156.07447973759199</v>
      </c>
      <c r="C9488" s="1">
        <v>45473</v>
      </c>
    </row>
    <row r="9489" spans="1:3">
      <c r="A9489" t="s">
        <v>4</v>
      </c>
      <c r="B9489">
        <v>0.3313253012058</v>
      </c>
      <c r="C9489" s="1">
        <v>45473</v>
      </c>
    </row>
    <row r="9490" spans="1:3">
      <c r="A9490" t="s">
        <v>8</v>
      </c>
      <c r="B9490">
        <v>19.277108433792002</v>
      </c>
      <c r="C9490" s="1">
        <v>45473</v>
      </c>
    </row>
    <row r="9491" spans="1:3">
      <c r="A9491" t="s">
        <v>11</v>
      </c>
      <c r="B9491">
        <v>30.760131434921199</v>
      </c>
      <c r="C9491" s="1">
        <v>45473</v>
      </c>
    </row>
    <row r="9492" spans="1:3">
      <c r="A9492" t="s">
        <v>14</v>
      </c>
      <c r="B9492">
        <v>7.2453450164508002</v>
      </c>
      <c r="C9492" s="1">
        <v>45473</v>
      </c>
    </row>
    <row r="9493" spans="1:3">
      <c r="A9493" t="s">
        <v>20</v>
      </c>
      <c r="B9493">
        <v>0.59419496166660002</v>
      </c>
      <c r="C9493" s="1">
        <v>45473</v>
      </c>
    </row>
    <row r="9494" spans="1:3">
      <c r="A9494" t="s">
        <v>24</v>
      </c>
      <c r="B9494">
        <v>0.61719605695692004</v>
      </c>
      <c r="C9494" s="1">
        <v>45473</v>
      </c>
    </row>
    <row r="9495" spans="1:3">
      <c r="A9495" t="s">
        <v>27</v>
      </c>
      <c r="B9495">
        <v>31.571741511593999</v>
      </c>
      <c r="C9495" s="1">
        <v>45473</v>
      </c>
    </row>
    <row r="9496" spans="1:3">
      <c r="A9496" t="s">
        <v>29</v>
      </c>
      <c r="B9496">
        <v>0.70372398685859905</v>
      </c>
      <c r="C9496" s="1">
        <v>45473</v>
      </c>
    </row>
    <row r="9497" spans="1:3">
      <c r="A9497" t="s">
        <v>32</v>
      </c>
      <c r="B9497">
        <v>5.3400876232359602</v>
      </c>
      <c r="C9497" s="1">
        <v>45473</v>
      </c>
    </row>
    <row r="9498" spans="1:3">
      <c r="A9498" t="s">
        <v>35</v>
      </c>
      <c r="B9498">
        <v>3.2913472070196002</v>
      </c>
      <c r="C9498" s="1">
        <v>45473</v>
      </c>
    </row>
    <row r="9499" spans="1:3">
      <c r="A9499" t="s">
        <v>37</v>
      </c>
      <c r="B9499">
        <v>0.2135815991244</v>
      </c>
      <c r="C9499" s="1">
        <v>45473</v>
      </c>
    </row>
    <row r="9500" spans="1:3">
      <c r="A9500" t="s">
        <v>39</v>
      </c>
      <c r="B9500">
        <v>2.1905805038400001</v>
      </c>
      <c r="C9500" s="1">
        <v>45473</v>
      </c>
    </row>
    <row r="9501" spans="1:3">
      <c r="A9501" t="s">
        <v>42</v>
      </c>
      <c r="B9501">
        <v>3.8767798466708401</v>
      </c>
      <c r="C9501" s="1">
        <v>45473</v>
      </c>
    </row>
    <row r="9502" spans="1:3">
      <c r="A9502" t="s">
        <v>44</v>
      </c>
      <c r="B9502">
        <v>9.7480832420880006</v>
      </c>
      <c r="C9502" s="1">
        <v>45473</v>
      </c>
    </row>
    <row r="9503" spans="1:3">
      <c r="A9503" t="s">
        <v>47</v>
      </c>
      <c r="B9503">
        <v>5.9556407448149997</v>
      </c>
      <c r="C9503" s="1">
        <v>45473</v>
      </c>
    </row>
    <row r="9504" spans="1:3">
      <c r="A9504" t="s">
        <v>49</v>
      </c>
      <c r="B9504">
        <v>6.4824753559885204</v>
      </c>
      <c r="C9504" s="1">
        <v>45473</v>
      </c>
    </row>
    <row r="9505" spans="1:3">
      <c r="A9505" t="s">
        <v>51</v>
      </c>
      <c r="B9505">
        <v>0.83789704271879994</v>
      </c>
      <c r="C9505" s="1">
        <v>45473</v>
      </c>
    </row>
    <row r="9506" spans="1:3">
      <c r="A9506" t="s">
        <v>53</v>
      </c>
      <c r="B9506">
        <v>0.56571741511667994</v>
      </c>
      <c r="C9506" s="1">
        <v>45473</v>
      </c>
    </row>
    <row r="9507" spans="1:3">
      <c r="A9507" t="s">
        <v>55</v>
      </c>
      <c r="B9507">
        <v>1.9660460021963999</v>
      </c>
      <c r="C9507" s="1">
        <v>45473</v>
      </c>
    </row>
    <row r="9508" spans="1:3">
      <c r="A9508" t="s">
        <v>57</v>
      </c>
      <c r="B9508">
        <v>1.3422782037279599</v>
      </c>
      <c r="C9508" s="1">
        <v>45473</v>
      </c>
    </row>
    <row r="9509" spans="1:3">
      <c r="A9509" t="s">
        <v>59</v>
      </c>
      <c r="B9509">
        <v>2.5662650602485599</v>
      </c>
      <c r="C9509" s="1">
        <v>45473</v>
      </c>
    </row>
    <row r="9510" spans="1:3">
      <c r="A9510" t="s">
        <v>61</v>
      </c>
      <c r="B9510">
        <v>143.975903614884</v>
      </c>
      <c r="C9510" s="1">
        <v>45473</v>
      </c>
    </row>
    <row r="9511" spans="1:3">
      <c r="A9511" t="s">
        <v>63</v>
      </c>
      <c r="B9511">
        <v>8.9671412924690408</v>
      </c>
      <c r="C9511" s="1">
        <v>45473</v>
      </c>
    </row>
    <row r="9512" spans="1:3">
      <c r="A9512" t="s">
        <v>65</v>
      </c>
      <c r="B9512">
        <v>0.22015334063591999</v>
      </c>
      <c r="C9512" s="1">
        <v>45473</v>
      </c>
    </row>
    <row r="9513" spans="1:3">
      <c r="A9513" t="s">
        <v>67</v>
      </c>
      <c r="B9513">
        <v>7.37623220155524</v>
      </c>
      <c r="C9513" s="1">
        <v>45473</v>
      </c>
    </row>
    <row r="9514" spans="1:3">
      <c r="A9514" t="s">
        <v>69</v>
      </c>
      <c r="B9514">
        <v>5.1084337349548798</v>
      </c>
      <c r="C9514" s="1">
        <v>45473</v>
      </c>
    </row>
    <row r="9515" spans="1:3">
      <c r="A9515" t="s">
        <v>71</v>
      </c>
      <c r="B9515">
        <v>1.5498357064668</v>
      </c>
      <c r="C9515" s="1">
        <v>45473</v>
      </c>
    </row>
    <row r="9516" spans="1:3">
      <c r="A9516" t="s">
        <v>73</v>
      </c>
      <c r="B9516">
        <v>0.69769989047304004</v>
      </c>
      <c r="C9516" s="1">
        <v>45473</v>
      </c>
    </row>
    <row r="9517" spans="1:3">
      <c r="A9517" t="s">
        <v>75</v>
      </c>
      <c r="B9517">
        <v>0.14184008762364</v>
      </c>
      <c r="C9517" s="1">
        <v>45473</v>
      </c>
    </row>
    <row r="9518" spans="1:3">
      <c r="A9518" t="s">
        <v>77</v>
      </c>
      <c r="B9518">
        <v>0.66703176341927894</v>
      </c>
      <c r="C9518" s="1">
        <v>45473</v>
      </c>
    </row>
    <row r="9519" spans="1:3">
      <c r="A9519" t="s">
        <v>79</v>
      </c>
      <c r="B9519">
        <v>2.85925520263716</v>
      </c>
      <c r="C9519" s="1">
        <v>45473</v>
      </c>
    </row>
    <row r="9520" spans="1:3">
      <c r="A9520" t="s">
        <v>81</v>
      </c>
      <c r="B9520">
        <v>8.7667031763676793</v>
      </c>
      <c r="C9520" s="1">
        <v>45473</v>
      </c>
    </row>
    <row r="9521" spans="1:3">
      <c r="A9521" t="s">
        <v>83</v>
      </c>
      <c r="B9521">
        <v>0.15607886089860001</v>
      </c>
      <c r="C9521" s="1">
        <v>45473</v>
      </c>
    </row>
    <row r="9522" spans="1:3">
      <c r="A9522" t="s">
        <v>85</v>
      </c>
      <c r="B9522">
        <v>1.7196056955143999</v>
      </c>
      <c r="C9522" s="1">
        <v>45473</v>
      </c>
    </row>
    <row r="9523" spans="1:3">
      <c r="A9523" t="s">
        <v>87</v>
      </c>
      <c r="B9523">
        <v>12.7771084337727</v>
      </c>
      <c r="C9523" s="1">
        <v>45473</v>
      </c>
    </row>
    <row r="9524" spans="1:3">
      <c r="A9524" t="s">
        <v>89</v>
      </c>
      <c r="B9524">
        <v>9.6073384447162802</v>
      </c>
      <c r="C9524" s="1">
        <v>45473</v>
      </c>
    </row>
    <row r="9525" spans="1:3">
      <c r="A9525" t="s">
        <v>91</v>
      </c>
      <c r="B9525">
        <v>17.836254107391198</v>
      </c>
      <c r="C9525" s="1">
        <v>45473</v>
      </c>
    </row>
    <row r="9526" spans="1:3">
      <c r="A9526" t="s">
        <v>93</v>
      </c>
      <c r="B9526">
        <v>8.4233296823907597</v>
      </c>
      <c r="C9526" s="1">
        <v>45473</v>
      </c>
    </row>
    <row r="9527" spans="1:3">
      <c r="A9527" t="s">
        <v>95</v>
      </c>
      <c r="B9527">
        <v>0.82365826944383902</v>
      </c>
      <c r="C9527" s="1">
        <v>45473</v>
      </c>
    </row>
    <row r="9528" spans="1:3">
      <c r="A9528" t="s">
        <v>97</v>
      </c>
      <c r="B9528">
        <v>3.6248630887292399</v>
      </c>
      <c r="C9528" s="1">
        <v>45473</v>
      </c>
    </row>
    <row r="9529" spans="1:3">
      <c r="A9529" t="s">
        <v>99</v>
      </c>
      <c r="B9529">
        <v>3.9348302300225999</v>
      </c>
      <c r="C9529" s="1">
        <v>45473</v>
      </c>
    </row>
    <row r="9530" spans="1:3">
      <c r="A9530" t="s">
        <v>101</v>
      </c>
      <c r="B9530">
        <v>9.2825848850220005</v>
      </c>
      <c r="C9530" s="1">
        <v>45473</v>
      </c>
    </row>
    <row r="9531" spans="1:3">
      <c r="A9531" t="s">
        <v>103</v>
      </c>
      <c r="B9531">
        <v>0.55038335158980001</v>
      </c>
      <c r="C9531" s="1">
        <v>45473</v>
      </c>
    </row>
    <row r="9532" spans="1:3">
      <c r="A9532" t="s">
        <v>105</v>
      </c>
      <c r="B9532">
        <v>0.17634173055912</v>
      </c>
      <c r="C9532" s="1">
        <v>45473</v>
      </c>
    </row>
    <row r="9533" spans="1:3">
      <c r="A9533" t="s">
        <v>107</v>
      </c>
      <c r="B9533">
        <v>2.0251916758000799</v>
      </c>
      <c r="C9533" s="1">
        <v>45473</v>
      </c>
    </row>
    <row r="9534" spans="1:3">
      <c r="A9534" t="s">
        <v>109</v>
      </c>
      <c r="B9534">
        <v>9.2031763417577999</v>
      </c>
      <c r="C9534" s="1">
        <v>45473</v>
      </c>
    </row>
    <row r="9535" spans="1:3">
      <c r="A9535" t="s">
        <v>111</v>
      </c>
      <c r="B9535">
        <v>5.9162102957458798</v>
      </c>
      <c r="C9535" s="1">
        <v>45473</v>
      </c>
    </row>
    <row r="9536" spans="1:3">
      <c r="A9536" t="s">
        <v>113</v>
      </c>
      <c r="B9536">
        <v>6.98302300111596</v>
      </c>
      <c r="C9536" s="1">
        <v>45473</v>
      </c>
    </row>
    <row r="9537" spans="1:3">
      <c r="A9537" t="s">
        <v>115</v>
      </c>
      <c r="B9537">
        <v>3.3833515881808802</v>
      </c>
      <c r="C9537" s="1">
        <v>45473</v>
      </c>
    </row>
    <row r="9538" spans="1:3">
      <c r="A9538" t="s">
        <v>117</v>
      </c>
      <c r="B9538">
        <v>1.4079956188431599</v>
      </c>
      <c r="C9538" s="1">
        <v>45473</v>
      </c>
    </row>
    <row r="9539" spans="1:3">
      <c r="A9539" t="s">
        <v>119</v>
      </c>
      <c r="B9539">
        <v>24.076122672579402</v>
      </c>
      <c r="C9539" s="1">
        <v>45473</v>
      </c>
    </row>
    <row r="9540" spans="1:3">
      <c r="A9540" t="s">
        <v>121</v>
      </c>
      <c r="B9540">
        <v>7.4529025191896396</v>
      </c>
      <c r="C9540" s="1">
        <v>45473</v>
      </c>
    </row>
    <row r="9541" spans="1:3">
      <c r="A9541" t="s">
        <v>123</v>
      </c>
      <c r="B9541">
        <v>4.4315443592683197</v>
      </c>
      <c r="C9541" s="1">
        <v>45473</v>
      </c>
    </row>
    <row r="9542" spans="1:3">
      <c r="A9542" t="s">
        <v>125</v>
      </c>
      <c r="B9542">
        <v>195.35706462270301</v>
      </c>
      <c r="C9542" s="1">
        <v>45473</v>
      </c>
    </row>
    <row r="9543" spans="1:3">
      <c r="A9543" t="s">
        <v>127</v>
      </c>
      <c r="B9543">
        <v>4.6516976999042399</v>
      </c>
      <c r="C9543" s="1">
        <v>45473</v>
      </c>
    </row>
    <row r="9544" spans="1:3">
      <c r="A9544" t="s">
        <v>129</v>
      </c>
      <c r="B9544">
        <v>4.2113910186324004</v>
      </c>
      <c r="C9544" s="1">
        <v>45473</v>
      </c>
    </row>
    <row r="9545" spans="1:3">
      <c r="A9545" t="s">
        <v>131</v>
      </c>
      <c r="B9545">
        <v>2.0536692223499999</v>
      </c>
      <c r="C9545" s="1">
        <v>45473</v>
      </c>
    </row>
    <row r="9546" spans="1:3">
      <c r="A9546" t="s">
        <v>134</v>
      </c>
      <c r="B9546">
        <v>1.5481927710889201</v>
      </c>
      <c r="C9546" s="1">
        <v>45473</v>
      </c>
    </row>
    <row r="9547" spans="1:3">
      <c r="A9547" t="s">
        <v>136</v>
      </c>
      <c r="B9547">
        <v>15.5547645126418</v>
      </c>
      <c r="C9547" s="1">
        <v>45473</v>
      </c>
    </row>
    <row r="9548" spans="1:3">
      <c r="A9548" t="s">
        <v>138</v>
      </c>
      <c r="B9548">
        <v>15.5772179628062</v>
      </c>
      <c r="C9548" s="1">
        <v>45473</v>
      </c>
    </row>
    <row r="9549" spans="1:3">
      <c r="A9549" t="s">
        <v>140</v>
      </c>
      <c r="B9549">
        <v>18.8587075575585</v>
      </c>
      <c r="C9549" s="1">
        <v>45473</v>
      </c>
    </row>
    <row r="9550" spans="1:3">
      <c r="A9550" t="s">
        <v>142</v>
      </c>
      <c r="B9550">
        <v>7.2442497261988796</v>
      </c>
      <c r="C9550" s="1">
        <v>45473</v>
      </c>
    </row>
    <row r="9551" spans="1:3">
      <c r="A9551" t="s">
        <v>144</v>
      </c>
      <c r="B9551">
        <v>3.8466593647430298</v>
      </c>
      <c r="C9551" s="1">
        <v>45473</v>
      </c>
    </row>
    <row r="9552" spans="1:3">
      <c r="A9552" t="s">
        <v>146</v>
      </c>
      <c r="B9552">
        <v>2.65826944140984</v>
      </c>
      <c r="C9552" s="1">
        <v>45473</v>
      </c>
    </row>
    <row r="9553" spans="1:3">
      <c r="A9553" t="s">
        <v>148</v>
      </c>
      <c r="B9553">
        <v>11.544906900362699</v>
      </c>
      <c r="C9553" s="1">
        <v>45473</v>
      </c>
    </row>
    <row r="9554" spans="1:3">
      <c r="A9554" t="s">
        <v>150</v>
      </c>
      <c r="B9554">
        <v>5.1801752464556401</v>
      </c>
      <c r="C9554" s="1">
        <v>45473</v>
      </c>
    </row>
    <row r="9555" spans="1:3">
      <c r="A9555" t="s">
        <v>152</v>
      </c>
      <c r="B9555">
        <v>25.1790799562629</v>
      </c>
      <c r="C9555" s="1">
        <v>45473</v>
      </c>
    </row>
    <row r="9556" spans="1:3">
      <c r="A9556" t="s">
        <v>154</v>
      </c>
      <c r="B9556">
        <v>10.8964950712261</v>
      </c>
      <c r="C9556" s="1">
        <v>45473</v>
      </c>
    </row>
    <row r="9557" spans="1:3">
      <c r="A9557" t="s">
        <v>156</v>
      </c>
      <c r="B9557">
        <v>7.5629791895076002</v>
      </c>
      <c r="C9557" s="1">
        <v>45473</v>
      </c>
    </row>
    <row r="9558" spans="1:3">
      <c r="A9558" t="s">
        <v>158</v>
      </c>
      <c r="B9558">
        <v>32.952902519265102</v>
      </c>
      <c r="C9558" s="1">
        <v>45473</v>
      </c>
    </row>
    <row r="9559" spans="1:3">
      <c r="A9559" t="s">
        <v>160</v>
      </c>
      <c r="B9559">
        <v>14.042168674740299</v>
      </c>
      <c r="C9559" s="1">
        <v>45473</v>
      </c>
    </row>
    <row r="9560" spans="1:3">
      <c r="A9560" t="s">
        <v>162</v>
      </c>
      <c r="B9560">
        <v>4.9709748083389202</v>
      </c>
      <c r="C9560" s="1">
        <v>45473</v>
      </c>
    </row>
    <row r="9561" spans="1:3">
      <c r="A9561" t="s">
        <v>164</v>
      </c>
      <c r="B9561">
        <v>14.973713033998299</v>
      </c>
      <c r="C9561" s="1">
        <v>45473</v>
      </c>
    </row>
    <row r="9562" spans="1:3">
      <c r="A9562" t="s">
        <v>166</v>
      </c>
      <c r="B9562">
        <v>4.5892661555447898</v>
      </c>
      <c r="C9562" s="1">
        <v>45473</v>
      </c>
    </row>
    <row r="9563" spans="1:3">
      <c r="A9563" t="s">
        <v>168</v>
      </c>
      <c r="B9563">
        <v>12.431544359291999</v>
      </c>
      <c r="C9563" s="1">
        <v>45473</v>
      </c>
    </row>
    <row r="9564" spans="1:3">
      <c r="A9564" t="s">
        <v>17</v>
      </c>
      <c r="B9564">
        <v>152.17425960307401</v>
      </c>
      <c r="C9564" s="1">
        <v>45504</v>
      </c>
    </row>
    <row r="9565" spans="1:3">
      <c r="A9565" t="s">
        <v>4</v>
      </c>
      <c r="B9565">
        <v>0.37985295128212998</v>
      </c>
      <c r="C9565" s="1">
        <v>45504</v>
      </c>
    </row>
    <row r="9566" spans="1:3">
      <c r="A9566" t="s">
        <v>8</v>
      </c>
      <c r="B9566">
        <v>19.6429602144201</v>
      </c>
      <c r="C9566" s="1">
        <v>45504</v>
      </c>
    </row>
    <row r="9567" spans="1:3">
      <c r="A9567" t="s">
        <v>11</v>
      </c>
      <c r="B9567">
        <v>35.179550608178197</v>
      </c>
      <c r="C9567" s="1">
        <v>45504</v>
      </c>
    </row>
    <row r="9568" spans="1:3">
      <c r="A9568" t="s">
        <v>14</v>
      </c>
      <c r="B9568">
        <v>7.8768638768764596</v>
      </c>
      <c r="C9568" s="1">
        <v>45504</v>
      </c>
    </row>
    <row r="9569" spans="1:3">
      <c r="A9569" t="s">
        <v>20</v>
      </c>
      <c r="B9569">
        <v>0.60083831512498997</v>
      </c>
      <c r="C9569" s="1">
        <v>45504</v>
      </c>
    </row>
    <row r="9570" spans="1:3">
      <c r="A9570" t="s">
        <v>24</v>
      </c>
      <c r="B9570">
        <v>0.66680409537659002</v>
      </c>
      <c r="C9570" s="1">
        <v>45504</v>
      </c>
    </row>
    <row r="9571" spans="1:3">
      <c r="A9571" t="s">
        <v>27</v>
      </c>
      <c r="B9571">
        <v>30.327217755837601</v>
      </c>
      <c r="C9571" s="1">
        <v>45504</v>
      </c>
    </row>
    <row r="9572" spans="1:3">
      <c r="A9572" t="s">
        <v>29</v>
      </c>
      <c r="B9572">
        <v>0.73386930529905003</v>
      </c>
      <c r="C9572" s="1">
        <v>45504</v>
      </c>
    </row>
    <row r="9573" spans="1:3">
      <c r="A9573" t="s">
        <v>32</v>
      </c>
      <c r="B9573">
        <v>5.6191850477654599</v>
      </c>
      <c r="C9573" s="1">
        <v>45504</v>
      </c>
    </row>
    <row r="9574" spans="1:3">
      <c r="A9574" t="s">
        <v>35</v>
      </c>
      <c r="B9574">
        <v>3.1729540301019599</v>
      </c>
      <c r="C9574" s="1">
        <v>45504</v>
      </c>
    </row>
    <row r="9575" spans="1:3">
      <c r="A9575" t="s">
        <v>37</v>
      </c>
      <c r="B9575">
        <v>0.23747680890576001</v>
      </c>
      <c r="C9575" s="1">
        <v>45504</v>
      </c>
    </row>
    <row r="9576" spans="1:3">
      <c r="A9576" t="s">
        <v>39</v>
      </c>
      <c r="B9576">
        <v>2.5231910946237002</v>
      </c>
      <c r="C9576" s="1">
        <v>45504</v>
      </c>
    </row>
    <row r="9577" spans="1:3">
      <c r="A9577" t="s">
        <v>42</v>
      </c>
      <c r="B9577">
        <v>3.76994434137894</v>
      </c>
      <c r="C9577" s="1">
        <v>45504</v>
      </c>
    </row>
    <row r="9578" spans="1:3">
      <c r="A9578" t="s">
        <v>44</v>
      </c>
      <c r="B9578">
        <v>10.712292998024401</v>
      </c>
      <c r="C9578" s="1">
        <v>45504</v>
      </c>
    </row>
    <row r="9579" spans="1:3">
      <c r="A9579" t="s">
        <v>47</v>
      </c>
      <c r="B9579">
        <v>5.8544629973294997</v>
      </c>
      <c r="C9579" s="1">
        <v>45504</v>
      </c>
    </row>
    <row r="9580" spans="1:3">
      <c r="A9580" t="s">
        <v>49</v>
      </c>
      <c r="B9580">
        <v>6.8972720401402103</v>
      </c>
      <c r="C9580" s="1">
        <v>45504</v>
      </c>
    </row>
    <row r="9581" spans="1:3">
      <c r="A9581" t="s">
        <v>51</v>
      </c>
      <c r="B9581">
        <v>0.90538033395320905</v>
      </c>
      <c r="C9581" s="1">
        <v>45504</v>
      </c>
    </row>
    <row r="9582" spans="1:3">
      <c r="A9582" t="s">
        <v>53</v>
      </c>
      <c r="B9582">
        <v>0.59589088160612003</v>
      </c>
      <c r="C9582" s="1">
        <v>45504</v>
      </c>
    </row>
    <row r="9583" spans="1:3">
      <c r="A9583" t="s">
        <v>55</v>
      </c>
      <c r="B9583">
        <v>2.0553837696727699</v>
      </c>
      <c r="C9583" s="1">
        <v>45504</v>
      </c>
    </row>
    <row r="9584" spans="1:3">
      <c r="A9584" t="s">
        <v>57</v>
      </c>
      <c r="B9584">
        <v>1.29787672645023</v>
      </c>
      <c r="C9584" s="1">
        <v>45504</v>
      </c>
    </row>
    <row r="9585" spans="1:3">
      <c r="A9585" t="s">
        <v>59</v>
      </c>
      <c r="B9585">
        <v>2.76231704803575</v>
      </c>
      <c r="C9585" s="1">
        <v>45504</v>
      </c>
    </row>
    <row r="9586" spans="1:3">
      <c r="A9586" t="s">
        <v>61</v>
      </c>
      <c r="B9586">
        <v>155.89912732794801</v>
      </c>
      <c r="C9586" s="1">
        <v>45504</v>
      </c>
    </row>
    <row r="9587" spans="1:3">
      <c r="A9587" t="s">
        <v>63</v>
      </c>
      <c r="B9587">
        <v>9.4776334776486202</v>
      </c>
      <c r="C9587" s="1">
        <v>45504</v>
      </c>
    </row>
    <row r="9588" spans="1:3">
      <c r="A9588" t="s">
        <v>65</v>
      </c>
      <c r="B9588">
        <v>0.23417851989318</v>
      </c>
      <c r="C9588" s="1">
        <v>45504</v>
      </c>
    </row>
    <row r="9589" spans="1:3">
      <c r="A9589" t="s">
        <v>67</v>
      </c>
      <c r="B9589">
        <v>7.8499278499403999</v>
      </c>
      <c r="C9589" s="1">
        <v>45504</v>
      </c>
    </row>
    <row r="9590" spans="1:3">
      <c r="A9590" t="s">
        <v>69</v>
      </c>
      <c r="B9590">
        <v>4.9738198309706396</v>
      </c>
      <c r="C9590" s="1">
        <v>45504</v>
      </c>
    </row>
    <row r="9591" spans="1:3">
      <c r="A9591" t="s">
        <v>71</v>
      </c>
      <c r="B9591">
        <v>1.6672850958591801</v>
      </c>
      <c r="C9591" s="1">
        <v>45504</v>
      </c>
    </row>
    <row r="9592" spans="1:3">
      <c r="A9592" t="s">
        <v>73</v>
      </c>
      <c r="B9592">
        <v>0.714629286059</v>
      </c>
      <c r="C9592" s="1">
        <v>45504</v>
      </c>
    </row>
    <row r="9593" spans="1:3">
      <c r="A9593" t="s">
        <v>75</v>
      </c>
      <c r="B9593">
        <v>0.14787329073066999</v>
      </c>
      <c r="C9593" s="1">
        <v>45504</v>
      </c>
    </row>
    <row r="9594" spans="1:3">
      <c r="A9594" t="s">
        <v>77</v>
      </c>
      <c r="B9594">
        <v>0.67834810692061998</v>
      </c>
      <c r="C9594" s="1">
        <v>45504</v>
      </c>
    </row>
    <row r="9595" spans="1:3">
      <c r="A9595" t="s">
        <v>79</v>
      </c>
      <c r="B9595">
        <v>2.96351267780312</v>
      </c>
      <c r="C9595" s="1">
        <v>45504</v>
      </c>
    </row>
    <row r="9596" spans="1:3">
      <c r="A9596" t="s">
        <v>81</v>
      </c>
      <c r="B9596">
        <v>9.8948670377399992</v>
      </c>
      <c r="C9596" s="1">
        <v>45504</v>
      </c>
    </row>
    <row r="9597" spans="1:3">
      <c r="A9597" t="s">
        <v>83</v>
      </c>
      <c r="B9597">
        <v>0.16766302480615</v>
      </c>
      <c r="C9597" s="1">
        <v>45504</v>
      </c>
    </row>
    <row r="9598" spans="1:3">
      <c r="A9598" t="s">
        <v>85</v>
      </c>
      <c r="B9598">
        <v>1.7750292036034701</v>
      </c>
      <c r="C9598" s="1">
        <v>45504</v>
      </c>
    </row>
    <row r="9599" spans="1:3">
      <c r="A9599" t="s">
        <v>87</v>
      </c>
      <c r="B9599">
        <v>13.8451178451399</v>
      </c>
      <c r="C9599" s="1">
        <v>45504</v>
      </c>
    </row>
    <row r="9600" spans="1:3">
      <c r="A9600" t="s">
        <v>89</v>
      </c>
      <c r="B9600">
        <v>10.244485673073401</v>
      </c>
      <c r="C9600" s="1">
        <v>45504</v>
      </c>
    </row>
    <row r="9601" spans="1:3">
      <c r="A9601" t="s">
        <v>91</v>
      </c>
      <c r="B9601">
        <v>17.753590325047199</v>
      </c>
      <c r="C9601" s="1">
        <v>45504</v>
      </c>
    </row>
    <row r="9602" spans="1:3">
      <c r="A9602" t="s">
        <v>93</v>
      </c>
      <c r="B9602">
        <v>9.3033738748173196</v>
      </c>
      <c r="C9602" s="1">
        <v>45504</v>
      </c>
    </row>
    <row r="9603" spans="1:3">
      <c r="A9603" t="s">
        <v>95</v>
      </c>
      <c r="B9603">
        <v>0.85535628392908003</v>
      </c>
      <c r="C9603" s="1">
        <v>45504</v>
      </c>
    </row>
    <row r="9604" spans="1:3">
      <c r="A9604" t="s">
        <v>97</v>
      </c>
      <c r="B9604">
        <v>3.6099773242688098</v>
      </c>
      <c r="C9604" s="1">
        <v>45504</v>
      </c>
    </row>
    <row r="9605" spans="1:3">
      <c r="A9605" t="s">
        <v>99</v>
      </c>
      <c r="B9605">
        <v>3.8403078403139799</v>
      </c>
      <c r="C9605" s="1">
        <v>45504</v>
      </c>
    </row>
    <row r="9606" spans="1:3">
      <c r="A9606" t="s">
        <v>101</v>
      </c>
      <c r="B9606">
        <v>10.004810004826</v>
      </c>
      <c r="C9606" s="1">
        <v>45504</v>
      </c>
    </row>
    <row r="9607" spans="1:3">
      <c r="A9607" t="s">
        <v>103</v>
      </c>
      <c r="B9607">
        <v>0.53872053872140002</v>
      </c>
      <c r="C9607" s="1">
        <v>45504</v>
      </c>
    </row>
    <row r="9608" spans="1:3">
      <c r="A9608" t="s">
        <v>105</v>
      </c>
      <c r="B9608">
        <v>0.20944135229883001</v>
      </c>
      <c r="C9608" s="1">
        <v>45504</v>
      </c>
    </row>
    <row r="9609" spans="1:3">
      <c r="A9609" t="s">
        <v>107</v>
      </c>
      <c r="B9609">
        <v>2.1158524015700699</v>
      </c>
      <c r="C9609" s="1">
        <v>45504</v>
      </c>
    </row>
    <row r="9610" spans="1:3">
      <c r="A9610" t="s">
        <v>109</v>
      </c>
      <c r="B9610">
        <v>9.7860235003248608</v>
      </c>
      <c r="C9610" s="1">
        <v>45504</v>
      </c>
    </row>
    <row r="9611" spans="1:3">
      <c r="A9611" t="s">
        <v>111</v>
      </c>
      <c r="B9611">
        <v>5.8440184154563299</v>
      </c>
      <c r="C9611" s="1">
        <v>45504</v>
      </c>
    </row>
    <row r="9612" spans="1:3">
      <c r="A9612" t="s">
        <v>113</v>
      </c>
      <c r="B9612">
        <v>7.3892668178500598</v>
      </c>
      <c r="C9612" s="1">
        <v>45504</v>
      </c>
    </row>
    <row r="9613" spans="1:3">
      <c r="A9613" t="s">
        <v>115</v>
      </c>
      <c r="B9613">
        <v>3.3092833092885998</v>
      </c>
      <c r="C9613" s="1">
        <v>45504</v>
      </c>
    </row>
    <row r="9614" spans="1:3">
      <c r="A9614" t="s">
        <v>117</v>
      </c>
      <c r="B9614">
        <v>1.27808699237475</v>
      </c>
      <c r="C9614" s="1">
        <v>45504</v>
      </c>
    </row>
    <row r="9615" spans="1:3">
      <c r="A9615" t="s">
        <v>119</v>
      </c>
      <c r="B9615">
        <v>21.839620696798399</v>
      </c>
      <c r="C9615" s="1">
        <v>45504</v>
      </c>
    </row>
    <row r="9616" spans="1:3">
      <c r="A9616" t="s">
        <v>121</v>
      </c>
      <c r="B9616">
        <v>7.6954579811845703</v>
      </c>
      <c r="C9616" s="1">
        <v>45504</v>
      </c>
    </row>
    <row r="9617" spans="1:3">
      <c r="A9617" t="s">
        <v>123</v>
      </c>
      <c r="B9617">
        <v>4.4829244829316499</v>
      </c>
      <c r="C9617" s="1">
        <v>45504</v>
      </c>
    </row>
    <row r="9618" spans="1:3">
      <c r="A9618" t="s">
        <v>125</v>
      </c>
      <c r="B9618">
        <v>193.62110904999</v>
      </c>
      <c r="C9618" s="1">
        <v>45504</v>
      </c>
    </row>
    <row r="9619" spans="1:3">
      <c r="A9619" t="s">
        <v>127</v>
      </c>
      <c r="B9619">
        <v>4.3487940630867303</v>
      </c>
      <c r="C9619" s="1">
        <v>45504</v>
      </c>
    </row>
    <row r="9620" spans="1:3">
      <c r="A9620" t="s">
        <v>129</v>
      </c>
      <c r="B9620">
        <v>4.4911702054631002</v>
      </c>
      <c r="C9620" s="1">
        <v>45504</v>
      </c>
    </row>
    <row r="9621" spans="1:3">
      <c r="A9621" t="s">
        <v>131</v>
      </c>
      <c r="B9621">
        <v>1.96413110699138</v>
      </c>
      <c r="C9621" s="1">
        <v>45504</v>
      </c>
    </row>
    <row r="9622" spans="1:3">
      <c r="A9622" t="s">
        <v>134</v>
      </c>
      <c r="B9622">
        <v>1.6711330997072</v>
      </c>
      <c r="C9622" s="1">
        <v>45504</v>
      </c>
    </row>
    <row r="9623" spans="1:3">
      <c r="A9623" t="s">
        <v>136</v>
      </c>
      <c r="B9623">
        <v>16.7404658833497</v>
      </c>
      <c r="C9623" s="1">
        <v>45504</v>
      </c>
    </row>
    <row r="9624" spans="1:3">
      <c r="A9624" t="s">
        <v>138</v>
      </c>
      <c r="B9624">
        <v>15.026455026479001</v>
      </c>
      <c r="C9624" s="1">
        <v>45504</v>
      </c>
    </row>
    <row r="9625" spans="1:3">
      <c r="A9625" t="s">
        <v>140</v>
      </c>
      <c r="B9625">
        <v>19.459905174222001</v>
      </c>
      <c r="C9625" s="1">
        <v>45504</v>
      </c>
    </row>
    <row r="9626" spans="1:3">
      <c r="A9626" t="s">
        <v>142</v>
      </c>
      <c r="B9626">
        <v>7.8169449598145997</v>
      </c>
      <c r="C9626" s="1">
        <v>45504</v>
      </c>
    </row>
    <row r="9627" spans="1:3">
      <c r="A9627" t="s">
        <v>144</v>
      </c>
      <c r="B9627">
        <v>3.9469525183873899</v>
      </c>
      <c r="C9627" s="1">
        <v>45504</v>
      </c>
    </row>
    <row r="9628" spans="1:3">
      <c r="A9628" t="s">
        <v>146</v>
      </c>
      <c r="B9628">
        <v>2.9244829244876001</v>
      </c>
      <c r="C9628" s="1">
        <v>45504</v>
      </c>
    </row>
    <row r="9629" spans="1:3">
      <c r="A9629" t="s">
        <v>148</v>
      </c>
      <c r="B9629">
        <v>12.1915756201665</v>
      </c>
      <c r="C9629" s="1">
        <v>45504</v>
      </c>
    </row>
    <row r="9630" spans="1:3">
      <c r="A9630" t="s">
        <v>150</v>
      </c>
      <c r="B9630">
        <v>5.3762110905054001</v>
      </c>
      <c r="C9630" s="1">
        <v>45504</v>
      </c>
    </row>
    <row r="9631" spans="1:3">
      <c r="A9631" t="s">
        <v>152</v>
      </c>
      <c r="B9631">
        <v>28.7280972995718</v>
      </c>
      <c r="C9631" s="1">
        <v>45504</v>
      </c>
    </row>
    <row r="9632" spans="1:3">
      <c r="A9632" t="s">
        <v>154</v>
      </c>
      <c r="B9632">
        <v>12.249845392722101</v>
      </c>
      <c r="C9632" s="1">
        <v>45504</v>
      </c>
    </row>
    <row r="9633" spans="1:3">
      <c r="A9633" t="s">
        <v>156</v>
      </c>
      <c r="B9633">
        <v>8.1000481000610502</v>
      </c>
      <c r="C9633" s="1">
        <v>45504</v>
      </c>
    </row>
    <row r="9634" spans="1:3">
      <c r="A9634" t="s">
        <v>158</v>
      </c>
      <c r="B9634">
        <v>38.837353123129503</v>
      </c>
      <c r="C9634" s="1">
        <v>45504</v>
      </c>
    </row>
    <row r="9635" spans="1:3">
      <c r="A9635" t="s">
        <v>160</v>
      </c>
      <c r="B9635">
        <v>15.2853707139665</v>
      </c>
      <c r="C9635" s="1">
        <v>45504</v>
      </c>
    </row>
    <row r="9636" spans="1:3">
      <c r="A9636" t="s">
        <v>162</v>
      </c>
      <c r="B9636">
        <v>5.1233422662076</v>
      </c>
      <c r="C9636" s="1">
        <v>45504</v>
      </c>
    </row>
    <row r="9637" spans="1:3">
      <c r="A9637" t="s">
        <v>164</v>
      </c>
      <c r="B9637">
        <v>17.546897546925599</v>
      </c>
      <c r="C9637" s="1">
        <v>45504</v>
      </c>
    </row>
    <row r="9638" spans="1:3">
      <c r="A9638" t="s">
        <v>166</v>
      </c>
      <c r="B9638">
        <v>5.1095993953218501</v>
      </c>
      <c r="C9638" s="1">
        <v>45504</v>
      </c>
    </row>
    <row r="9639" spans="1:3">
      <c r="A9639" t="s">
        <v>168</v>
      </c>
      <c r="B9639">
        <v>11.873840445288</v>
      </c>
      <c r="C9639" s="1">
        <v>45504</v>
      </c>
    </row>
    <row r="9640" spans="1:3">
      <c r="A9640" t="s">
        <v>17</v>
      </c>
      <c r="B9640">
        <v>157.568572233032</v>
      </c>
      <c r="C9640" s="1">
        <v>45535</v>
      </c>
    </row>
    <row r="9641" spans="1:3">
      <c r="A9641" t="s">
        <v>4</v>
      </c>
      <c r="B9641">
        <v>0.40777245846204002</v>
      </c>
      <c r="C9641" s="1">
        <v>45535</v>
      </c>
    </row>
    <row r="9642" spans="1:3">
      <c r="A9642" t="s">
        <v>8</v>
      </c>
      <c r="B9642">
        <v>19.422697831579299</v>
      </c>
      <c r="C9642" s="1">
        <v>45535</v>
      </c>
    </row>
    <row r="9643" spans="1:3">
      <c r="A9643" t="s">
        <v>11</v>
      </c>
      <c r="B9643">
        <v>37.178259645137103</v>
      </c>
      <c r="C9643" s="1">
        <v>45535</v>
      </c>
    </row>
    <row r="9644" spans="1:3">
      <c r="A9644" t="s">
        <v>14</v>
      </c>
      <c r="B9644">
        <v>7.6310898338427897</v>
      </c>
      <c r="C9644" s="1">
        <v>45535</v>
      </c>
    </row>
    <row r="9645" spans="1:3">
      <c r="A9645" t="s">
        <v>20</v>
      </c>
      <c r="B9645">
        <v>0.64883131512192005</v>
      </c>
      <c r="C9645" s="1">
        <v>45535</v>
      </c>
    </row>
    <row r="9646" spans="1:3">
      <c r="A9646" t="s">
        <v>24</v>
      </c>
      <c r="B9646">
        <v>0.74457899183262</v>
      </c>
      <c r="C9646" s="1">
        <v>45535</v>
      </c>
    </row>
    <row r="9647" spans="1:3">
      <c r="A9647" t="s">
        <v>27</v>
      </c>
      <c r="B9647">
        <v>29.042523232866099</v>
      </c>
      <c r="C9647" s="1">
        <v>45535</v>
      </c>
    </row>
    <row r="9648" spans="1:3">
      <c r="A9648" t="s">
        <v>29</v>
      </c>
      <c r="B9648">
        <v>0.80934947901927001</v>
      </c>
      <c r="C9648" s="1">
        <v>45535</v>
      </c>
    </row>
    <row r="9649" spans="1:3">
      <c r="A9649" t="s">
        <v>32</v>
      </c>
      <c r="B9649">
        <v>6.1976907913208397</v>
      </c>
      <c r="C9649" s="1">
        <v>45535</v>
      </c>
    </row>
    <row r="9650" spans="1:3">
      <c r="A9650" t="s">
        <v>35</v>
      </c>
      <c r="B9650">
        <v>3.6327794987295001</v>
      </c>
      <c r="C9650" s="1">
        <v>45535</v>
      </c>
    </row>
    <row r="9651" spans="1:3">
      <c r="A9651" t="s">
        <v>37</v>
      </c>
      <c r="B9651">
        <v>0.27766826246102999</v>
      </c>
      <c r="C9651" s="1">
        <v>45535</v>
      </c>
    </row>
    <row r="9652" spans="1:3">
      <c r="A9652" t="s">
        <v>39</v>
      </c>
      <c r="B9652">
        <v>2.7738665164717502</v>
      </c>
      <c r="C9652" s="1">
        <v>45535</v>
      </c>
    </row>
    <row r="9653" spans="1:3">
      <c r="A9653" t="s">
        <v>42</v>
      </c>
      <c r="B9653">
        <v>3.7195156293968399</v>
      </c>
      <c r="C9653" s="1">
        <v>45535</v>
      </c>
    </row>
    <row r="9654" spans="1:3">
      <c r="A9654" t="s">
        <v>44</v>
      </c>
      <c r="B9654">
        <v>9.0115460433599992</v>
      </c>
      <c r="C9654" s="1">
        <v>45535</v>
      </c>
    </row>
    <row r="9655" spans="1:3">
      <c r="A9655" t="s">
        <v>47</v>
      </c>
      <c r="B9655">
        <v>6.5896930442070003</v>
      </c>
      <c r="C9655" s="1">
        <v>45535</v>
      </c>
    </row>
    <row r="9656" spans="1:3">
      <c r="A9656" t="s">
        <v>49</v>
      </c>
      <c r="B9656">
        <v>7.2165587158482296</v>
      </c>
      <c r="C9656" s="1">
        <v>45535</v>
      </c>
    </row>
    <row r="9657" spans="1:3">
      <c r="A9657" t="s">
        <v>51</v>
      </c>
      <c r="B9657">
        <v>0.99802872430211997</v>
      </c>
      <c r="C9657" s="1">
        <v>45535</v>
      </c>
    </row>
    <row r="9658" spans="1:3">
      <c r="A9658" t="s">
        <v>53</v>
      </c>
      <c r="B9658">
        <v>0.61053224443763998</v>
      </c>
      <c r="C9658" s="1">
        <v>45535</v>
      </c>
    </row>
    <row r="9659" spans="1:3">
      <c r="A9659" t="s">
        <v>55</v>
      </c>
      <c r="B9659">
        <v>2.2866798085025999</v>
      </c>
      <c r="C9659" s="1">
        <v>45535</v>
      </c>
    </row>
    <row r="9660" spans="1:3">
      <c r="A9660" t="s">
        <v>57</v>
      </c>
      <c r="B9660">
        <v>1.5916643199084599</v>
      </c>
      <c r="C9660" s="1">
        <v>45535</v>
      </c>
    </row>
    <row r="9661" spans="1:3">
      <c r="A9661" t="s">
        <v>59</v>
      </c>
      <c r="B9661">
        <v>3.2199380456180702</v>
      </c>
      <c r="C9661" s="1">
        <v>45535</v>
      </c>
    </row>
    <row r="9662" spans="1:3">
      <c r="A9662" t="s">
        <v>61</v>
      </c>
      <c r="B9662">
        <v>164.79526893817899</v>
      </c>
      <c r="C9662" s="1">
        <v>45535</v>
      </c>
    </row>
    <row r="9663" spans="1:3">
      <c r="A9663" t="s">
        <v>63</v>
      </c>
      <c r="B9663">
        <v>9.8282174035394991</v>
      </c>
      <c r="C9663" s="1">
        <v>45535</v>
      </c>
    </row>
    <row r="9664" spans="1:3">
      <c r="A9664" t="s">
        <v>65</v>
      </c>
      <c r="B9664">
        <v>0.26809349478995997</v>
      </c>
      <c r="C9664" s="1">
        <v>45535</v>
      </c>
    </row>
    <row r="9665" spans="1:3">
      <c r="A9665" t="s">
        <v>67</v>
      </c>
      <c r="B9665">
        <v>8.6172909039629992</v>
      </c>
      <c r="C9665" s="1">
        <v>45535</v>
      </c>
    </row>
    <row r="9666" spans="1:3">
      <c r="A9666" t="s">
        <v>69</v>
      </c>
      <c r="B9666">
        <v>5.4852154322676903</v>
      </c>
      <c r="C9666" s="1">
        <v>45535</v>
      </c>
    </row>
    <row r="9667" spans="1:3">
      <c r="A9667" t="s">
        <v>71</v>
      </c>
      <c r="B9667">
        <v>1.8248380737804</v>
      </c>
      <c r="C9667" s="1">
        <v>45535</v>
      </c>
    </row>
    <row r="9668" spans="1:3">
      <c r="A9668" t="s">
        <v>73</v>
      </c>
      <c r="B9668">
        <v>0.76485497043018003</v>
      </c>
      <c r="C9668" s="1">
        <v>45535</v>
      </c>
    </row>
    <row r="9669" spans="1:3">
      <c r="A9669" t="s">
        <v>75</v>
      </c>
      <c r="B9669">
        <v>0.15432272599253999</v>
      </c>
      <c r="C9669" s="1">
        <v>45535</v>
      </c>
    </row>
    <row r="9670" spans="1:3">
      <c r="A9670" t="s">
        <v>77</v>
      </c>
      <c r="B9670">
        <v>0.79414249507110002</v>
      </c>
      <c r="C9670" s="1">
        <v>45535</v>
      </c>
    </row>
    <row r="9671" spans="1:3">
      <c r="A9671" t="s">
        <v>79</v>
      </c>
      <c r="B9671">
        <v>3.3010419600083099</v>
      </c>
      <c r="C9671" s="1">
        <v>45535</v>
      </c>
    </row>
    <row r="9672" spans="1:3">
      <c r="A9672" t="s">
        <v>81</v>
      </c>
      <c r="B9672">
        <v>11.466065896920099</v>
      </c>
      <c r="C9672" s="1">
        <v>45535</v>
      </c>
    </row>
    <row r="9673" spans="1:3">
      <c r="A9673" t="s">
        <v>83</v>
      </c>
      <c r="B9673">
        <v>0.18698958039972</v>
      </c>
      <c r="C9673" s="1">
        <v>45535</v>
      </c>
    </row>
    <row r="9674" spans="1:3">
      <c r="A9674" t="s">
        <v>85</v>
      </c>
      <c r="B9674">
        <v>2.1531962827353199</v>
      </c>
      <c r="C9674" s="1">
        <v>45535</v>
      </c>
    </row>
    <row r="9675" spans="1:3">
      <c r="A9675" t="s">
        <v>87</v>
      </c>
      <c r="B9675">
        <v>13.5167558434122</v>
      </c>
      <c r="C9675" s="1">
        <v>45535</v>
      </c>
    </row>
    <row r="9676" spans="1:3">
      <c r="A9676" t="s">
        <v>89</v>
      </c>
      <c r="B9676">
        <v>10.4708532807566</v>
      </c>
      <c r="C9676" s="1">
        <v>45535</v>
      </c>
    </row>
    <row r="9677" spans="1:3">
      <c r="A9677" t="s">
        <v>91</v>
      </c>
      <c r="B9677">
        <v>19.800056322145</v>
      </c>
      <c r="C9677" s="1">
        <v>45535</v>
      </c>
    </row>
    <row r="9678" spans="1:3">
      <c r="A9678" t="s">
        <v>93</v>
      </c>
      <c r="B9678">
        <v>9.4058011827569992</v>
      </c>
      <c r="C9678" s="1">
        <v>45535</v>
      </c>
    </row>
    <row r="9679" spans="1:3">
      <c r="A9679" t="s">
        <v>95</v>
      </c>
      <c r="B9679">
        <v>0.79808504646506995</v>
      </c>
      <c r="C9679" s="1">
        <v>45535</v>
      </c>
    </row>
    <row r="9680" spans="1:3">
      <c r="A9680" t="s">
        <v>97</v>
      </c>
      <c r="B9680">
        <v>3.5629400168934602</v>
      </c>
      <c r="C9680" s="1">
        <v>45535</v>
      </c>
    </row>
    <row r="9681" spans="1:3">
      <c r="A9681" t="s">
        <v>99</v>
      </c>
      <c r="B9681">
        <v>3.8552520416749498</v>
      </c>
      <c r="C9681" s="1">
        <v>45535</v>
      </c>
    </row>
    <row r="9682" spans="1:3">
      <c r="A9682" t="s">
        <v>101</v>
      </c>
      <c r="B9682">
        <v>10.6820613911478</v>
      </c>
      <c r="C9682" s="1">
        <v>45535</v>
      </c>
    </row>
    <row r="9683" spans="1:3">
      <c r="A9683" t="s">
        <v>103</v>
      </c>
      <c r="B9683">
        <v>0.54069276260160004</v>
      </c>
      <c r="C9683" s="1">
        <v>45535</v>
      </c>
    </row>
    <row r="9684" spans="1:3">
      <c r="A9684" t="s">
        <v>105</v>
      </c>
      <c r="B9684">
        <v>0.23542664038277999</v>
      </c>
      <c r="C9684" s="1">
        <v>45535</v>
      </c>
    </row>
    <row r="9685" spans="1:3">
      <c r="A9685" t="s">
        <v>107</v>
      </c>
      <c r="B9685">
        <v>2.3598986201049001</v>
      </c>
      <c r="C9685" s="1">
        <v>45535</v>
      </c>
    </row>
    <row r="9686" spans="1:3">
      <c r="A9686" t="s">
        <v>109</v>
      </c>
      <c r="B9686">
        <v>10.0405519571861</v>
      </c>
      <c r="C9686" s="1">
        <v>45535</v>
      </c>
    </row>
    <row r="9687" spans="1:3">
      <c r="A9687" t="s">
        <v>111</v>
      </c>
      <c r="B9687">
        <v>5.9701492537260004</v>
      </c>
      <c r="C9687" s="1">
        <v>45535</v>
      </c>
    </row>
    <row r="9688" spans="1:3">
      <c r="A9688" t="s">
        <v>113</v>
      </c>
      <c r="B9688">
        <v>8.16051816389019</v>
      </c>
      <c r="C9688" s="1">
        <v>45535</v>
      </c>
    </row>
    <row r="9689" spans="1:3">
      <c r="A9689" t="s">
        <v>115</v>
      </c>
      <c r="B9689">
        <v>3.6417910447728601</v>
      </c>
      <c r="C9689" s="1">
        <v>45535</v>
      </c>
    </row>
    <row r="9690" spans="1:3">
      <c r="A9690" t="s">
        <v>117</v>
      </c>
      <c r="B9690">
        <v>1.3686285553352999</v>
      </c>
      <c r="C9690" s="1">
        <v>45535</v>
      </c>
    </row>
    <row r="9691" spans="1:3">
      <c r="A9691" t="s">
        <v>119</v>
      </c>
      <c r="B9691">
        <v>19.876091241885899</v>
      </c>
      <c r="C9691" s="1">
        <v>45535</v>
      </c>
    </row>
    <row r="9692" spans="1:3">
      <c r="A9692" t="s">
        <v>121</v>
      </c>
      <c r="B9692">
        <v>8.1391157420372</v>
      </c>
      <c r="C9692" s="1">
        <v>45535</v>
      </c>
    </row>
    <row r="9693" spans="1:3">
      <c r="A9693" t="s">
        <v>123</v>
      </c>
      <c r="B9693">
        <v>5.0064770487141903</v>
      </c>
      <c r="C9693" s="1">
        <v>45535</v>
      </c>
    </row>
    <row r="9694" spans="1:3">
      <c r="A9694" t="s">
        <v>125</v>
      </c>
      <c r="B9694">
        <v>207.138834131045</v>
      </c>
      <c r="C9694" s="1">
        <v>45535</v>
      </c>
    </row>
    <row r="9695" spans="1:3">
      <c r="A9695" t="s">
        <v>127</v>
      </c>
      <c r="B9695">
        <v>5.0047873838310597</v>
      </c>
      <c r="C9695" s="1">
        <v>45535</v>
      </c>
    </row>
    <row r="9696" spans="1:3">
      <c r="A9696" t="s">
        <v>129</v>
      </c>
      <c r="B9696">
        <v>4.8425795550505804</v>
      </c>
      <c r="C9696" s="1">
        <v>45535</v>
      </c>
    </row>
    <row r="9697" spans="1:3">
      <c r="A9697" t="s">
        <v>131</v>
      </c>
      <c r="B9697">
        <v>2.0022528865090501</v>
      </c>
      <c r="C9697" s="1">
        <v>45535</v>
      </c>
    </row>
    <row r="9698" spans="1:3">
      <c r="A9698" t="s">
        <v>134</v>
      </c>
      <c r="B9698">
        <v>1.5629400168952501</v>
      </c>
      <c r="C9698" s="1">
        <v>45535</v>
      </c>
    </row>
    <row r="9699" spans="1:3">
      <c r="A9699" t="s">
        <v>136</v>
      </c>
      <c r="B9699">
        <v>17.464376232031601</v>
      </c>
      <c r="C9699" s="1">
        <v>45535</v>
      </c>
    </row>
    <row r="9700" spans="1:3">
      <c r="A9700" t="s">
        <v>138</v>
      </c>
      <c r="B9700">
        <v>16.401013798915201</v>
      </c>
      <c r="C9700" s="1">
        <v>45535</v>
      </c>
    </row>
    <row r="9701" spans="1:3">
      <c r="A9701" t="s">
        <v>140</v>
      </c>
      <c r="B9701">
        <v>21.047029005894899</v>
      </c>
      <c r="C9701" s="1">
        <v>45535</v>
      </c>
    </row>
    <row r="9702" spans="1:3">
      <c r="A9702" t="s">
        <v>142</v>
      </c>
      <c r="B9702">
        <v>7.63841171500302</v>
      </c>
      <c r="C9702" s="1">
        <v>45535</v>
      </c>
    </row>
    <row r="9703" spans="1:3">
      <c r="A9703" t="s">
        <v>144</v>
      </c>
      <c r="B9703">
        <v>4.3508870740597496</v>
      </c>
      <c r="C9703" s="1">
        <v>45535</v>
      </c>
    </row>
    <row r="9704" spans="1:3">
      <c r="A9704" t="s">
        <v>146</v>
      </c>
      <c r="B9704">
        <v>2.5581526330588198</v>
      </c>
      <c r="C9704" s="1">
        <v>45535</v>
      </c>
    </row>
    <row r="9705" spans="1:3">
      <c r="A9705" t="s">
        <v>148</v>
      </c>
      <c r="B9705">
        <v>13.517319065040001</v>
      </c>
      <c r="C9705" s="1">
        <v>45535</v>
      </c>
    </row>
    <row r="9706" spans="1:3">
      <c r="A9706" t="s">
        <v>150</v>
      </c>
      <c r="B9706">
        <v>5.7302168403215399</v>
      </c>
      <c r="C9706" s="1">
        <v>45535</v>
      </c>
    </row>
    <row r="9707" spans="1:3">
      <c r="A9707" t="s">
        <v>152</v>
      </c>
      <c r="B9707">
        <v>29.789355111209598</v>
      </c>
      <c r="C9707" s="1">
        <v>45535</v>
      </c>
    </row>
    <row r="9708" spans="1:3">
      <c r="A9708" t="s">
        <v>154</v>
      </c>
      <c r="B9708">
        <v>13.2695015488476</v>
      </c>
      <c r="C9708" s="1">
        <v>45535</v>
      </c>
    </row>
    <row r="9709" spans="1:3">
      <c r="A9709" t="s">
        <v>156</v>
      </c>
      <c r="B9709">
        <v>7.7488031540341797</v>
      </c>
      <c r="C9709" s="1">
        <v>45535</v>
      </c>
    </row>
    <row r="9710" spans="1:3">
      <c r="A9710" t="s">
        <v>158</v>
      </c>
      <c r="B9710">
        <v>34.670796958572097</v>
      </c>
      <c r="C9710" s="1">
        <v>45535</v>
      </c>
    </row>
    <row r="9711" spans="1:3">
      <c r="A9711" t="s">
        <v>160</v>
      </c>
      <c r="B9711">
        <v>16.710222472527899</v>
      </c>
      <c r="C9711" s="1">
        <v>45535</v>
      </c>
    </row>
    <row r="9712" spans="1:3">
      <c r="A9712" t="s">
        <v>162</v>
      </c>
      <c r="B9712">
        <v>4.3368065333669996</v>
      </c>
      <c r="C9712" s="1">
        <v>45535</v>
      </c>
    </row>
    <row r="9713" spans="1:3">
      <c r="A9713" t="s">
        <v>164</v>
      </c>
      <c r="B9713">
        <v>13.9645170374417</v>
      </c>
      <c r="C9713" s="1">
        <v>45535</v>
      </c>
    </row>
    <row r="9714" spans="1:3">
      <c r="A9714" t="s">
        <v>166</v>
      </c>
      <c r="B9714">
        <v>5.2914671923354497</v>
      </c>
      <c r="C9714" s="1">
        <v>45535</v>
      </c>
    </row>
    <row r="9715" spans="1:3">
      <c r="A9715" t="s">
        <v>168</v>
      </c>
      <c r="B9715">
        <v>9.8000563221539991</v>
      </c>
      <c r="C9715" s="1">
        <v>45535</v>
      </c>
    </row>
    <row r="9716" spans="1:3">
      <c r="A9716" t="s">
        <v>17</v>
      </c>
      <c r="B9716">
        <v>158.70767445240699</v>
      </c>
      <c r="C9716" s="1">
        <v>45565</v>
      </c>
    </row>
    <row r="9717" spans="1:3">
      <c r="A9717" t="s">
        <v>4</v>
      </c>
      <c r="B9717">
        <v>0.42187726679256998</v>
      </c>
      <c r="C9717" s="1">
        <v>45565</v>
      </c>
    </row>
    <row r="9718" spans="1:3">
      <c r="A9718" t="s">
        <v>8</v>
      </c>
      <c r="B9718">
        <v>18.965907442340502</v>
      </c>
      <c r="C9718" s="1">
        <v>45565</v>
      </c>
    </row>
    <row r="9719" spans="1:3">
      <c r="A9719" t="s">
        <v>11</v>
      </c>
      <c r="B9719">
        <v>36.554765704352597</v>
      </c>
      <c r="C9719" s="1">
        <v>45565</v>
      </c>
    </row>
    <row r="9720" spans="1:3">
      <c r="A9720" t="s">
        <v>14</v>
      </c>
      <c r="B9720">
        <v>7.6019149862209998</v>
      </c>
      <c r="C9720" s="1">
        <v>45565</v>
      </c>
    </row>
    <row r="9721" spans="1:3">
      <c r="A9721" t="s">
        <v>20</v>
      </c>
      <c r="B9721">
        <v>0.75380821122909003</v>
      </c>
      <c r="C9721" s="1">
        <v>45565</v>
      </c>
    </row>
    <row r="9722" spans="1:3">
      <c r="A9722" t="s">
        <v>24</v>
      </c>
      <c r="B9722">
        <v>0.76773538372293004</v>
      </c>
      <c r="C9722" s="1">
        <v>45565</v>
      </c>
    </row>
    <row r="9723" spans="1:3">
      <c r="A9723" t="s">
        <v>27</v>
      </c>
      <c r="B9723">
        <v>32.447990715231498</v>
      </c>
      <c r="C9723" s="1">
        <v>45565</v>
      </c>
    </row>
    <row r="9724" spans="1:3">
      <c r="A9724" t="s">
        <v>29</v>
      </c>
      <c r="B9724">
        <v>0.92847816625599999</v>
      </c>
      <c r="C9724" s="1">
        <v>45565</v>
      </c>
    </row>
    <row r="9725" spans="1:3">
      <c r="A9725" t="s">
        <v>32</v>
      </c>
      <c r="B9725">
        <v>6.3525315537527698</v>
      </c>
      <c r="C9725" s="1">
        <v>45565</v>
      </c>
    </row>
    <row r="9726" spans="1:3">
      <c r="A9726" t="s">
        <v>35</v>
      </c>
      <c r="B9726">
        <v>4.07253735674038</v>
      </c>
      <c r="C9726" s="1">
        <v>45565</v>
      </c>
    </row>
    <row r="9727" spans="1:3">
      <c r="A9727" t="s">
        <v>37</v>
      </c>
      <c r="B9727">
        <v>0.30639779486447999</v>
      </c>
      <c r="C9727" s="1">
        <v>45565</v>
      </c>
    </row>
    <row r="9728" spans="1:3">
      <c r="A9728" t="s">
        <v>39</v>
      </c>
      <c r="B9728">
        <v>3.0488901784431399</v>
      </c>
      <c r="C9728" s="1">
        <v>45565</v>
      </c>
    </row>
    <row r="9729" spans="1:3">
      <c r="A9729" t="s">
        <v>42</v>
      </c>
      <c r="B9729">
        <v>3.9622805744974801</v>
      </c>
      <c r="C9729" s="1">
        <v>45565</v>
      </c>
    </row>
    <row r="9730" spans="1:3">
      <c r="A9730" t="s">
        <v>44</v>
      </c>
      <c r="B9730">
        <v>9.9846220803754608</v>
      </c>
      <c r="C9730" s="1">
        <v>45565</v>
      </c>
    </row>
    <row r="9731" spans="1:3">
      <c r="A9731" t="s">
        <v>47</v>
      </c>
      <c r="B9731">
        <v>7.4434933991035699</v>
      </c>
      <c r="C9731" s="1">
        <v>45565</v>
      </c>
    </row>
    <row r="9732" spans="1:3">
      <c r="A9732" t="s">
        <v>49</v>
      </c>
      <c r="B9732">
        <v>7.8653706658961298</v>
      </c>
      <c r="C9732" s="1">
        <v>45565</v>
      </c>
    </row>
    <row r="9733" spans="1:3">
      <c r="A9733" t="s">
        <v>51</v>
      </c>
      <c r="B9733">
        <v>1.05962570723966</v>
      </c>
      <c r="C9733" s="1">
        <v>45565</v>
      </c>
    </row>
    <row r="9734" spans="1:3">
      <c r="A9734" t="s">
        <v>53</v>
      </c>
      <c r="B9734">
        <v>0.63252575076189999</v>
      </c>
      <c r="C9734" s="1">
        <v>45565</v>
      </c>
    </row>
    <row r="9735" spans="1:3">
      <c r="A9735" t="s">
        <v>55</v>
      </c>
      <c r="B9735">
        <v>2.2683882199341898</v>
      </c>
      <c r="C9735" s="1">
        <v>45565</v>
      </c>
    </row>
    <row r="9736" spans="1:3">
      <c r="A9736" t="s">
        <v>57</v>
      </c>
      <c r="B9736">
        <v>1.52908748005285</v>
      </c>
      <c r="C9736" s="1">
        <v>45565</v>
      </c>
    </row>
    <row r="9737" spans="1:3">
      <c r="A9737" t="s">
        <v>59</v>
      </c>
      <c r="B9737">
        <v>3.4086754678673401</v>
      </c>
      <c r="C9737" s="1">
        <v>45565</v>
      </c>
    </row>
    <row r="9738" spans="1:3">
      <c r="A9738" t="s">
        <v>61</v>
      </c>
      <c r="B9738">
        <v>176.67256637175299</v>
      </c>
      <c r="C9738" s="1">
        <v>45565</v>
      </c>
    </row>
    <row r="9739" spans="1:3">
      <c r="A9739" t="s">
        <v>63</v>
      </c>
      <c r="B9739">
        <v>10.971130132022401</v>
      </c>
      <c r="C9739" s="1">
        <v>45565</v>
      </c>
    </row>
    <row r="9740" spans="1:3">
      <c r="A9740" t="s">
        <v>65</v>
      </c>
      <c r="B9740">
        <v>0.28956912810108998</v>
      </c>
      <c r="C9740" s="1">
        <v>45565</v>
      </c>
    </row>
    <row r="9741" spans="1:3">
      <c r="A9741" t="s">
        <v>67</v>
      </c>
      <c r="B9741">
        <v>9.9695343101738008</v>
      </c>
      <c r="C9741" s="1">
        <v>45565</v>
      </c>
    </row>
    <row r="9742" spans="1:3">
      <c r="A9742" t="s">
        <v>69</v>
      </c>
      <c r="B9742">
        <v>6.3252575076189999</v>
      </c>
      <c r="C9742" s="1">
        <v>45565</v>
      </c>
    </row>
    <row r="9743" spans="1:3">
      <c r="A9743" t="s">
        <v>71</v>
      </c>
      <c r="B9743">
        <v>1.8354852749173201</v>
      </c>
      <c r="C9743" s="1">
        <v>45565</v>
      </c>
    </row>
    <row r="9744" spans="1:3">
      <c r="A9744" t="s">
        <v>73</v>
      </c>
      <c r="B9744">
        <v>0.89424053387531</v>
      </c>
      <c r="C9744" s="1">
        <v>45565</v>
      </c>
    </row>
    <row r="9745" spans="1:3">
      <c r="A9745" t="s">
        <v>75</v>
      </c>
      <c r="B9745">
        <v>0.17815174815036999</v>
      </c>
      <c r="C9745" s="1">
        <v>45565</v>
      </c>
    </row>
    <row r="9746" spans="1:3">
      <c r="A9746" t="s">
        <v>77</v>
      </c>
      <c r="B9746">
        <v>0.81415929203573001</v>
      </c>
      <c r="C9746" s="1">
        <v>45565</v>
      </c>
    </row>
    <row r="9747" spans="1:3">
      <c r="A9747" t="s">
        <v>79</v>
      </c>
      <c r="B9747">
        <v>3.6872189177441399</v>
      </c>
      <c r="C9747" s="1">
        <v>45565</v>
      </c>
    </row>
    <row r="9748" spans="1:3">
      <c r="A9748" t="s">
        <v>81</v>
      </c>
      <c r="B9748">
        <v>13.4246336863539</v>
      </c>
      <c r="C9748" s="1">
        <v>45565</v>
      </c>
    </row>
    <row r="9749" spans="1:3">
      <c r="A9749" t="s">
        <v>83</v>
      </c>
      <c r="B9749">
        <v>0.1973016103294</v>
      </c>
      <c r="C9749" s="1">
        <v>45565</v>
      </c>
    </row>
    <row r="9750" spans="1:3">
      <c r="A9750" t="s">
        <v>85</v>
      </c>
      <c r="B9750">
        <v>2.67053532569382</v>
      </c>
      <c r="C9750" s="1">
        <v>45565</v>
      </c>
    </row>
    <row r="9751" spans="1:3">
      <c r="A9751" t="s">
        <v>87</v>
      </c>
      <c r="B9751">
        <v>11.315827651245</v>
      </c>
      <c r="C9751" s="1">
        <v>45565</v>
      </c>
    </row>
    <row r="9752" spans="1:3">
      <c r="A9752" t="s">
        <v>89</v>
      </c>
      <c r="B9752">
        <v>10.561439141161999</v>
      </c>
      <c r="C9752" s="1">
        <v>45565</v>
      </c>
    </row>
    <row r="9753" spans="1:3">
      <c r="A9753" t="s">
        <v>91</v>
      </c>
      <c r="B9753">
        <v>21.354997823887999</v>
      </c>
      <c r="C9753" s="1">
        <v>45565</v>
      </c>
    </row>
    <row r="9754" spans="1:3">
      <c r="A9754" t="s">
        <v>93</v>
      </c>
      <c r="B9754">
        <v>9.3428115479509994</v>
      </c>
      <c r="C9754" s="1">
        <v>45565</v>
      </c>
    </row>
    <row r="9755" spans="1:3">
      <c r="A9755" t="s">
        <v>95</v>
      </c>
      <c r="B9755">
        <v>0.87625126940409903</v>
      </c>
      <c r="C9755" s="1">
        <v>45565</v>
      </c>
    </row>
    <row r="9756" spans="1:3">
      <c r="A9756" t="s">
        <v>97</v>
      </c>
      <c r="B9756">
        <v>3.77368344697673</v>
      </c>
      <c r="C9756" s="1">
        <v>45565</v>
      </c>
    </row>
    <row r="9757" spans="1:3">
      <c r="A9757" t="s">
        <v>99</v>
      </c>
      <c r="B9757">
        <v>4.0040620919789998</v>
      </c>
      <c r="C9757" s="1">
        <v>45565</v>
      </c>
    </row>
    <row r="9758" spans="1:3">
      <c r="A9758" t="s">
        <v>101</v>
      </c>
      <c r="B9758">
        <v>11.261859857831301</v>
      </c>
      <c r="C9758" s="1">
        <v>45565</v>
      </c>
    </row>
    <row r="9759" spans="1:3">
      <c r="A9759" t="s">
        <v>103</v>
      </c>
      <c r="B9759">
        <v>0.49267372696959</v>
      </c>
      <c r="C9759" s="1">
        <v>45565</v>
      </c>
    </row>
    <row r="9760" spans="1:3">
      <c r="A9760" t="s">
        <v>105</v>
      </c>
      <c r="B9760">
        <v>0.22689685187881001</v>
      </c>
      <c r="C9760" s="1">
        <v>45565</v>
      </c>
    </row>
    <row r="9761" spans="1:3">
      <c r="A9761" t="s">
        <v>107</v>
      </c>
      <c r="B9761">
        <v>2.6403597852904999</v>
      </c>
      <c r="C9761" s="1">
        <v>45565</v>
      </c>
    </row>
    <row r="9762" spans="1:3">
      <c r="A9762" t="s">
        <v>109</v>
      </c>
      <c r="B9762">
        <v>10.3374437835527</v>
      </c>
      <c r="C9762" s="1">
        <v>45565</v>
      </c>
    </row>
    <row r="9763" spans="1:3">
      <c r="A9763" t="s">
        <v>111</v>
      </c>
      <c r="B9763">
        <v>6.0055128391145898</v>
      </c>
      <c r="C9763" s="1">
        <v>45565</v>
      </c>
    </row>
    <row r="9764" spans="1:3">
      <c r="A9764" t="s">
        <v>113</v>
      </c>
      <c r="B9764">
        <v>9.0648483969281095</v>
      </c>
      <c r="C9764" s="1">
        <v>45565</v>
      </c>
    </row>
    <row r="9765" spans="1:3">
      <c r="A9765" t="s">
        <v>115</v>
      </c>
      <c r="B9765">
        <v>3.9524154939810101</v>
      </c>
      <c r="C9765" s="1">
        <v>45565</v>
      </c>
    </row>
    <row r="9766" spans="1:3">
      <c r="A9766" t="s">
        <v>117</v>
      </c>
      <c r="B9766">
        <v>1.4989119396495201</v>
      </c>
      <c r="C9766" s="1">
        <v>45565</v>
      </c>
    </row>
    <row r="9767" spans="1:3">
      <c r="A9767" t="s">
        <v>119</v>
      </c>
      <c r="B9767">
        <v>23.269984041790899</v>
      </c>
      <c r="C9767" s="1">
        <v>45565</v>
      </c>
    </row>
    <row r="9768" spans="1:3">
      <c r="A9768" t="s">
        <v>121</v>
      </c>
      <c r="B9768">
        <v>9.1298418685660305</v>
      </c>
      <c r="C9768" s="1">
        <v>45565</v>
      </c>
    </row>
    <row r="9769" spans="1:3">
      <c r="A9769" t="s">
        <v>123</v>
      </c>
      <c r="B9769">
        <v>5.1066299144079998</v>
      </c>
      <c r="C9769" s="1">
        <v>45565</v>
      </c>
    </row>
    <row r="9770" spans="1:3">
      <c r="A9770" t="s">
        <v>125</v>
      </c>
      <c r="B9770">
        <v>243.42956622670499</v>
      </c>
      <c r="C9770" s="1">
        <v>45565</v>
      </c>
    </row>
    <row r="9771" spans="1:3">
      <c r="A9771" t="s">
        <v>127</v>
      </c>
      <c r="B9771">
        <v>5.3288843754555302</v>
      </c>
      <c r="C9771" s="1">
        <v>45565</v>
      </c>
    </row>
    <row r="9772" spans="1:3">
      <c r="A9772" t="s">
        <v>129</v>
      </c>
      <c r="B9772">
        <v>4.8199622805764601</v>
      </c>
      <c r="C9772" s="1">
        <v>45565</v>
      </c>
    </row>
    <row r="9773" spans="1:3">
      <c r="A9773" t="s">
        <v>131</v>
      </c>
      <c r="B9773">
        <v>2.2033947482962701</v>
      </c>
      <c r="C9773" s="1">
        <v>45565</v>
      </c>
    </row>
    <row r="9774" spans="1:3">
      <c r="A9774" t="s">
        <v>134</v>
      </c>
      <c r="B9774">
        <v>1.40200203104656</v>
      </c>
      <c r="C9774" s="1">
        <v>45565</v>
      </c>
    </row>
    <row r="9775" spans="1:3">
      <c r="A9775" t="s">
        <v>136</v>
      </c>
      <c r="B9775">
        <v>17.164079500949899</v>
      </c>
      <c r="C9775" s="1">
        <v>45565</v>
      </c>
    </row>
    <row r="9776" spans="1:3">
      <c r="A9776" t="s">
        <v>138</v>
      </c>
      <c r="B9776">
        <v>16.990570143630801</v>
      </c>
      <c r="C9776" s="1">
        <v>45565</v>
      </c>
    </row>
    <row r="9777" spans="1:3">
      <c r="A9777" t="s">
        <v>140</v>
      </c>
      <c r="B9777">
        <v>23.0361236036652</v>
      </c>
      <c r="C9777" s="1">
        <v>45565</v>
      </c>
    </row>
    <row r="9778" spans="1:3">
      <c r="A9778" t="s">
        <v>142</v>
      </c>
      <c r="B9778">
        <v>7.6129406644452899</v>
      </c>
      <c r="C9778" s="1">
        <v>45565</v>
      </c>
    </row>
    <row r="9779" spans="1:3">
      <c r="A9779" t="s">
        <v>144</v>
      </c>
      <c r="B9779">
        <v>4.7004207166710001</v>
      </c>
      <c r="C9779" s="1">
        <v>45565</v>
      </c>
    </row>
    <row r="9780" spans="1:3">
      <c r="A9780" t="s">
        <v>146</v>
      </c>
      <c r="B9780">
        <v>2.81154794719395</v>
      </c>
      <c r="C9780" s="1">
        <v>45565</v>
      </c>
    </row>
    <row r="9781" spans="1:3">
      <c r="A9781" t="s">
        <v>148</v>
      </c>
      <c r="B9781">
        <v>14.0635427245088</v>
      </c>
      <c r="C9781" s="1">
        <v>45565</v>
      </c>
    </row>
    <row r="9782" spans="1:3">
      <c r="A9782" t="s">
        <v>150</v>
      </c>
      <c r="B9782">
        <v>6.3832873930099998</v>
      </c>
      <c r="C9782" s="1">
        <v>45565</v>
      </c>
    </row>
    <row r="9783" spans="1:3">
      <c r="A9783" t="s">
        <v>152</v>
      </c>
      <c r="B9783">
        <v>26.635137095615001</v>
      </c>
      <c r="C9783" s="1">
        <v>45565</v>
      </c>
    </row>
    <row r="9784" spans="1:3">
      <c r="A9784" t="s">
        <v>154</v>
      </c>
      <c r="B9784">
        <v>13.520963296103</v>
      </c>
      <c r="C9784" s="1">
        <v>45565</v>
      </c>
    </row>
    <row r="9785" spans="1:3">
      <c r="A9785" t="s">
        <v>156</v>
      </c>
      <c r="B9785">
        <v>6.7343681996255498</v>
      </c>
      <c r="C9785" s="1">
        <v>45565</v>
      </c>
    </row>
    <row r="9786" spans="1:3">
      <c r="A9786" t="s">
        <v>158</v>
      </c>
      <c r="B9786">
        <v>36.000000000014602</v>
      </c>
      <c r="C9786" s="1">
        <v>45565</v>
      </c>
    </row>
    <row r="9787" spans="1:3">
      <c r="A9787" t="s">
        <v>160</v>
      </c>
      <c r="B9787">
        <v>17.349194835347198</v>
      </c>
      <c r="C9787" s="1">
        <v>45565</v>
      </c>
    </row>
    <row r="9788" spans="1:3">
      <c r="A9788" t="s">
        <v>162</v>
      </c>
      <c r="B9788">
        <v>5.61497171043316</v>
      </c>
      <c r="C9788" s="1">
        <v>45565</v>
      </c>
    </row>
    <row r="9789" spans="1:3">
      <c r="A9789" t="s">
        <v>164</v>
      </c>
      <c r="B9789">
        <v>15.600174089662501</v>
      </c>
      <c r="C9789" s="1">
        <v>45565</v>
      </c>
    </row>
    <row r="9790" spans="1:3">
      <c r="A9790" t="s">
        <v>166</v>
      </c>
      <c r="B9790">
        <v>5.0242274771527802</v>
      </c>
      <c r="C9790" s="1">
        <v>45565</v>
      </c>
    </row>
    <row r="9791" spans="1:3">
      <c r="A9791" t="s">
        <v>168</v>
      </c>
      <c r="B9791">
        <v>10.9885390976397</v>
      </c>
      <c r="C9791" s="1">
        <v>45565</v>
      </c>
    </row>
    <row r="9792" spans="1:3">
      <c r="A9792" t="s">
        <v>17</v>
      </c>
      <c r="B9792">
        <v>143.928733032054</v>
      </c>
      <c r="C9792" s="1">
        <v>45596</v>
      </c>
    </row>
    <row r="9793" spans="1:3">
      <c r="A9793" t="s">
        <v>4</v>
      </c>
      <c r="B9793">
        <v>0.45644796380211</v>
      </c>
      <c r="C9793" s="1">
        <v>45596</v>
      </c>
    </row>
    <row r="9794" spans="1:3">
      <c r="A9794" t="s">
        <v>8</v>
      </c>
      <c r="B9794">
        <v>16.053733031716501</v>
      </c>
      <c r="C9794" s="1">
        <v>45596</v>
      </c>
    </row>
    <row r="9795" spans="1:3">
      <c r="A9795" t="s">
        <v>11</v>
      </c>
      <c r="B9795">
        <v>34.504524886968902</v>
      </c>
      <c r="C9795" s="1">
        <v>45596</v>
      </c>
    </row>
    <row r="9796" spans="1:3">
      <c r="A9796" t="s">
        <v>14</v>
      </c>
      <c r="B9796">
        <v>7.75339366517884</v>
      </c>
      <c r="C9796" s="1">
        <v>45596</v>
      </c>
    </row>
    <row r="9797" spans="1:3">
      <c r="A9797" t="s">
        <v>20</v>
      </c>
      <c r="B9797">
        <v>0.74208144796575903</v>
      </c>
      <c r="C9797" s="1">
        <v>45596</v>
      </c>
    </row>
    <row r="9798" spans="1:3">
      <c r="A9798" t="s">
        <v>24</v>
      </c>
      <c r="B9798">
        <v>0.72171945701547902</v>
      </c>
      <c r="C9798" s="1">
        <v>45596</v>
      </c>
    </row>
    <row r="9799" spans="1:3">
      <c r="A9799" t="s">
        <v>27</v>
      </c>
      <c r="B9799">
        <v>30.733031674289201</v>
      </c>
      <c r="C9799" s="1">
        <v>45596</v>
      </c>
    </row>
    <row r="9800" spans="1:3">
      <c r="A9800" t="s">
        <v>29</v>
      </c>
      <c r="B9800">
        <v>0.90214932126934899</v>
      </c>
      <c r="C9800" s="1">
        <v>45596</v>
      </c>
    </row>
    <row r="9801" spans="1:3">
      <c r="A9801" t="s">
        <v>32</v>
      </c>
      <c r="B9801">
        <v>6.2217194570299998</v>
      </c>
      <c r="C9801" s="1">
        <v>45596</v>
      </c>
    </row>
    <row r="9802" spans="1:3">
      <c r="A9802" t="s">
        <v>35</v>
      </c>
      <c r="B9802">
        <v>3.9281674208248498</v>
      </c>
      <c r="C9802" s="1">
        <v>45596</v>
      </c>
    </row>
    <row r="9803" spans="1:3">
      <c r="A9803" t="s">
        <v>37</v>
      </c>
      <c r="B9803">
        <v>0.31447963800987899</v>
      </c>
      <c r="C9803" s="1">
        <v>45596</v>
      </c>
    </row>
    <row r="9804" spans="1:3">
      <c r="A9804" t="s">
        <v>39</v>
      </c>
      <c r="B9804">
        <v>2.6826923076993898</v>
      </c>
      <c r="C9804" s="1">
        <v>45596</v>
      </c>
    </row>
    <row r="9805" spans="1:3">
      <c r="A9805" t="s">
        <v>42</v>
      </c>
      <c r="B9805">
        <v>3.7567873303266599</v>
      </c>
      <c r="C9805" s="1">
        <v>45596</v>
      </c>
    </row>
    <row r="9806" spans="1:3">
      <c r="A9806" t="s">
        <v>44</v>
      </c>
      <c r="B9806">
        <v>9.3693438914274498</v>
      </c>
      <c r="C9806" s="1">
        <v>45596</v>
      </c>
    </row>
    <row r="9807" spans="1:3">
      <c r="A9807" t="s">
        <v>47</v>
      </c>
      <c r="B9807">
        <v>7.09049773757528</v>
      </c>
      <c r="C9807" s="1">
        <v>45596</v>
      </c>
    </row>
    <row r="9808" spans="1:3">
      <c r="A9808" t="s">
        <v>49</v>
      </c>
      <c r="B9808">
        <v>7.1566742081636896</v>
      </c>
      <c r="C9808" s="1">
        <v>45596</v>
      </c>
    </row>
    <row r="9809" spans="1:3">
      <c r="A9809" t="s">
        <v>51</v>
      </c>
      <c r="B9809">
        <v>1.0520361990978</v>
      </c>
      <c r="C9809" s="1">
        <v>45596</v>
      </c>
    </row>
    <row r="9810" spans="1:3">
      <c r="A9810" t="s">
        <v>53</v>
      </c>
      <c r="B9810">
        <v>0.64875565611031005</v>
      </c>
      <c r="C9810" s="1">
        <v>45596</v>
      </c>
    </row>
    <row r="9811" spans="1:3">
      <c r="A9811" t="s">
        <v>55</v>
      </c>
      <c r="B9811">
        <v>2.2647058823589199</v>
      </c>
      <c r="C9811" s="1">
        <v>45596</v>
      </c>
    </row>
    <row r="9812" spans="1:3">
      <c r="A9812" t="s">
        <v>57</v>
      </c>
      <c r="B9812">
        <v>1.5271493212709999</v>
      </c>
      <c r="C9812" s="1">
        <v>45596</v>
      </c>
    </row>
    <row r="9813" spans="1:3">
      <c r="A9813" t="s">
        <v>59</v>
      </c>
      <c r="B9813">
        <v>3.1736425339450198</v>
      </c>
      <c r="C9813" s="1">
        <v>45596</v>
      </c>
    </row>
    <row r="9814" spans="1:3">
      <c r="A9814" t="s">
        <v>61</v>
      </c>
      <c r="B9814">
        <v>179.342194570609</v>
      </c>
      <c r="C9814" s="1">
        <v>45596</v>
      </c>
    </row>
    <row r="9815" spans="1:3">
      <c r="A9815" t="s">
        <v>63</v>
      </c>
      <c r="B9815">
        <v>9.7132352941432796</v>
      </c>
      <c r="C9815" s="1">
        <v>45596</v>
      </c>
    </row>
    <row r="9816" spans="1:3">
      <c r="A9816" t="s">
        <v>65</v>
      </c>
      <c r="B9816">
        <v>0.27658371040796997</v>
      </c>
      <c r="C9816" s="1">
        <v>45596</v>
      </c>
    </row>
    <row r="9817" spans="1:3">
      <c r="A9817" t="s">
        <v>67</v>
      </c>
      <c r="B9817">
        <v>10.1838235294386</v>
      </c>
      <c r="C9817" s="1">
        <v>45596</v>
      </c>
    </row>
    <row r="9818" spans="1:3">
      <c r="A9818" t="s">
        <v>69</v>
      </c>
      <c r="B9818">
        <v>6.3207013574827497</v>
      </c>
      <c r="C9818" s="1">
        <v>45596</v>
      </c>
    </row>
    <row r="9819" spans="1:3">
      <c r="A9819" t="s">
        <v>71</v>
      </c>
      <c r="B9819">
        <v>1.76809954751598</v>
      </c>
      <c r="C9819" s="1">
        <v>45596</v>
      </c>
    </row>
    <row r="9820" spans="1:3">
      <c r="A9820" t="s">
        <v>73</v>
      </c>
      <c r="B9820">
        <v>0.83597285068093996</v>
      </c>
      <c r="C9820" s="1">
        <v>45596</v>
      </c>
    </row>
    <row r="9821" spans="1:3">
      <c r="A9821" t="s">
        <v>75</v>
      </c>
      <c r="B9821">
        <v>0.16006787330358899</v>
      </c>
      <c r="C9821" s="1">
        <v>45596</v>
      </c>
    </row>
    <row r="9822" spans="1:3">
      <c r="A9822" t="s">
        <v>77</v>
      </c>
      <c r="B9822">
        <v>0.73812217194764995</v>
      </c>
      <c r="C9822" s="1">
        <v>45596</v>
      </c>
    </row>
    <row r="9823" spans="1:3">
      <c r="A9823" t="s">
        <v>79</v>
      </c>
      <c r="B9823">
        <v>3.5350678733124998</v>
      </c>
      <c r="C9823" s="1">
        <v>45596</v>
      </c>
    </row>
    <row r="9824" spans="1:3">
      <c r="A9824" t="s">
        <v>81</v>
      </c>
      <c r="B9824">
        <v>12.1736425339687</v>
      </c>
      <c r="C9824" s="1">
        <v>45596</v>
      </c>
    </row>
    <row r="9825" spans="1:3">
      <c r="A9825" t="s">
        <v>83</v>
      </c>
      <c r="B9825">
        <v>0.18552036199143901</v>
      </c>
      <c r="C9825" s="1">
        <v>45596</v>
      </c>
    </row>
    <row r="9826" spans="1:3">
      <c r="A9826" t="s">
        <v>85</v>
      </c>
      <c r="B9826">
        <v>2.3608597285130202</v>
      </c>
      <c r="C9826" s="1">
        <v>45596</v>
      </c>
    </row>
    <row r="9827" spans="1:3">
      <c r="A9827" t="s">
        <v>87</v>
      </c>
      <c r="B9827">
        <v>10.095588235320699</v>
      </c>
      <c r="C9827" s="1">
        <v>45596</v>
      </c>
    </row>
    <row r="9828" spans="1:3">
      <c r="A9828" t="s">
        <v>89</v>
      </c>
      <c r="B9828">
        <v>10.4954751131498</v>
      </c>
      <c r="C9828" s="1">
        <v>45596</v>
      </c>
    </row>
    <row r="9829" spans="1:3">
      <c r="A9829" t="s">
        <v>91</v>
      </c>
      <c r="B9829">
        <v>20.963800905032699</v>
      </c>
      <c r="C9829" s="1">
        <v>45596</v>
      </c>
    </row>
    <row r="9830" spans="1:3">
      <c r="A9830" t="s">
        <v>93</v>
      </c>
      <c r="B9830">
        <v>9.9649321267231397</v>
      </c>
      <c r="C9830" s="1">
        <v>45596</v>
      </c>
    </row>
    <row r="9831" spans="1:3">
      <c r="A9831" t="s">
        <v>95</v>
      </c>
      <c r="B9831">
        <v>0.79751131221929905</v>
      </c>
      <c r="C9831" s="1">
        <v>45596</v>
      </c>
    </row>
    <row r="9832" spans="1:3">
      <c r="A9832" t="s">
        <v>97</v>
      </c>
      <c r="B9832">
        <v>3.79581447964802</v>
      </c>
      <c r="C9832" s="1">
        <v>45596</v>
      </c>
    </row>
    <row r="9833" spans="1:3">
      <c r="A9833" t="s">
        <v>99</v>
      </c>
      <c r="B9833">
        <v>3.8433257918653498</v>
      </c>
      <c r="C9833" s="1">
        <v>45596</v>
      </c>
    </row>
    <row r="9834" spans="1:3">
      <c r="A9834" t="s">
        <v>101</v>
      </c>
      <c r="B9834">
        <v>11.351809954781</v>
      </c>
      <c r="C9834" s="1">
        <v>45596</v>
      </c>
    </row>
    <row r="9835" spans="1:3">
      <c r="A9835" t="s">
        <v>103</v>
      </c>
      <c r="B9835">
        <v>0.51470588235429904</v>
      </c>
      <c r="C9835" s="1">
        <v>45596</v>
      </c>
    </row>
    <row r="9836" spans="1:3">
      <c r="A9836" t="s">
        <v>105</v>
      </c>
      <c r="B9836">
        <v>0.22285067873361999</v>
      </c>
      <c r="C9836" s="1">
        <v>45596</v>
      </c>
    </row>
    <row r="9837" spans="1:3">
      <c r="A9837" t="s">
        <v>107</v>
      </c>
      <c r="B9837">
        <v>2.56957013575339</v>
      </c>
      <c r="C9837" s="1">
        <v>45596</v>
      </c>
    </row>
    <row r="9838" spans="1:3">
      <c r="A9838" t="s">
        <v>109</v>
      </c>
      <c r="B9838">
        <v>10.676470588263401</v>
      </c>
      <c r="C9838" s="1">
        <v>45596</v>
      </c>
    </row>
    <row r="9839" spans="1:3">
      <c r="A9839" t="s">
        <v>111</v>
      </c>
      <c r="B9839">
        <v>5.4819004525031598</v>
      </c>
      <c r="C9839" s="1">
        <v>45596</v>
      </c>
    </row>
    <row r="9840" spans="1:3">
      <c r="A9840" t="s">
        <v>113</v>
      </c>
      <c r="B9840">
        <v>8.6787330316971101</v>
      </c>
      <c r="C9840" s="1">
        <v>45596</v>
      </c>
    </row>
    <row r="9841" spans="1:3">
      <c r="A9841" t="s">
        <v>115</v>
      </c>
      <c r="B9841">
        <v>3.6821266968422899</v>
      </c>
      <c r="C9841" s="1">
        <v>45596</v>
      </c>
    </row>
    <row r="9842" spans="1:3">
      <c r="A9842" t="s">
        <v>117</v>
      </c>
      <c r="B9842">
        <v>1.4394796380128401</v>
      </c>
      <c r="C9842" s="1">
        <v>45596</v>
      </c>
    </row>
    <row r="9843" spans="1:3">
      <c r="A9843" t="s">
        <v>119</v>
      </c>
      <c r="B9843">
        <v>18.778280543036001</v>
      </c>
      <c r="C9843" s="1">
        <v>45596</v>
      </c>
    </row>
    <row r="9844" spans="1:3">
      <c r="A9844" t="s">
        <v>121</v>
      </c>
      <c r="B9844">
        <v>8.6855203620138806</v>
      </c>
      <c r="C9844" s="1">
        <v>45596</v>
      </c>
    </row>
    <row r="9845" spans="1:3">
      <c r="A9845" t="s">
        <v>123</v>
      </c>
      <c r="B9845">
        <v>4.9621040724112904</v>
      </c>
      <c r="C9845" s="1">
        <v>45596</v>
      </c>
    </row>
    <row r="9846" spans="1:3">
      <c r="A9846" t="s">
        <v>125</v>
      </c>
      <c r="B9846">
        <v>234.39875565672699</v>
      </c>
      <c r="C9846" s="1">
        <v>45596</v>
      </c>
    </row>
    <row r="9847" spans="1:3">
      <c r="A9847" t="s">
        <v>127</v>
      </c>
      <c r="B9847">
        <v>4.9507918552166901</v>
      </c>
      <c r="C9847" s="1">
        <v>45596</v>
      </c>
    </row>
    <row r="9848" spans="1:3">
      <c r="A9848" t="s">
        <v>129</v>
      </c>
      <c r="B9848">
        <v>4.3608597285182897</v>
      </c>
      <c r="C9848" s="1">
        <v>45596</v>
      </c>
    </row>
    <row r="9849" spans="1:3">
      <c r="A9849" t="s">
        <v>131</v>
      </c>
      <c r="B9849">
        <v>2.28280542987028</v>
      </c>
      <c r="C9849" s="1">
        <v>45596</v>
      </c>
    </row>
    <row r="9850" spans="1:3">
      <c r="A9850" t="s">
        <v>134</v>
      </c>
      <c r="B9850">
        <v>1.26640271493547</v>
      </c>
      <c r="C9850" s="1">
        <v>45596</v>
      </c>
    </row>
    <row r="9851" spans="1:3">
      <c r="A9851" t="s">
        <v>136</v>
      </c>
      <c r="B9851">
        <v>17.145927601855199</v>
      </c>
      <c r="C9851" s="1">
        <v>45596</v>
      </c>
    </row>
    <row r="9852" spans="1:3">
      <c r="A9852" t="s">
        <v>138</v>
      </c>
      <c r="B9852">
        <v>16.043552036241401</v>
      </c>
      <c r="C9852" s="1">
        <v>45596</v>
      </c>
    </row>
    <row r="9853" spans="1:3">
      <c r="A9853" t="s">
        <v>140</v>
      </c>
      <c r="B9853">
        <v>21.2861990950788</v>
      </c>
      <c r="C9853" s="1">
        <v>45596</v>
      </c>
    </row>
    <row r="9854" spans="1:3">
      <c r="A9854" t="s">
        <v>142</v>
      </c>
      <c r="B9854">
        <v>7.7771493212874896</v>
      </c>
      <c r="C9854" s="1">
        <v>45596</v>
      </c>
    </row>
    <row r="9855" spans="1:3">
      <c r="A9855" t="s">
        <v>144</v>
      </c>
      <c r="B9855">
        <v>4.5390271493332497</v>
      </c>
      <c r="C9855" s="1">
        <v>45596</v>
      </c>
    </row>
    <row r="9856" spans="1:3">
      <c r="A9856" t="s">
        <v>146</v>
      </c>
      <c r="B9856">
        <v>2.6957013574731699</v>
      </c>
      <c r="C9856" s="1">
        <v>45596</v>
      </c>
    </row>
    <row r="9857" spans="1:3">
      <c r="A9857" t="s">
        <v>148</v>
      </c>
      <c r="B9857">
        <v>13.6628959276378</v>
      </c>
      <c r="C9857" s="1">
        <v>45596</v>
      </c>
    </row>
    <row r="9858" spans="1:3">
      <c r="A9858" t="s">
        <v>150</v>
      </c>
      <c r="B9858">
        <v>6.2234162896091796</v>
      </c>
      <c r="C9858" s="1">
        <v>45596</v>
      </c>
    </row>
    <row r="9859" spans="1:3">
      <c r="A9859" t="s">
        <v>152</v>
      </c>
      <c r="B9859">
        <v>27.708144796453201</v>
      </c>
      <c r="C9859" s="1">
        <v>45596</v>
      </c>
    </row>
    <row r="9860" spans="1:3">
      <c r="A9860" t="s">
        <v>154</v>
      </c>
      <c r="B9860">
        <v>13.3727375565963</v>
      </c>
      <c r="C9860" s="1">
        <v>45596</v>
      </c>
    </row>
    <row r="9861" spans="1:3">
      <c r="A9861" t="s">
        <v>156</v>
      </c>
      <c r="B9861">
        <v>5.5531674208291397</v>
      </c>
      <c r="C9861" s="1">
        <v>45596</v>
      </c>
    </row>
    <row r="9862" spans="1:3">
      <c r="A9862" t="s">
        <v>158</v>
      </c>
      <c r="B9862">
        <v>38.970588235396903</v>
      </c>
      <c r="C9862" s="1">
        <v>45596</v>
      </c>
    </row>
    <row r="9863" spans="1:3">
      <c r="A9863" t="s">
        <v>160</v>
      </c>
      <c r="B9863">
        <v>16.800339366560099</v>
      </c>
      <c r="C9863" s="1">
        <v>45596</v>
      </c>
    </row>
    <row r="9864" spans="1:3">
      <c r="A9864" t="s">
        <v>162</v>
      </c>
      <c r="B9864">
        <v>6.5248868778452698</v>
      </c>
      <c r="C9864" s="1">
        <v>45596</v>
      </c>
    </row>
    <row r="9865" spans="1:3">
      <c r="A9865" t="s">
        <v>164</v>
      </c>
      <c r="B9865">
        <v>16.4123303167854</v>
      </c>
      <c r="C9865" s="1">
        <v>45596</v>
      </c>
    </row>
    <row r="9866" spans="1:3">
      <c r="A9866" t="s">
        <v>166</v>
      </c>
      <c r="B9866">
        <v>4.6736425339489802</v>
      </c>
      <c r="C9866" s="1">
        <v>45596</v>
      </c>
    </row>
    <row r="9867" spans="1:3">
      <c r="A9867" t="s">
        <v>168</v>
      </c>
      <c r="B9867">
        <v>10.044683257945</v>
      </c>
      <c r="C9867" s="1">
        <v>45596</v>
      </c>
    </row>
    <row r="9868" spans="1:3">
      <c r="A9868" t="s">
        <v>17</v>
      </c>
      <c r="B9868">
        <v>137.84347104084901</v>
      </c>
      <c r="C9868" s="1">
        <v>45626</v>
      </c>
    </row>
    <row r="9869" spans="1:3">
      <c r="A9869" t="s">
        <v>4</v>
      </c>
      <c r="B9869">
        <v>0.44951906442716</v>
      </c>
      <c r="C9869" s="1">
        <v>45626</v>
      </c>
    </row>
    <row r="9870" spans="1:3">
      <c r="A9870" t="s">
        <v>8</v>
      </c>
      <c r="B9870">
        <v>15.0467095703574</v>
      </c>
      <c r="C9870" s="1">
        <v>45626</v>
      </c>
    </row>
    <row r="9871" spans="1:3">
      <c r="A9871" t="s">
        <v>11</v>
      </c>
      <c r="B9871">
        <v>37.816068092388299</v>
      </c>
      <c r="C9871" s="1">
        <v>45626</v>
      </c>
    </row>
    <row r="9872" spans="1:3">
      <c r="A9872" t="s">
        <v>14</v>
      </c>
      <c r="B9872">
        <v>7.1884298664860502</v>
      </c>
      <c r="C9872" s="1">
        <v>45626</v>
      </c>
    </row>
    <row r="9873" spans="1:3">
      <c r="A9873" t="s">
        <v>20</v>
      </c>
      <c r="B9873">
        <v>0.72908449242680995</v>
      </c>
      <c r="C9873" s="1">
        <v>45626</v>
      </c>
    </row>
    <row r="9874" spans="1:3">
      <c r="A9874" t="s">
        <v>24</v>
      </c>
      <c r="B9874">
        <v>0.73849560584462004</v>
      </c>
      <c r="C9874" s="1">
        <v>45626</v>
      </c>
    </row>
    <row r="9875" spans="1:3">
      <c r="A9875" t="s">
        <v>27</v>
      </c>
      <c r="B9875">
        <v>31.4635665353665</v>
      </c>
      <c r="C9875" s="1">
        <v>45626</v>
      </c>
    </row>
    <row r="9876" spans="1:3">
      <c r="A9876" t="s">
        <v>29</v>
      </c>
      <c r="B9876">
        <v>0.92339630475923995</v>
      </c>
      <c r="C9876" s="1">
        <v>45626</v>
      </c>
    </row>
    <row r="9877" spans="1:3">
      <c r="A9877" t="s">
        <v>32</v>
      </c>
      <c r="B9877">
        <v>5.6090235970147599</v>
      </c>
      <c r="C9877" s="1">
        <v>45626</v>
      </c>
    </row>
    <row r="9878" spans="1:3">
      <c r="A9878" t="s">
        <v>35</v>
      </c>
      <c r="B9878">
        <v>3.80651858005068</v>
      </c>
      <c r="C9878" s="1">
        <v>45626</v>
      </c>
    </row>
    <row r="9879" spans="1:3">
      <c r="A9879" t="s">
        <v>37</v>
      </c>
      <c r="B9879">
        <v>0.29451249048675998</v>
      </c>
      <c r="C9879" s="1">
        <v>45626</v>
      </c>
    </row>
    <row r="9880" spans="1:3">
      <c r="A9880" t="s">
        <v>39</v>
      </c>
      <c r="B9880">
        <v>2.91246280535873</v>
      </c>
      <c r="C9880" s="1">
        <v>45626</v>
      </c>
    </row>
    <row r="9881" spans="1:3">
      <c r="A9881" t="s">
        <v>42</v>
      </c>
      <c r="B9881">
        <v>3.6055636288350899</v>
      </c>
      <c r="C9881" s="1">
        <v>45626</v>
      </c>
    </row>
    <row r="9882" spans="1:3">
      <c r="A9882" t="s">
        <v>44</v>
      </c>
      <c r="B9882">
        <v>9.24060618647556</v>
      </c>
      <c r="C9882" s="1">
        <v>45626</v>
      </c>
    </row>
    <row r="9883" spans="1:3">
      <c r="A9883" t="s">
        <v>47</v>
      </c>
      <c r="B9883">
        <v>6.5434917999125997</v>
      </c>
      <c r="C9883" s="1">
        <v>45626</v>
      </c>
    </row>
    <row r="9884" spans="1:3">
      <c r="A9884" t="s">
        <v>49</v>
      </c>
      <c r="B9884">
        <v>7.9424261297247103</v>
      </c>
      <c r="C9884" s="1">
        <v>45626</v>
      </c>
    </row>
    <row r="9885" spans="1:3">
      <c r="A9885" t="s">
        <v>51</v>
      </c>
      <c r="B9885">
        <v>1.0130786796819</v>
      </c>
      <c r="C9885" s="1">
        <v>45626</v>
      </c>
    </row>
    <row r="9886" spans="1:3">
      <c r="A9886" t="s">
        <v>53</v>
      </c>
      <c r="B9886">
        <v>0.64825963601503001</v>
      </c>
      <c r="C9886" s="1">
        <v>45626</v>
      </c>
    </row>
    <row r="9887" spans="1:3">
      <c r="A9887" t="s">
        <v>55</v>
      </c>
      <c r="B9887">
        <v>2.2326482596486898</v>
      </c>
      <c r="C9887" s="1">
        <v>45626</v>
      </c>
    </row>
    <row r="9888" spans="1:3">
      <c r="A9888" t="s">
        <v>57</v>
      </c>
      <c r="B9888">
        <v>1.8755795446788399</v>
      </c>
      <c r="C9888" s="1">
        <v>45626</v>
      </c>
    </row>
    <row r="9889" spans="1:3">
      <c r="A9889" t="s">
        <v>59</v>
      </c>
      <c r="B9889">
        <v>3.26897792542165</v>
      </c>
      <c r="C9889" s="1">
        <v>45626</v>
      </c>
    </row>
    <row r="9890" spans="1:3">
      <c r="A9890" t="s">
        <v>61</v>
      </c>
      <c r="B9890">
        <v>180.53726385819701</v>
      </c>
      <c r="C9890" s="1">
        <v>45626</v>
      </c>
    </row>
    <row r="9891" spans="1:3">
      <c r="A9891" t="s">
        <v>63</v>
      </c>
      <c r="B9891">
        <v>10.51830323167</v>
      </c>
      <c r="C9891" s="1">
        <v>45626</v>
      </c>
    </row>
    <row r="9892" spans="1:3">
      <c r="A9892" t="s">
        <v>65</v>
      </c>
      <c r="B9892">
        <v>0.25133208774622001</v>
      </c>
      <c r="C9892" s="1">
        <v>45626</v>
      </c>
    </row>
    <row r="9893" spans="1:3">
      <c r="A9893" t="s">
        <v>67</v>
      </c>
      <c r="B9893">
        <v>10.6672202616341</v>
      </c>
      <c r="C9893" s="1">
        <v>45626</v>
      </c>
    </row>
    <row r="9894" spans="1:3">
      <c r="A9894" t="s">
        <v>69</v>
      </c>
      <c r="B9894">
        <v>5.6499896201275801</v>
      </c>
      <c r="C9894" s="1">
        <v>45626</v>
      </c>
    </row>
    <row r="9895" spans="1:3">
      <c r="A9895" t="s">
        <v>71</v>
      </c>
      <c r="B9895">
        <v>1.8323991419382999</v>
      </c>
      <c r="C9895" s="1">
        <v>45626</v>
      </c>
    </row>
    <row r="9896" spans="1:3">
      <c r="A9896" t="s">
        <v>73</v>
      </c>
      <c r="B9896">
        <v>0.81932046225639998</v>
      </c>
      <c r="C9896" s="1">
        <v>45626</v>
      </c>
    </row>
    <row r="9897" spans="1:3">
      <c r="A9897" t="s">
        <v>75</v>
      </c>
      <c r="B9897">
        <v>0.16054252300970001</v>
      </c>
      <c r="C9897" s="1">
        <v>45626</v>
      </c>
    </row>
    <row r="9898" spans="1:3">
      <c r="A9898" t="s">
        <v>77</v>
      </c>
      <c r="B9898">
        <v>0.71911978410207</v>
      </c>
      <c r="C9898" s="1">
        <v>45626</v>
      </c>
    </row>
    <row r="9899" spans="1:3">
      <c r="A9899" t="s">
        <v>79</v>
      </c>
      <c r="B9899">
        <v>3.7168362051280202</v>
      </c>
      <c r="C9899" s="1">
        <v>45626</v>
      </c>
    </row>
    <row r="9900" spans="1:3">
      <c r="A9900" t="s">
        <v>81</v>
      </c>
      <c r="B9900">
        <v>11.2988720504413</v>
      </c>
      <c r="C9900" s="1">
        <v>45626</v>
      </c>
    </row>
    <row r="9901" spans="1:3">
      <c r="A9901" t="s">
        <v>83</v>
      </c>
      <c r="B9901">
        <v>0.18268631928689999</v>
      </c>
      <c r="C9901" s="1">
        <v>45626</v>
      </c>
    </row>
    <row r="9902" spans="1:3">
      <c r="A9902" t="s">
        <v>85</v>
      </c>
      <c r="B9902">
        <v>2.47401563907016</v>
      </c>
      <c r="C9902" s="1">
        <v>45626</v>
      </c>
    </row>
    <row r="9903" spans="1:3">
      <c r="A9903" t="s">
        <v>87</v>
      </c>
      <c r="B9903">
        <v>9.1702996332954498</v>
      </c>
      <c r="C9903" s="1">
        <v>45626</v>
      </c>
    </row>
    <row r="9904" spans="1:3">
      <c r="A9904" t="s">
        <v>89</v>
      </c>
      <c r="B9904">
        <v>9.5677807764711904</v>
      </c>
      <c r="C9904" s="1">
        <v>45626</v>
      </c>
    </row>
    <row r="9905" spans="1:3">
      <c r="A9905" t="s">
        <v>91</v>
      </c>
      <c r="B9905">
        <v>20.8827070792134</v>
      </c>
      <c r="C9905" s="1">
        <v>45626</v>
      </c>
    </row>
    <row r="9906" spans="1:3">
      <c r="A9906" t="s">
        <v>93</v>
      </c>
      <c r="B9906">
        <v>10.684381703749001</v>
      </c>
      <c r="C9906" s="1">
        <v>45626</v>
      </c>
    </row>
    <row r="9907" spans="1:3">
      <c r="A9907" t="s">
        <v>95</v>
      </c>
      <c r="B9907">
        <v>0.71413742993969997</v>
      </c>
      <c r="C9907" s="1">
        <v>45626</v>
      </c>
    </row>
    <row r="9908" spans="1:3">
      <c r="A9908" t="s">
        <v>97</v>
      </c>
      <c r="B9908">
        <v>4.0362604664266302</v>
      </c>
      <c r="C9908" s="1">
        <v>45626</v>
      </c>
    </row>
    <row r="9909" spans="1:3">
      <c r="A9909" t="s">
        <v>99</v>
      </c>
      <c r="B9909">
        <v>3.7367656217774998</v>
      </c>
      <c r="C9909" s="1">
        <v>45626</v>
      </c>
    </row>
    <row r="9910" spans="1:3">
      <c r="A9910" t="s">
        <v>101</v>
      </c>
      <c r="B9910">
        <v>11.0995778839465</v>
      </c>
      <c r="C9910" s="1">
        <v>45626</v>
      </c>
    </row>
    <row r="9911" spans="1:3">
      <c r="A9911" t="s">
        <v>103</v>
      </c>
      <c r="B9911">
        <v>0.50377136530629996</v>
      </c>
      <c r="C9911" s="1">
        <v>45626</v>
      </c>
    </row>
    <row r="9912" spans="1:3">
      <c r="A9912" t="s">
        <v>105</v>
      </c>
      <c r="B9912">
        <v>0.25576084700166002</v>
      </c>
      <c r="C9912" s="1">
        <v>45626</v>
      </c>
    </row>
    <row r="9913" spans="1:3">
      <c r="A9913" t="s">
        <v>107</v>
      </c>
      <c r="B9913">
        <v>2.3887620234029501</v>
      </c>
      <c r="C9913" s="1">
        <v>45626</v>
      </c>
    </row>
    <row r="9914" spans="1:3">
      <c r="A9914" t="s">
        <v>109</v>
      </c>
      <c r="B9914">
        <v>9.1343159643449994</v>
      </c>
      <c r="C9914" s="1">
        <v>45626</v>
      </c>
    </row>
    <row r="9915" spans="1:3">
      <c r="A9915" t="s">
        <v>111</v>
      </c>
      <c r="B9915">
        <v>5.0986090928253001</v>
      </c>
      <c r="C9915" s="1">
        <v>45626</v>
      </c>
    </row>
    <row r="9916" spans="1:3">
      <c r="A9916" t="s">
        <v>113</v>
      </c>
      <c r="B9916">
        <v>9.4365787835287804</v>
      </c>
      <c r="C9916" s="1">
        <v>45626</v>
      </c>
    </row>
    <row r="9917" spans="1:3">
      <c r="A9917" t="s">
        <v>115</v>
      </c>
      <c r="B9917">
        <v>3.4787903951481201</v>
      </c>
      <c r="C9917" s="1">
        <v>45626</v>
      </c>
    </row>
    <row r="9918" spans="1:3">
      <c r="A9918" t="s">
        <v>117</v>
      </c>
      <c r="B9918">
        <v>1.6718566189285999</v>
      </c>
      <c r="C9918" s="1">
        <v>45626</v>
      </c>
    </row>
    <row r="9919" spans="1:3">
      <c r="A9919" t="s">
        <v>119</v>
      </c>
      <c r="B9919">
        <v>18.410905819770999</v>
      </c>
      <c r="C9919" s="1">
        <v>45626</v>
      </c>
    </row>
    <row r="9920" spans="1:3">
      <c r="A9920" t="s">
        <v>121</v>
      </c>
      <c r="B9920">
        <v>8.3415680576212399</v>
      </c>
      <c r="C9920" s="1">
        <v>45626</v>
      </c>
    </row>
    <row r="9921" spans="1:3">
      <c r="A9921" t="s">
        <v>123</v>
      </c>
      <c r="B9921">
        <v>4.8771711300533003</v>
      </c>
      <c r="C9921" s="1">
        <v>45626</v>
      </c>
    </row>
    <row r="9922" spans="1:3">
      <c r="A9922" t="s">
        <v>125</v>
      </c>
      <c r="B9922">
        <v>225.202408139124</v>
      </c>
      <c r="C9922" s="1">
        <v>45626</v>
      </c>
    </row>
    <row r="9923" spans="1:3">
      <c r="A9923" t="s">
        <v>127</v>
      </c>
      <c r="B9923">
        <v>4.4697252785528203</v>
      </c>
      <c r="C9923" s="1">
        <v>45626</v>
      </c>
    </row>
    <row r="9924" spans="1:3">
      <c r="A9924" t="s">
        <v>129</v>
      </c>
      <c r="B9924">
        <v>4.2593592139194199</v>
      </c>
      <c r="C9924" s="1">
        <v>45626</v>
      </c>
    </row>
    <row r="9925" spans="1:3">
      <c r="A9925" t="s">
        <v>131</v>
      </c>
      <c r="B9925">
        <v>2.4092450349593602</v>
      </c>
      <c r="C9925" s="1">
        <v>45626</v>
      </c>
    </row>
    <row r="9926" spans="1:3">
      <c r="A9926" t="s">
        <v>134</v>
      </c>
      <c r="B9926">
        <v>1.5755311051227801</v>
      </c>
      <c r="C9926" s="1">
        <v>45626</v>
      </c>
    </row>
    <row r="9927" spans="1:3">
      <c r="A9927" t="s">
        <v>136</v>
      </c>
      <c r="B9927">
        <v>16.374783752082401</v>
      </c>
      <c r="C9927" s="1">
        <v>45626</v>
      </c>
    </row>
    <row r="9928" spans="1:3">
      <c r="A9928" t="s">
        <v>138</v>
      </c>
      <c r="B9928">
        <v>15.2842017854303</v>
      </c>
      <c r="C9928" s="1">
        <v>45626</v>
      </c>
    </row>
    <row r="9929" spans="1:3">
      <c r="A9929" t="s">
        <v>140</v>
      </c>
      <c r="B9929">
        <v>21.750743893279701</v>
      </c>
      <c r="C9929" s="1">
        <v>45626</v>
      </c>
    </row>
    <row r="9930" spans="1:3">
      <c r="A9930" t="s">
        <v>142</v>
      </c>
      <c r="B9930">
        <v>7.1153553387712902</v>
      </c>
      <c r="C9930" s="1">
        <v>45626</v>
      </c>
    </row>
    <row r="9931" spans="1:3">
      <c r="A9931" t="s">
        <v>144</v>
      </c>
      <c r="B9931">
        <v>4.2089820773887903</v>
      </c>
      <c r="C9931" s="1">
        <v>45626</v>
      </c>
    </row>
    <row r="9932" spans="1:3">
      <c r="A9932" t="s">
        <v>146</v>
      </c>
      <c r="B9932">
        <v>2.7917791156479899</v>
      </c>
      <c r="C9932" s="1">
        <v>45626</v>
      </c>
    </row>
    <row r="9933" spans="1:3">
      <c r="A9933" t="s">
        <v>148</v>
      </c>
      <c r="B9933">
        <v>13.1135561553578</v>
      </c>
      <c r="C9933" s="1">
        <v>45626</v>
      </c>
    </row>
    <row r="9934" spans="1:3">
      <c r="A9934" t="s">
        <v>150</v>
      </c>
      <c r="B9934">
        <v>6.0829008373468403</v>
      </c>
      <c r="C9934" s="1">
        <v>45626</v>
      </c>
    </row>
    <row r="9935" spans="1:3">
      <c r="A9935" t="s">
        <v>152</v>
      </c>
      <c r="B9935">
        <v>25.033561691374601</v>
      </c>
      <c r="C9935" s="1">
        <v>45626</v>
      </c>
    </row>
    <row r="9936" spans="1:3">
      <c r="A9936" t="s">
        <v>154</v>
      </c>
      <c r="B9936">
        <v>13.9876825134003</v>
      </c>
      <c r="C9936" s="1">
        <v>45626</v>
      </c>
    </row>
    <row r="9937" spans="1:3">
      <c r="A9937" t="s">
        <v>156</v>
      </c>
      <c r="B9937">
        <v>4.8644384471939102</v>
      </c>
      <c r="C9937" s="1">
        <v>45626</v>
      </c>
    </row>
    <row r="9938" spans="1:3">
      <c r="A9938" t="s">
        <v>158</v>
      </c>
      <c r="B9938">
        <v>32.8708047887826</v>
      </c>
      <c r="C9938" s="1">
        <v>45626</v>
      </c>
    </row>
    <row r="9939" spans="1:3">
      <c r="A9939" t="s">
        <v>160</v>
      </c>
      <c r="B9939">
        <v>15.986713722324501</v>
      </c>
      <c r="C9939" s="1">
        <v>45626</v>
      </c>
    </row>
    <row r="9940" spans="1:3">
      <c r="A9940" t="s">
        <v>162</v>
      </c>
      <c r="B9940">
        <v>5.6461144557790703</v>
      </c>
      <c r="C9940" s="1">
        <v>45626</v>
      </c>
    </row>
    <row r="9941" spans="1:3">
      <c r="A9941" t="s">
        <v>164</v>
      </c>
      <c r="B9941">
        <v>14.179779946105</v>
      </c>
      <c r="C9941" s="1">
        <v>45626</v>
      </c>
    </row>
    <row r="9942" spans="1:3">
      <c r="A9942" t="s">
        <v>166</v>
      </c>
      <c r="B9942">
        <v>4.7348972389722901</v>
      </c>
      <c r="C9942" s="1">
        <v>45626</v>
      </c>
    </row>
    <row r="9943" spans="1:3">
      <c r="A9943" t="s">
        <v>168</v>
      </c>
      <c r="B9943">
        <v>8.8032662100008601</v>
      </c>
      <c r="C9943" s="1">
        <v>45626</v>
      </c>
    </row>
    <row r="9944" spans="1:3">
      <c r="A9944" t="s">
        <v>17</v>
      </c>
      <c r="B9944">
        <v>147.106518282351</v>
      </c>
      <c r="C9944" s="1">
        <v>45657</v>
      </c>
    </row>
    <row r="9945" spans="1:3">
      <c r="A9945" t="s">
        <v>4</v>
      </c>
      <c r="B9945">
        <v>0.43402225754979001</v>
      </c>
      <c r="C9945" s="1">
        <v>45657</v>
      </c>
    </row>
    <row r="9946" spans="1:3">
      <c r="A9946" t="s">
        <v>8</v>
      </c>
      <c r="B9946">
        <v>14.7058823528775</v>
      </c>
      <c r="C9946" s="1">
        <v>45657</v>
      </c>
    </row>
    <row r="9947" spans="1:3">
      <c r="A9947" t="s">
        <v>11</v>
      </c>
      <c r="B9947">
        <v>35.8542660305813</v>
      </c>
      <c r="C9947" s="1">
        <v>45657</v>
      </c>
    </row>
    <row r="9948" spans="1:3">
      <c r="A9948" t="s">
        <v>14</v>
      </c>
      <c r="B9948">
        <v>6.7143614202146997</v>
      </c>
      <c r="C9948" s="1">
        <v>45657</v>
      </c>
    </row>
    <row r="9949" spans="1:3">
      <c r="A9949" t="s">
        <v>20</v>
      </c>
      <c r="B9949">
        <v>0.73502914679067</v>
      </c>
      <c r="C9949" s="1">
        <v>45657</v>
      </c>
    </row>
    <row r="9950" spans="1:3">
      <c r="A9950" t="s">
        <v>24</v>
      </c>
      <c r="B9950">
        <v>0.69157392686505004</v>
      </c>
      <c r="C9950" s="1">
        <v>45657</v>
      </c>
    </row>
    <row r="9951" spans="1:3">
      <c r="A9951" t="s">
        <v>27</v>
      </c>
      <c r="B9951">
        <v>29.244833068235799</v>
      </c>
      <c r="C9951" s="1">
        <v>45657</v>
      </c>
    </row>
    <row r="9952" spans="1:3">
      <c r="A9952" t="s">
        <v>29</v>
      </c>
      <c r="B9952">
        <v>0.86804451509958003</v>
      </c>
      <c r="C9952" s="1">
        <v>45657</v>
      </c>
    </row>
    <row r="9953" spans="1:3">
      <c r="A9953" t="s">
        <v>32</v>
      </c>
      <c r="B9953">
        <v>5.3714891361717596</v>
      </c>
      <c r="C9953" s="1">
        <v>45657</v>
      </c>
    </row>
    <row r="9954" spans="1:3">
      <c r="A9954" t="s">
        <v>35</v>
      </c>
      <c r="B9954">
        <v>3.5506094329470002</v>
      </c>
      <c r="C9954" s="1">
        <v>45657</v>
      </c>
    </row>
    <row r="9955" spans="1:3">
      <c r="A9955" t="s">
        <v>37</v>
      </c>
      <c r="B9955">
        <v>0.30948595654344002</v>
      </c>
      <c r="C9955" s="1">
        <v>45657</v>
      </c>
    </row>
    <row r="9956" spans="1:3">
      <c r="A9956" t="s">
        <v>39</v>
      </c>
      <c r="B9956">
        <v>2.808691043973</v>
      </c>
      <c r="C9956" s="1">
        <v>45657</v>
      </c>
    </row>
    <row r="9957" spans="1:3">
      <c r="A9957" t="s">
        <v>42</v>
      </c>
      <c r="B9957">
        <v>3.7599364069789498</v>
      </c>
      <c r="C9957" s="1">
        <v>45657</v>
      </c>
    </row>
    <row r="9958" spans="1:3">
      <c r="A9958" t="s">
        <v>44</v>
      </c>
      <c r="B9958">
        <v>8.3704292527459501</v>
      </c>
      <c r="C9958" s="1">
        <v>45657</v>
      </c>
    </row>
    <row r="9959" spans="1:3">
      <c r="A9959" t="s">
        <v>47</v>
      </c>
      <c r="B9959">
        <v>6.3974562797815198</v>
      </c>
      <c r="C9959" s="1">
        <v>45657</v>
      </c>
    </row>
    <row r="9960" spans="1:3">
      <c r="A9960" t="s">
        <v>49</v>
      </c>
      <c r="B9960">
        <v>7.7419183889436898</v>
      </c>
      <c r="C9960" s="1">
        <v>45657</v>
      </c>
    </row>
    <row r="9961" spans="1:3">
      <c r="A9961" t="s">
        <v>51</v>
      </c>
      <c r="B9961">
        <v>0.95230524641877001</v>
      </c>
      <c r="C9961" s="1">
        <v>45657</v>
      </c>
    </row>
    <row r="9962" spans="1:3">
      <c r="A9962" t="s">
        <v>53</v>
      </c>
      <c r="B9962">
        <v>0.57763645998690005</v>
      </c>
      <c r="C9962" s="1">
        <v>45657</v>
      </c>
    </row>
    <row r="9963" spans="1:3">
      <c r="A9963" t="s">
        <v>55</v>
      </c>
      <c r="B9963">
        <v>2.0752517223015601</v>
      </c>
      <c r="C9963" s="1">
        <v>45657</v>
      </c>
    </row>
    <row r="9964" spans="1:3">
      <c r="A9964" t="s">
        <v>57</v>
      </c>
      <c r="B9964">
        <v>1.8532061473157699</v>
      </c>
      <c r="C9964" s="1">
        <v>45657</v>
      </c>
    </row>
    <row r="9965" spans="1:3">
      <c r="A9965" t="s">
        <v>59</v>
      </c>
      <c r="B9965">
        <v>3.1139374668651598</v>
      </c>
      <c r="C9965" s="1">
        <v>45657</v>
      </c>
    </row>
    <row r="9966" spans="1:3">
      <c r="A9966" t="s">
        <v>61</v>
      </c>
      <c r="B9966">
        <v>166.10174880691099</v>
      </c>
      <c r="C9966" s="1">
        <v>45657</v>
      </c>
    </row>
    <row r="9967" spans="1:3">
      <c r="A9967" t="s">
        <v>63</v>
      </c>
      <c r="B9967">
        <v>9.9099099098670003</v>
      </c>
      <c r="C9967" s="1">
        <v>45657</v>
      </c>
    </row>
    <row r="9968" spans="1:3">
      <c r="A9968" t="s">
        <v>65</v>
      </c>
      <c r="B9968">
        <v>0.24112347641654999</v>
      </c>
      <c r="C9968" s="1">
        <v>45657</v>
      </c>
    </row>
    <row r="9969" spans="1:3">
      <c r="A9969" t="s">
        <v>67</v>
      </c>
      <c r="B9969">
        <v>10.321674615747501</v>
      </c>
      <c r="C9969" s="1">
        <v>45657</v>
      </c>
    </row>
    <row r="9970" spans="1:3">
      <c r="A9970" t="s">
        <v>69</v>
      </c>
      <c r="B9970">
        <v>5.4907260201140096</v>
      </c>
      <c r="C9970" s="1">
        <v>45657</v>
      </c>
    </row>
    <row r="9971" spans="1:3">
      <c r="A9971" t="s">
        <v>71</v>
      </c>
      <c r="B9971">
        <v>1.79332273449144</v>
      </c>
      <c r="C9971" s="1">
        <v>45657</v>
      </c>
    </row>
    <row r="9972" spans="1:3">
      <c r="A9972" t="s">
        <v>73</v>
      </c>
      <c r="B9972">
        <v>0.79067302596372002</v>
      </c>
      <c r="C9972" s="1">
        <v>45657</v>
      </c>
    </row>
    <row r="9973" spans="1:3">
      <c r="A9973" t="s">
        <v>75</v>
      </c>
      <c r="B9973">
        <v>0.15474297827172001</v>
      </c>
      <c r="C9973" s="1">
        <v>45657</v>
      </c>
    </row>
    <row r="9974" spans="1:3">
      <c r="A9974" t="s">
        <v>77</v>
      </c>
      <c r="B9974">
        <v>0.67461579225992996</v>
      </c>
      <c r="C9974" s="1">
        <v>45657</v>
      </c>
    </row>
    <row r="9975" spans="1:3">
      <c r="A9975" t="s">
        <v>79</v>
      </c>
      <c r="B9975">
        <v>3.6565977742290001</v>
      </c>
      <c r="C9975" s="1">
        <v>45657</v>
      </c>
    </row>
    <row r="9976" spans="1:3">
      <c r="A9976" t="s">
        <v>81</v>
      </c>
      <c r="B9976">
        <v>12.361950185426</v>
      </c>
      <c r="C9976" s="1">
        <v>45657</v>
      </c>
    </row>
    <row r="9977" spans="1:3">
      <c r="A9977" t="s">
        <v>83</v>
      </c>
      <c r="B9977">
        <v>0.16269210386787</v>
      </c>
      <c r="C9977" s="1">
        <v>45657</v>
      </c>
    </row>
    <row r="9978" spans="1:3">
      <c r="A9978" t="s">
        <v>85</v>
      </c>
      <c r="B9978">
        <v>2.4626391096872702</v>
      </c>
      <c r="C9978" s="1">
        <v>45657</v>
      </c>
    </row>
    <row r="9979" spans="1:3">
      <c r="A9979" t="s">
        <v>87</v>
      </c>
      <c r="B9979">
        <v>8.7360890301688503</v>
      </c>
      <c r="C9979" s="1">
        <v>45657</v>
      </c>
    </row>
    <row r="9980" spans="1:3">
      <c r="A9980" t="s">
        <v>89</v>
      </c>
      <c r="B9980">
        <v>8.6910439851240007</v>
      </c>
      <c r="C9980" s="1">
        <v>45657</v>
      </c>
    </row>
    <row r="9981" spans="1:3">
      <c r="A9981" t="s">
        <v>91</v>
      </c>
      <c r="B9981">
        <v>20.807631160482199</v>
      </c>
      <c r="C9981" s="1">
        <v>45657</v>
      </c>
    </row>
    <row r="9982" spans="1:3">
      <c r="A9982" t="s">
        <v>93</v>
      </c>
      <c r="B9982">
        <v>11.213566507635599</v>
      </c>
      <c r="C9982" s="1">
        <v>45657</v>
      </c>
    </row>
    <row r="9983" spans="1:3">
      <c r="A9983" t="s">
        <v>95</v>
      </c>
      <c r="B9983">
        <v>0.63381028086636004</v>
      </c>
      <c r="C9983" s="1">
        <v>45657</v>
      </c>
    </row>
    <row r="9984" spans="1:3">
      <c r="A9984" t="s">
        <v>97</v>
      </c>
      <c r="B9984">
        <v>4.1388447270621</v>
      </c>
      <c r="C9984" s="1">
        <v>45657</v>
      </c>
    </row>
    <row r="9985" spans="1:3">
      <c r="A9985" t="s">
        <v>99</v>
      </c>
      <c r="B9985">
        <v>3.5760466348546802</v>
      </c>
      <c r="C9985" s="1">
        <v>45657</v>
      </c>
    </row>
    <row r="9986" spans="1:3">
      <c r="A9986" t="s">
        <v>101</v>
      </c>
      <c r="B9986">
        <v>11.446740858456</v>
      </c>
      <c r="C9986" s="1">
        <v>45657</v>
      </c>
    </row>
    <row r="9987" spans="1:3">
      <c r="A9987" t="s">
        <v>103</v>
      </c>
      <c r="B9987">
        <v>0.50344462108950006</v>
      </c>
      <c r="C9987" s="1">
        <v>45657</v>
      </c>
    </row>
    <row r="9988" spans="1:3">
      <c r="A9988" t="s">
        <v>105</v>
      </c>
      <c r="B9988">
        <v>0.27291997880114999</v>
      </c>
      <c r="C9988" s="1">
        <v>45657</v>
      </c>
    </row>
    <row r="9989" spans="1:3">
      <c r="A9989" t="s">
        <v>107</v>
      </c>
      <c r="B9989">
        <v>2.3052464228835001</v>
      </c>
      <c r="C9989" s="1">
        <v>45657</v>
      </c>
    </row>
    <row r="9990" spans="1:3">
      <c r="A9990" t="s">
        <v>109</v>
      </c>
      <c r="B9990">
        <v>7.9851616321858803</v>
      </c>
      <c r="C9990" s="1">
        <v>45657</v>
      </c>
    </row>
    <row r="9991" spans="1:3">
      <c r="A9991" t="s">
        <v>111</v>
      </c>
      <c r="B9991">
        <v>4.6327503974362196</v>
      </c>
      <c r="C9991" s="1">
        <v>45657</v>
      </c>
    </row>
    <row r="9992" spans="1:3">
      <c r="A9992" t="s">
        <v>113</v>
      </c>
      <c r="B9992">
        <v>8.9030206676880006</v>
      </c>
      <c r="C9992" s="1">
        <v>45657</v>
      </c>
    </row>
    <row r="9993" spans="1:3">
      <c r="A9993" t="s">
        <v>115</v>
      </c>
      <c r="B9993">
        <v>3.3041865394663499</v>
      </c>
      <c r="C9993" s="1">
        <v>45657</v>
      </c>
    </row>
    <row r="9994" spans="1:3">
      <c r="A9994" t="s">
        <v>117</v>
      </c>
      <c r="B9994">
        <v>1.6269210386787001</v>
      </c>
      <c r="C9994" s="1">
        <v>45657</v>
      </c>
    </row>
    <row r="9995" spans="1:3">
      <c r="A9995" t="s">
        <v>119</v>
      </c>
      <c r="B9995">
        <v>17.289348171626202</v>
      </c>
      <c r="C9995" s="1">
        <v>45657</v>
      </c>
    </row>
    <row r="9996" spans="1:3">
      <c r="A9996" t="s">
        <v>121</v>
      </c>
      <c r="B9996">
        <v>8.2193958664191005</v>
      </c>
      <c r="C9996" s="1">
        <v>45657</v>
      </c>
    </row>
    <row r="9997" spans="1:3">
      <c r="A9997" t="s">
        <v>123</v>
      </c>
      <c r="B9997">
        <v>4.6041335452900798</v>
      </c>
      <c r="C9997" s="1">
        <v>45657</v>
      </c>
    </row>
    <row r="9998" spans="1:3">
      <c r="A9998" t="s">
        <v>125</v>
      </c>
      <c r="B9998">
        <v>221.15633280243401</v>
      </c>
      <c r="C9998" s="1">
        <v>45657</v>
      </c>
    </row>
    <row r="9999" spans="1:3">
      <c r="A9999" t="s">
        <v>127</v>
      </c>
      <c r="B9999">
        <v>4.8749337572655902</v>
      </c>
      <c r="C9999" s="1">
        <v>45657</v>
      </c>
    </row>
    <row r="10000" spans="1:3">
      <c r="A10000" t="s">
        <v>129</v>
      </c>
      <c r="B10000">
        <v>4.0254372018903597</v>
      </c>
      <c r="C10000" s="1">
        <v>45657</v>
      </c>
    </row>
    <row r="10001" spans="1:3">
      <c r="A10001" t="s">
        <v>131</v>
      </c>
      <c r="B10001">
        <v>2.64281928986667</v>
      </c>
      <c r="C10001" s="1">
        <v>45657</v>
      </c>
    </row>
    <row r="10002" spans="1:3">
      <c r="A10002" t="s">
        <v>134</v>
      </c>
      <c r="B10002">
        <v>1.5633280339094999</v>
      </c>
      <c r="C10002" s="1">
        <v>45657</v>
      </c>
    </row>
    <row r="10003" spans="1:3">
      <c r="A10003" t="s">
        <v>136</v>
      </c>
      <c r="B10003">
        <v>15.6067832537745</v>
      </c>
      <c r="C10003" s="1">
        <v>45657</v>
      </c>
    </row>
    <row r="10004" spans="1:3">
      <c r="A10004" t="s">
        <v>138</v>
      </c>
      <c r="B10004">
        <v>13.9729729729124</v>
      </c>
      <c r="C10004" s="1">
        <v>45657</v>
      </c>
    </row>
    <row r="10005" spans="1:3">
      <c r="A10005" t="s">
        <v>140</v>
      </c>
      <c r="B10005">
        <v>19.772125066157098</v>
      </c>
      <c r="C10005" s="1">
        <v>45657</v>
      </c>
    </row>
    <row r="10006" spans="1:3">
      <c r="A10006" t="s">
        <v>142</v>
      </c>
      <c r="B10006">
        <v>6.6263910969506403</v>
      </c>
      <c r="C10006" s="1">
        <v>45657</v>
      </c>
    </row>
    <row r="10007" spans="1:3">
      <c r="A10007" t="s">
        <v>144</v>
      </c>
      <c r="B10007">
        <v>3.974562798075</v>
      </c>
      <c r="C10007" s="1">
        <v>45657</v>
      </c>
    </row>
    <row r="10008" spans="1:3">
      <c r="A10008" t="s">
        <v>146</v>
      </c>
      <c r="B10008">
        <v>2.61049284577566</v>
      </c>
      <c r="C10008" s="1">
        <v>45657</v>
      </c>
    </row>
    <row r="10009" spans="1:3">
      <c r="A10009" t="s">
        <v>148</v>
      </c>
      <c r="B10009">
        <v>11.7519872813481</v>
      </c>
      <c r="C10009" s="1">
        <v>45657</v>
      </c>
    </row>
    <row r="10010" spans="1:3">
      <c r="A10010" t="s">
        <v>150</v>
      </c>
      <c r="B10010">
        <v>5.81452040273052</v>
      </c>
      <c r="C10010" s="1">
        <v>45657</v>
      </c>
    </row>
    <row r="10011" spans="1:3">
      <c r="A10011" t="s">
        <v>152</v>
      </c>
      <c r="B10011">
        <v>22.310545839861</v>
      </c>
      <c r="C10011" s="1">
        <v>45657</v>
      </c>
    </row>
    <row r="10012" spans="1:3">
      <c r="A10012" t="s">
        <v>154</v>
      </c>
      <c r="B10012">
        <v>15.316375198661801</v>
      </c>
      <c r="C10012" s="1">
        <v>45657</v>
      </c>
    </row>
    <row r="10013" spans="1:3">
      <c r="A10013" t="s">
        <v>156</v>
      </c>
      <c r="B10013">
        <v>4.4128245892760702</v>
      </c>
      <c r="C10013" s="1">
        <v>45657</v>
      </c>
    </row>
    <row r="10014" spans="1:3">
      <c r="A10014" t="s">
        <v>158</v>
      </c>
      <c r="B10014">
        <v>30.1510333861969</v>
      </c>
      <c r="C10014" s="1">
        <v>45657</v>
      </c>
    </row>
    <row r="10015" spans="1:3">
      <c r="A10015" t="s">
        <v>160</v>
      </c>
      <c r="B10015">
        <v>14.9289878112761</v>
      </c>
      <c r="C10015" s="1">
        <v>45657</v>
      </c>
    </row>
    <row r="10016" spans="1:3">
      <c r="A10016" t="s">
        <v>162</v>
      </c>
      <c r="B10016">
        <v>4.6502384737477502</v>
      </c>
      <c r="C10016" s="1">
        <v>45657</v>
      </c>
    </row>
    <row r="10017" spans="1:3">
      <c r="A10017" t="s">
        <v>164</v>
      </c>
      <c r="B10017">
        <v>13.094859565391101</v>
      </c>
      <c r="C10017" s="1">
        <v>45657</v>
      </c>
    </row>
    <row r="10018" spans="1:3">
      <c r="A10018" t="s">
        <v>166</v>
      </c>
      <c r="B10018">
        <v>5.7514573396677298</v>
      </c>
      <c r="C10018" s="1">
        <v>45657</v>
      </c>
    </row>
    <row r="10019" spans="1:3">
      <c r="A10019" t="s">
        <v>168</v>
      </c>
      <c r="B10019">
        <v>7.9697933226999798</v>
      </c>
      <c r="C10019" s="1">
        <v>45657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99E06-852D-4175-909C-8966A66974B9}">
  <dimension ref="A1:G49"/>
  <sheetViews>
    <sheetView topLeftCell="A31" workbookViewId="0">
      <selection activeCell="G2" sqref="G2"/>
    </sheetView>
  </sheetViews>
  <sheetFormatPr defaultRowHeight="15"/>
  <cols>
    <col min="2" max="2" width="11.140625" bestFit="1" customWidth="1"/>
    <col min="3" max="3" width="16.7109375" bestFit="1" customWidth="1"/>
    <col min="4" max="4" width="12" bestFit="1" customWidth="1"/>
    <col min="5" max="5" width="10.7109375" bestFit="1" customWidth="1"/>
    <col min="6" max="6" width="13" bestFit="1" customWidth="1"/>
    <col min="7" max="7" width="14.28515625" bestFit="1" customWidth="1"/>
  </cols>
  <sheetData>
    <row r="1" spans="1:7">
      <c r="A1" t="s">
        <v>0</v>
      </c>
      <c r="B1" t="s">
        <v>172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</row>
    <row r="2" spans="1:7">
      <c r="A2" t="str">
        <f>funds_20231231!A3</f>
        <v>ZAMNP</v>
      </c>
      <c r="B2" s="2">
        <f>funds_20231231!B3</f>
        <v>205985</v>
      </c>
      <c r="C2" cm="1">
        <f t="array" ref="C2">_xlfn.XLOOKUP(1, (prices!$A:$A=A2)*(prices!$C:$C=DATE(2023,12,31)), prices!$B:$B)</f>
        <v>19.849624060035001</v>
      </c>
      <c r="D2">
        <f>B2*C2</f>
        <v>4088724.8120063096</v>
      </c>
      <c r="E2">
        <f>D2/$D$49</f>
        <v>2.9466683165477087E-2</v>
      </c>
      <c r="F2" cm="1">
        <f t="array" ref="F2">(_xlfn.XLOOKUP(1, (prices!$A:$A=A2)*(prices!$C:$C=DATE(2024,12,31)), prices!$B:$B)/_xlfn.XLOOKUP(1, (prices!$A:$A=A2)*(prices!$C:$C=DATE(2023,12,31)), prices!$B:$B))-1</f>
        <v>-0.25913547236966816</v>
      </c>
      <c r="G2" t="str">
        <f>_xlfn.XLOOKUP(A2, attributes!A:A, attributes!C:C, "N/A")</f>
        <v>Rand Sensitives</v>
      </c>
    </row>
    <row r="3" spans="1:7">
      <c r="A3" t="str">
        <f>funds_20231231!A4</f>
        <v>ZABTI</v>
      </c>
      <c r="B3" s="2">
        <f>funds_20231231!B4</f>
        <v>143860</v>
      </c>
      <c r="C3" cm="1">
        <f t="array" ref="C3">_xlfn.XLOOKUP(1, (prices!$A:$A=A3)*(prices!$C:$C=DATE(2023,12,31)), prices!$B:$B)</f>
        <v>29.610936431816899</v>
      </c>
      <c r="D3">
        <f t="shared" ref="D3:D47" si="0">B3*C3</f>
        <v>4259829.3150811791</v>
      </c>
      <c r="E3">
        <f t="shared" ref="E3:E47" si="1">D3/$D$49</f>
        <v>3.069980165892237E-2</v>
      </c>
      <c r="F3" cm="1">
        <f t="array" ref="F3">(_xlfn.XLOOKUP(1, (prices!$A:$A=A3)*(prices!$C:$C=DATE(2024,12,31)), prices!$B:$B)/_xlfn.XLOOKUP(1, (prices!$A:$A=A3)*(prices!$C:$C=DATE(2023,12,31)), prices!$B:$B))-1</f>
        <v>0.21084539535385827</v>
      </c>
      <c r="G3" t="str">
        <f>_xlfn.XLOOKUP(A3, attributes!A:A, attributes!C:C, "N/A")</f>
        <v>Rand Sensitives</v>
      </c>
    </row>
    <row r="4" spans="1:7">
      <c r="A4" t="str">
        <f>funds_20231231!A5</f>
        <v>ZAINP</v>
      </c>
      <c r="B4" s="2">
        <f>funds_20231231!B5</f>
        <v>350025</v>
      </c>
      <c r="C4" cm="1">
        <f t="array" ref="C4">_xlfn.XLOOKUP(1, (prices!$A:$A=A4)*(prices!$C:$C=DATE(2023,12,31)), prices!$B:$B)</f>
        <v>6.8872180450727498</v>
      </c>
      <c r="D4">
        <f t="shared" si="0"/>
        <v>2410698.4962265892</v>
      </c>
      <c r="E4">
        <f t="shared" si="1"/>
        <v>1.7373458000208241E-2</v>
      </c>
      <c r="F4" cm="1">
        <f t="array" ref="F4">(_xlfn.XLOOKUP(1, (prices!$A:$A=A4)*(prices!$C:$C=DATE(2024,12,31)), prices!$B:$B)/_xlfn.XLOOKUP(1, (prices!$A:$A=A4)*(prices!$C:$C=DATE(2023,12,31)), prices!$B:$B))-1</f>
        <v>-2.5098178063596377E-2</v>
      </c>
      <c r="G4" t="str">
        <f>_xlfn.XLOOKUP(A4, attributes!A:A, attributes!C:C, "N/A")</f>
        <v>Rand Sensitives</v>
      </c>
    </row>
    <row r="5" spans="1:7">
      <c r="A5" t="str">
        <f>funds_20231231!A6</f>
        <v>ZACFR</v>
      </c>
      <c r="B5" s="2">
        <f>funds_20231231!B6</f>
        <v>369</v>
      </c>
      <c r="C5" cm="1">
        <f t="array" ref="C5">_xlfn.XLOOKUP(1, (prices!$A:$A=A5)*(prices!$C:$C=DATE(2023,12,31)), prices!$B:$B)</f>
        <v>140.40246069638101</v>
      </c>
      <c r="D5">
        <f t="shared" si="0"/>
        <v>51808.507996964596</v>
      </c>
      <c r="E5">
        <f t="shared" si="1"/>
        <v>3.7337433077907172E-4</v>
      </c>
      <c r="F5" cm="1">
        <f t="array" ref="F5">(_xlfn.XLOOKUP(1, (prices!$A:$A=A5)*(prices!$C:$C=DATE(2024,12,31)), prices!$B:$B)/_xlfn.XLOOKUP(1, (prices!$A:$A=A5)*(prices!$C:$C=DATE(2023,12,31)), prices!$B:$B))-1</f>
        <v>4.7748861043592772E-2</v>
      </c>
      <c r="G5" t="str">
        <f>_xlfn.XLOOKUP(A5, attributes!A:A, attributes!C:C, "N/A")</f>
        <v>Rand Sensitives</v>
      </c>
    </row>
    <row r="6" spans="1:7">
      <c r="A6" t="str">
        <f>funds_20231231!A7</f>
        <v>ZAATT</v>
      </c>
      <c r="B6" s="2">
        <f>funds_20231231!B7</f>
        <v>1086</v>
      </c>
      <c r="C6" cm="1">
        <f t="array" ref="C6">_xlfn.XLOOKUP(1, (prices!$A:$A=A6)*(prices!$C:$C=DATE(2023,12,31)), prices!$B:$B)</f>
        <v>0.50416951469289994</v>
      </c>
      <c r="D6">
        <f t="shared" si="0"/>
        <v>547.52809295648933</v>
      </c>
      <c r="E6">
        <f t="shared" si="1"/>
        <v>3.9459336544173027E-6</v>
      </c>
      <c r="F6" cm="1">
        <f t="array" ref="F6">(_xlfn.XLOOKUP(1, (prices!$A:$A=A6)*(prices!$C:$C=DATE(2024,12,31)), prices!$B:$B)/_xlfn.XLOOKUP(1, (prices!$A:$A=A6)*(prices!$C:$C=DATE(2023,12,31)), prices!$B:$B))-1</f>
        <v>0.45790081583649789</v>
      </c>
      <c r="G6" t="str">
        <f>_xlfn.XLOOKUP(A6, attributes!A:A, attributes!C:C, "N/A")</f>
        <v>Property</v>
      </c>
    </row>
    <row r="7" spans="1:7">
      <c r="A7" t="str">
        <f>funds_20231231!A8</f>
        <v>ZAAGL</v>
      </c>
      <c r="B7" s="2">
        <f>funds_20231231!B8</f>
        <v>176573</v>
      </c>
      <c r="C7" cm="1">
        <f t="array" ref="C7">_xlfn.XLOOKUP(1, (prices!$A:$A=A7)*(prices!$C:$C=DATE(2023,12,31)), prices!$B:$B)</f>
        <v>25.891455912358001</v>
      </c>
      <c r="D7">
        <f t="shared" si="0"/>
        <v>4571732.0448127892</v>
      </c>
      <c r="E7">
        <f t="shared" si="1"/>
        <v>3.2947626919370497E-2</v>
      </c>
      <c r="F7" cm="1">
        <f t="array" ref="F7">(_xlfn.XLOOKUP(1, (prices!$A:$A=A7)*(prices!$C:$C=DATE(2024,12,31)), prices!$B:$B)/_xlfn.XLOOKUP(1, (prices!$A:$A=A7)*(prices!$C:$C=DATE(2023,12,31)), prices!$B:$B))-1</f>
        <v>0.12951674742544039</v>
      </c>
      <c r="G7" t="str">
        <f>_xlfn.XLOOKUP(A7, attributes!A:A, attributes!C:C, "N/A")</f>
        <v>Resources</v>
      </c>
    </row>
    <row r="8" spans="1:7">
      <c r="A8" t="str">
        <f>funds_20231231!A9</f>
        <v>ZALHC</v>
      </c>
      <c r="B8" s="2">
        <f>funds_20231231!B9</f>
        <v>922</v>
      </c>
      <c r="C8" cm="1">
        <f t="array" ref="C8">_xlfn.XLOOKUP(1, (prices!$A:$A=A8)*(prices!$C:$C=DATE(2023,12,31)), prices!$B:$B)</f>
        <v>1.0045112781896499</v>
      </c>
      <c r="D8">
        <f t="shared" si="0"/>
        <v>926.15939849085726</v>
      </c>
      <c r="E8">
        <f t="shared" si="1"/>
        <v>6.6746594135953827E-6</v>
      </c>
      <c r="F8" cm="1">
        <f t="array" ref="F8">(_xlfn.XLOOKUP(1, (prices!$A:$A=A8)*(prices!$C:$C=DATE(2024,12,31)), prices!$B:$B)/_xlfn.XLOOKUP(1, (prices!$A:$A=A8)*(prices!$C:$C=DATE(2023,12,31)), prices!$B:$B))-1</f>
        <v>-0.13585388840632329</v>
      </c>
      <c r="G8" t="str">
        <f>_xlfn.XLOOKUP(A8, attributes!A:A, attributes!C:C, "N/A")</f>
        <v>SA Inc</v>
      </c>
    </row>
    <row r="9" spans="1:7">
      <c r="A9" t="str">
        <f>funds_20231231!A10</f>
        <v>ZAVOD</v>
      </c>
      <c r="B9" s="2">
        <f>funds_20231231!B10</f>
        <v>178090</v>
      </c>
      <c r="C9" cm="1">
        <f t="array" ref="C9">_xlfn.XLOOKUP(1, (prices!$A:$A=A9)*(prices!$C:$C=DATE(2023,12,31)), prices!$B:$B)</f>
        <v>5.7963089541699997</v>
      </c>
      <c r="D9">
        <f t="shared" si="0"/>
        <v>1032264.6616481353</v>
      </c>
      <c r="E9">
        <f t="shared" si="1"/>
        <v>7.4393404120485151E-3</v>
      </c>
      <c r="F9" cm="1">
        <f t="array" ref="F9">(_xlfn.XLOOKUP(1, (prices!$A:$A=A9)*(prices!$C:$C=DATE(2024,12,31)), prices!$B:$B)/_xlfn.XLOOKUP(1, (prices!$A:$A=A9)*(prices!$C:$C=DATE(2023,12,31)), prices!$B:$B))-1</f>
        <v>-7.3291437940452564E-2</v>
      </c>
      <c r="G9" t="str">
        <f>_xlfn.XLOOKUP(A9, attributes!A:A, attributes!C:C, "N/A")</f>
        <v>SA Inc</v>
      </c>
    </row>
    <row r="10" spans="1:7">
      <c r="A10" t="str">
        <f>funds_20231231!A11</f>
        <v>ZARBX</v>
      </c>
      <c r="B10" s="2">
        <f>funds_20231231!B11</f>
        <v>1774</v>
      </c>
      <c r="C10" cm="1">
        <f t="array" ref="C10">_xlfn.XLOOKUP(1, (prices!$A:$A=A10)*(prices!$C:$C=DATE(2023,12,31)), prices!$B:$B)</f>
        <v>1.5157894736754001</v>
      </c>
      <c r="D10">
        <f t="shared" si="0"/>
        <v>2689.0105263001597</v>
      </c>
      <c r="E10">
        <f t="shared" si="1"/>
        <v>1.9379201303655093E-5</v>
      </c>
      <c r="F10" cm="1">
        <f t="array" ref="F10">(_xlfn.XLOOKUP(1, (prices!$A:$A=A10)*(prices!$C:$C=DATE(2024,12,31)), prices!$B:$B)/_xlfn.XLOOKUP(1, (prices!$A:$A=A10)*(prices!$C:$C=DATE(2023,12,31)), prices!$B:$B))-1</f>
        <v>0.85295589707629094</v>
      </c>
      <c r="G10" t="str">
        <f>_xlfn.XLOOKUP(A10, attributes!A:A, attributes!C:C, "N/A")</f>
        <v>SA Inc</v>
      </c>
    </row>
    <row r="11" spans="1:7">
      <c r="A11" t="str">
        <f>funds_20231231!A12</f>
        <v>ZAEXX</v>
      </c>
      <c r="B11" s="2">
        <f>funds_20231231!B12</f>
        <v>154023</v>
      </c>
      <c r="C11" cm="1">
        <f t="array" ref="C11">_xlfn.XLOOKUP(1, (prices!$A:$A=A11)*(prices!$C:$C=DATE(2023,12,31)), prices!$B:$B)</f>
        <v>11.181408065553599</v>
      </c>
      <c r="D11">
        <f t="shared" si="0"/>
        <v>1722194.014480762</v>
      </c>
      <c r="E11">
        <f t="shared" si="1"/>
        <v>1.2411533597264593E-2</v>
      </c>
      <c r="F11" cm="1">
        <f t="array" ref="F11">(_xlfn.XLOOKUP(1, (prices!$A:$A=A11)*(prices!$C:$C=DATE(2024,12,31)), prices!$B:$B)/_xlfn.XLOOKUP(1, (prices!$A:$A=A11)*(prices!$C:$C=DATE(2023,12,31)), prices!$B:$B))-1</f>
        <v>-0.25139756963770876</v>
      </c>
      <c r="G11" t="str">
        <f>_xlfn.XLOOKUP(A11, attributes!A:A, attributes!C:C, "N/A")</f>
        <v>Resources</v>
      </c>
    </row>
    <row r="12" spans="1:7">
      <c r="A12" t="str">
        <f>funds_20231231!A13</f>
        <v>ZASPP</v>
      </c>
      <c r="B12" s="2">
        <f>funds_20231231!B13</f>
        <v>293</v>
      </c>
      <c r="C12" cm="1">
        <f t="array" ref="C12">_xlfn.XLOOKUP(1, (prices!$A:$A=A12)*(prices!$C:$C=DATE(2023,12,31)), prices!$B:$B)</f>
        <v>6.4470266575155</v>
      </c>
      <c r="D12">
        <f t="shared" si="0"/>
        <v>1888.9788106520416</v>
      </c>
      <c r="E12">
        <f t="shared" si="1"/>
        <v>1.3613520762349987E-5</v>
      </c>
      <c r="F12" cm="1">
        <f t="array" ref="F12">(_xlfn.XLOOKUP(1, (prices!$A:$A=A12)*(prices!$C:$C=DATE(2024,12,31)), prices!$B:$B)/_xlfn.XLOOKUP(1, (prices!$A:$A=A12)*(prices!$C:$C=DATE(2023,12,31)), prices!$B:$B))-1</f>
        <v>0.20085099693495057</v>
      </c>
      <c r="G12" t="str">
        <f>_xlfn.XLOOKUP(A12, attributes!A:A, attributes!C:C, "N/A")</f>
        <v>SA Inc</v>
      </c>
    </row>
    <row r="13" spans="1:7">
      <c r="A13" t="str">
        <f>funds_20231231!A14</f>
        <v>ZAVKE</v>
      </c>
      <c r="B13" s="2">
        <f>funds_20231231!B14</f>
        <v>1515</v>
      </c>
      <c r="C13" cm="1">
        <f t="array" ref="C13">_xlfn.XLOOKUP(1, (prices!$A:$A=A13)*(prices!$C:$C=DATE(2023,12,31)), prices!$B:$B)</f>
        <v>0.77211209842340001</v>
      </c>
      <c r="D13">
        <f t="shared" si="0"/>
        <v>1169.7498291114509</v>
      </c>
      <c r="E13">
        <f t="shared" si="1"/>
        <v>8.4301705744741864E-6</v>
      </c>
      <c r="F13" cm="1">
        <f t="array" ref="F13">(_xlfn.XLOOKUP(1, (prices!$A:$A=A13)*(prices!$C:$C=DATE(2024,12,31)), prices!$B:$B)/_xlfn.XLOOKUP(1, (prices!$A:$A=A13)*(prices!$C:$C=DATE(2023,12,31)), prices!$B:$B))-1</f>
        <v>0.23337692591958104</v>
      </c>
      <c r="G13" t="str">
        <f>_xlfn.XLOOKUP(A13, attributes!A:A, attributes!C:C, "N/A")</f>
        <v>Property</v>
      </c>
    </row>
    <row r="14" spans="1:7">
      <c r="A14" t="str">
        <f>funds_20231231!A15</f>
        <v>ZACPI</v>
      </c>
      <c r="B14" s="2">
        <f>funds_20231231!B15</f>
        <v>114061</v>
      </c>
      <c r="C14" cm="1">
        <f t="array" ref="C14">_xlfn.XLOOKUP(1, (prices!$A:$A=A14)*(prices!$C:$C=DATE(2023,12,31)), prices!$B:$B)</f>
        <v>110.80574162615</v>
      </c>
      <c r="D14">
        <f t="shared" si="0"/>
        <v>12638613.695620295</v>
      </c>
      <c r="E14">
        <f t="shared" si="1"/>
        <v>9.1084150326311564E-2</v>
      </c>
      <c r="F14" cm="1">
        <f t="array" ref="F14">(_xlfn.XLOOKUP(1, (prices!$A:$A=A14)*(prices!$C:$C=DATE(2024,12,31)), prices!$B:$B)/_xlfn.XLOOKUP(1, (prices!$A:$A=A14)*(prices!$C:$C=DATE(2023,12,31)), prices!$B:$B))-1</f>
        <v>0.49903557676032206</v>
      </c>
      <c r="G14" t="str">
        <f>_xlfn.XLOOKUP(A14, attributes!A:A, attributes!C:C, "N/A")</f>
        <v>SA Inc</v>
      </c>
    </row>
    <row r="15" spans="1:7">
      <c r="A15" t="str">
        <f>funds_20231231!A16</f>
        <v>ZARDF</v>
      </c>
      <c r="B15" s="2">
        <f>funds_20231231!B16</f>
        <v>3962</v>
      </c>
      <c r="C15" cm="1">
        <f t="array" ref="C15">_xlfn.XLOOKUP(1, (prices!$A:$A=A15)*(prices!$C:$C=DATE(2023,12,31)), prices!$B:$B)</f>
        <v>0.21052631578825001</v>
      </c>
      <c r="D15">
        <f t="shared" si="0"/>
        <v>834.10526315304651</v>
      </c>
      <c r="E15">
        <f t="shared" si="1"/>
        <v>6.0112422933954553E-6</v>
      </c>
      <c r="F15" cm="1">
        <f t="array" ref="F15">(_xlfn.XLOOKUP(1, (prices!$A:$A=A15)*(prices!$C:$C=DATE(2024,12,31)), prices!$B:$B)/_xlfn.XLOOKUP(1, (prices!$A:$A=A15)*(prices!$C:$C=DATE(2023,12,31)), prices!$B:$B))-1</f>
        <v>0.14533651298526973</v>
      </c>
      <c r="G15" t="str">
        <f>_xlfn.XLOOKUP(A15, attributes!A:A, attributes!C:C, "N/A")</f>
        <v>Property</v>
      </c>
    </row>
    <row r="16" spans="1:7">
      <c r="A16" t="str">
        <f>funds_20231231!A17</f>
        <v>ZADSY</v>
      </c>
      <c r="B16" s="2">
        <f>funds_20231231!B17</f>
        <v>457</v>
      </c>
      <c r="C16" cm="1">
        <f t="array" ref="C16">_xlfn.XLOOKUP(1, (prices!$A:$A=A16)*(prices!$C:$C=DATE(2023,12,31)), prices!$B:$B)</f>
        <v>7.8567327408976002</v>
      </c>
      <c r="D16">
        <f t="shared" si="0"/>
        <v>3590.5268625902031</v>
      </c>
      <c r="E16">
        <f t="shared" si="1"/>
        <v>2.5876262727782896E-5</v>
      </c>
      <c r="F16" cm="1">
        <f t="array" ref="F16">(_xlfn.XLOOKUP(1, (prices!$A:$A=A16)*(prices!$C:$C=DATE(2024,12,31)), prices!$B:$B)/_xlfn.XLOOKUP(1, (prices!$A:$A=A16)*(prices!$C:$C=DATE(2023,12,31)), prices!$B:$B))-1</f>
        <v>0.31373625095058166</v>
      </c>
      <c r="G16" t="str">
        <f>_xlfn.XLOOKUP(A16, attributes!A:A, attributes!C:C, "N/A")</f>
        <v>SA Inc</v>
      </c>
    </row>
    <row r="17" spans="1:7">
      <c r="A17" t="str">
        <f>funds_20231231!A18</f>
        <v>ZATRU</v>
      </c>
      <c r="B17" s="2">
        <f>funds_20231231!B18</f>
        <v>265779</v>
      </c>
      <c r="C17" cm="1">
        <f t="array" ref="C17">_xlfn.XLOOKUP(1, (prices!$A:$A=A17)*(prices!$C:$C=DATE(2023,12,31)), prices!$B:$B)</f>
        <v>4.0656185919107397</v>
      </c>
      <c r="D17">
        <f t="shared" si="0"/>
        <v>1080556.0437394446</v>
      </c>
      <c r="E17">
        <f t="shared" si="1"/>
        <v>7.7873674672147338E-3</v>
      </c>
      <c r="F17" cm="1">
        <f t="array" ref="F17">(_xlfn.XLOOKUP(1, (prices!$A:$A=A17)*(prices!$C:$C=DATE(2024,12,31)), prices!$B:$B)/_xlfn.XLOOKUP(1, (prices!$A:$A=A17)*(prices!$C:$C=DATE(2023,12,31)), prices!$B:$B))-1</f>
        <v>0.3505265917070457</v>
      </c>
      <c r="G17" t="str">
        <f>_xlfn.XLOOKUP(A17, attributes!A:A, attributes!C:C, "N/A")</f>
        <v>SA Inc</v>
      </c>
    </row>
    <row r="18" spans="1:7">
      <c r="A18" t="str">
        <f>funds_20231231!A19</f>
        <v>ZANTC</v>
      </c>
      <c r="B18" s="2">
        <f>funds_20231231!B19</f>
        <v>1483</v>
      </c>
      <c r="C18" cm="1">
        <f t="array" ref="C18">_xlfn.XLOOKUP(1, (prices!$A:$A=A18)*(prices!$C:$C=DATE(2023,12,31)), prices!$B:$B)</f>
        <v>0.77867395761680003</v>
      </c>
      <c r="D18">
        <f t="shared" si="0"/>
        <v>1154.7734791457144</v>
      </c>
      <c r="E18">
        <f t="shared" si="1"/>
        <v>8.3222387914107232E-6</v>
      </c>
      <c r="F18" cm="1">
        <f t="array" ref="F18">(_xlfn.XLOOKUP(1, (prices!$A:$A=A18)*(prices!$C:$C=DATE(2024,12,31)), prices!$B:$B)/_xlfn.XLOOKUP(1, (prices!$A:$A=A18)*(prices!$C:$C=DATE(2023,12,31)), prices!$B:$B))-1</f>
        <v>1.5409618145756587E-2</v>
      </c>
      <c r="G18" t="str">
        <f>_xlfn.XLOOKUP(A18, attributes!A:A, attributes!C:C, "N/A")</f>
        <v>SA Inc</v>
      </c>
    </row>
    <row r="19" spans="1:7">
      <c r="A19" t="str">
        <f>funds_20231231!A20</f>
        <v>ZASAC</v>
      </c>
      <c r="B19" s="2">
        <f>funds_20231231!B20</f>
        <v>7852</v>
      </c>
      <c r="C19" cm="1">
        <f t="array" ref="C19">_xlfn.XLOOKUP(1, (prices!$A:$A=A19)*(prices!$C:$C=DATE(2023,12,31)), prices!$B:$B)</f>
        <v>0.12686261107239999</v>
      </c>
      <c r="D19">
        <f t="shared" si="0"/>
        <v>996.12522214048477</v>
      </c>
      <c r="E19">
        <f t="shared" si="1"/>
        <v>7.1788901585555885E-6</v>
      </c>
      <c r="F19" cm="1">
        <f t="array" ref="F19">(_xlfn.XLOOKUP(1, (prices!$A:$A=A19)*(prices!$C:$C=DATE(2024,12,31)), prices!$B:$B)/_xlfn.XLOOKUP(1, (prices!$A:$A=A19)*(prices!$C:$C=DATE(2023,12,31)), prices!$B:$B))-1</f>
        <v>0.21976819618988297</v>
      </c>
      <c r="G19" t="str">
        <f>_xlfn.XLOOKUP(A19, attributes!A:A, attributes!C:C, "N/A")</f>
        <v>Property</v>
      </c>
    </row>
    <row r="20" spans="1:7">
      <c r="A20" t="str">
        <f>funds_20231231!A21</f>
        <v>ZAGRT</v>
      </c>
      <c r="B20" s="2">
        <f>funds_20231231!B21</f>
        <v>1135497</v>
      </c>
      <c r="C20" cm="1">
        <f t="array" ref="C20">_xlfn.XLOOKUP(1, (prices!$A:$A=A20)*(prices!$C:$C=DATE(2023,12,31)), prices!$B:$B)</f>
        <v>0.63868762815760005</v>
      </c>
      <c r="D20">
        <f t="shared" si="0"/>
        <v>725227.88571007038</v>
      </c>
      <c r="E20">
        <f t="shared" si="1"/>
        <v>5.2265831802217394E-3</v>
      </c>
      <c r="F20" cm="1">
        <f t="array" ref="F20">(_xlfn.XLOOKUP(1, (prices!$A:$A=A20)*(prices!$C:$C=DATE(2024,12,31)), prices!$B:$B)/_xlfn.XLOOKUP(1, (prices!$A:$A=A20)*(prices!$C:$C=DATE(2023,12,31)), prices!$B:$B))-1</f>
        <v>5.625310796448435E-2</v>
      </c>
      <c r="G20" t="str">
        <f>_xlfn.XLOOKUP(A20, attributes!A:A, attributes!C:C, "N/A")</f>
        <v>Property</v>
      </c>
    </row>
    <row r="21" spans="1:7">
      <c r="A21" t="str">
        <f>funds_20231231!A22</f>
        <v>ZAWBO</v>
      </c>
      <c r="B21" s="2">
        <f>funds_20231231!B22</f>
        <v>264</v>
      </c>
      <c r="C21" cm="1">
        <f t="array" ref="C21">_xlfn.XLOOKUP(1, (prices!$A:$A=A21)*(prices!$C:$C=DATE(2023,12,31)), prices!$B:$B)</f>
        <v>7.1119617224466998</v>
      </c>
      <c r="D21">
        <f t="shared" si="0"/>
        <v>1877.5578947259287</v>
      </c>
      <c r="E21">
        <f t="shared" si="1"/>
        <v>1.3531212334532565E-5</v>
      </c>
      <c r="F21" cm="1">
        <f t="array" ref="F21">(_xlfn.XLOOKUP(1, (prices!$A:$A=A21)*(prices!$C:$C=DATE(2024,12,31)), prices!$B:$B)/_xlfn.XLOOKUP(1, (prices!$A:$A=A21)*(prices!$C:$C=DATE(2023,12,31)), prices!$B:$B))-1</f>
        <v>0.73819132721276337</v>
      </c>
      <c r="G21" t="str">
        <f>_xlfn.XLOOKUP(A21, attributes!A:A, attributes!C:C, "N/A")</f>
        <v>SA Inc</v>
      </c>
    </row>
    <row r="22" spans="1:7">
      <c r="A22" t="str">
        <f>funds_20231231!A23</f>
        <v>ZAHYP</v>
      </c>
      <c r="B22" s="2">
        <f>funds_20231231!B23</f>
        <v>206</v>
      </c>
      <c r="C22" cm="1">
        <f t="array" ref="C22">_xlfn.XLOOKUP(1, (prices!$A:$A=A22)*(prices!$C:$C=DATE(2023,12,31)), prices!$B:$B)</f>
        <v>1.7011619958889499</v>
      </c>
      <c r="D22">
        <f t="shared" si="0"/>
        <v>350.43937115312366</v>
      </c>
      <c r="E22">
        <f t="shared" si="1"/>
        <v>2.5255517045694956E-6</v>
      </c>
      <c r="F22" cm="1">
        <f t="array" ref="F22">(_xlfn.XLOOKUP(1, (prices!$A:$A=A22)*(prices!$C:$C=DATE(2024,12,31)), prices!$B:$B)/_xlfn.XLOOKUP(1, (prices!$A:$A=A22)*(prices!$C:$C=DATE(2023,12,31)), prices!$B:$B))-1</f>
        <v>0.44762175244833569</v>
      </c>
      <c r="G22" t="str">
        <f>_xlfn.XLOOKUP(A22, attributes!A:A, attributes!C:C, "N/A")</f>
        <v>Property</v>
      </c>
    </row>
    <row r="23" spans="1:7">
      <c r="A23" t="str">
        <f>funds_20231231!A24</f>
        <v>ZAAPN</v>
      </c>
      <c r="B23" s="2">
        <f>funds_20231231!B24</f>
        <v>111141</v>
      </c>
      <c r="C23" cm="1">
        <f t="array" ref="C23">_xlfn.XLOOKUP(1, (prices!$A:$A=A23)*(prices!$C:$C=DATE(2023,12,31)), prices!$B:$B)</f>
        <v>11.1278195488075</v>
      </c>
      <c r="D23">
        <f t="shared" si="0"/>
        <v>1236756.9924740144</v>
      </c>
      <c r="E23">
        <f t="shared" si="1"/>
        <v>8.9130788021993864E-3</v>
      </c>
      <c r="F23" cm="1">
        <f t="array" ref="F23">(_xlfn.XLOOKUP(1, (prices!$A:$A=A23)*(prices!$C:$C=DATE(2024,12,31)), prices!$B:$B)/_xlfn.XLOOKUP(1, (prices!$A:$A=A23)*(prices!$C:$C=DATE(2023,12,31)), prices!$B:$B))-1</f>
        <v>-0.21493253985188465</v>
      </c>
      <c r="G23" t="str">
        <f>_xlfn.XLOOKUP(A23, attributes!A:A, attributes!C:C, "N/A")</f>
        <v>SA Inc</v>
      </c>
    </row>
    <row r="24" spans="1:7">
      <c r="A24" t="str">
        <f>funds_20231231!A25</f>
        <v>ZAHAR</v>
      </c>
      <c r="B24" s="2">
        <f>funds_20231231!B25</f>
        <v>1671142</v>
      </c>
      <c r="C24" cm="1">
        <f t="array" ref="C24">_xlfn.XLOOKUP(1, (prices!$A:$A=A24)*(prices!$C:$C=DATE(2023,12,31)), prices!$B:$B)</f>
        <v>6.53943950782255</v>
      </c>
      <c r="D24">
        <f t="shared" si="0"/>
        <v>10928332.017981593</v>
      </c>
      <c r="E24">
        <f t="shared" si="1"/>
        <v>7.8758466736475852E-2</v>
      </c>
      <c r="F24" cm="1">
        <f t="array" ref="F24">(_xlfn.XLOOKUP(1, (prices!$A:$A=A24)*(prices!$C:$C=DATE(2024,12,31)), prices!$B:$B)/_xlfn.XLOOKUP(1, (prices!$A:$A=A24)*(prices!$C:$C=DATE(2023,12,31)), prices!$B:$B))-1</f>
        <v>0.22107737561207519</v>
      </c>
      <c r="G24" t="str">
        <f>_xlfn.XLOOKUP(A24, attributes!A:A, attributes!C:C, "N/A")</f>
        <v>Resources</v>
      </c>
    </row>
    <row r="25" spans="1:7">
      <c r="A25" t="str">
        <f>funds_20231231!A26</f>
        <v>ZATFG</v>
      </c>
      <c r="B25" s="2">
        <f>funds_20231231!B26</f>
        <v>403</v>
      </c>
      <c r="C25" cm="1">
        <f t="array" ref="C25">_xlfn.XLOOKUP(1, (prices!$A:$A=A25)*(prices!$C:$C=DATE(2023,12,31)), prices!$B:$B)</f>
        <v>6.0675324674972</v>
      </c>
      <c r="D25">
        <f t="shared" si="0"/>
        <v>2445.2155844013714</v>
      </c>
      <c r="E25">
        <f t="shared" si="1"/>
        <v>1.7622216267835957E-5</v>
      </c>
      <c r="F25" cm="1">
        <f t="array" ref="F25">(_xlfn.XLOOKUP(1, (prices!$A:$A=A25)*(prices!$C:$C=DATE(2024,12,31)), prices!$B:$B)/_xlfn.XLOOKUP(1, (prices!$A:$A=A25)*(prices!$C:$C=DATE(2023,12,31)), prices!$B:$B))-1</f>
        <v>0.46732147135265567</v>
      </c>
      <c r="G25" t="str">
        <f>_xlfn.XLOOKUP(A25, attributes!A:A, attributes!C:C, "N/A")</f>
        <v>SA Inc</v>
      </c>
    </row>
    <row r="26" spans="1:7">
      <c r="A26" t="str">
        <f>funds_20231231!A27</f>
        <v>ZAKIO</v>
      </c>
      <c r="B26" s="2">
        <f>funds_20231231!B27</f>
        <v>52691</v>
      </c>
      <c r="C26" cm="1">
        <f t="array" ref="C26">_xlfn.XLOOKUP(1, (prices!$A:$A=A26)*(prices!$C:$C=DATE(2023,12,31)), prices!$B:$B)</f>
        <v>33.617498290987101</v>
      </c>
      <c r="D26">
        <f t="shared" si="0"/>
        <v>1771339.6024504013</v>
      </c>
      <c r="E26">
        <f t="shared" si="1"/>
        <v>1.2765716756138483E-2</v>
      </c>
      <c r="F26" cm="1">
        <f t="array" ref="F26">(_xlfn.XLOOKUP(1, (prices!$A:$A=A26)*(prices!$C:$C=DATE(2024,12,31)), prices!$B:$B)/_xlfn.XLOOKUP(1, (prices!$A:$A=A26)*(prices!$C:$C=DATE(2023,12,31)), prices!$B:$B))-1</f>
        <v>-0.48570390271243058</v>
      </c>
      <c r="G26" t="str">
        <f>_xlfn.XLOOKUP(A26, attributes!A:A, attributes!C:C, "N/A")</f>
        <v>Resources</v>
      </c>
    </row>
    <row r="27" spans="1:7">
      <c r="A27" t="str">
        <f>funds_20231231!A28</f>
        <v>ZAREM</v>
      </c>
      <c r="B27" s="2">
        <f>funds_20231231!B28</f>
        <v>186</v>
      </c>
      <c r="C27" cm="1">
        <f t="array" ref="C27">_xlfn.XLOOKUP(1, (prices!$A:$A=A27)*(prices!$C:$C=DATE(2023,12,31)), prices!$B:$B)</f>
        <v>8.8847573478635997</v>
      </c>
      <c r="D27">
        <f t="shared" si="0"/>
        <v>1652.5648667026296</v>
      </c>
      <c r="E27">
        <f t="shared" si="1"/>
        <v>1.1909729213013643E-5</v>
      </c>
      <c r="F27" cm="1">
        <f t="array" ref="F27">(_xlfn.XLOOKUP(1, (prices!$A:$A=A27)*(prices!$C:$C=DATE(2024,12,31)), prices!$B:$B)/_xlfn.XLOOKUP(1, (prices!$A:$A=A27)*(prices!$C:$C=DATE(2023,12,31)), prices!$B:$B))-1</f>
        <v>-7.4887974470624119E-2</v>
      </c>
      <c r="G27" t="str">
        <f>_xlfn.XLOOKUP(A27, attributes!A:A, attributes!C:C, "N/A")</f>
        <v>SA Inc</v>
      </c>
    </row>
    <row r="28" spans="1:7">
      <c r="A28" t="str">
        <f>funds_20231231!A29</f>
        <v>ZASLM</v>
      </c>
      <c r="B28" s="2">
        <f>funds_20231231!B29</f>
        <v>548476</v>
      </c>
      <c r="C28" cm="1">
        <f t="array" ref="C28">_xlfn.XLOOKUP(1, (prices!$A:$A=A28)*(prices!$C:$C=DATE(2023,12,31)), prices!$B:$B)</f>
        <v>3.9808612439959998</v>
      </c>
      <c r="D28">
        <f t="shared" si="0"/>
        <v>2183406.8516619499</v>
      </c>
      <c r="E28">
        <f t="shared" si="1"/>
        <v>1.5735409174598963E-2</v>
      </c>
      <c r="F28" cm="1">
        <f t="array" ref="F28">(_xlfn.XLOOKUP(1, (prices!$A:$A=A28)*(prices!$C:$C=DATE(2024,12,31)), prices!$B:$B)/_xlfn.XLOOKUP(1, (prices!$A:$A=A28)*(prices!$C:$C=DATE(2023,12,31)), prices!$B:$B))-1</f>
        <v>0.15656720068656238</v>
      </c>
      <c r="G28" t="str">
        <f>_xlfn.XLOOKUP(A28, attributes!A:A, attributes!C:C, "N/A")</f>
        <v>SA Inc</v>
      </c>
    </row>
    <row r="29" spans="1:7">
      <c r="A29" t="str">
        <f>funds_20231231!A30</f>
        <v>ZANPN</v>
      </c>
      <c r="B29" s="2">
        <f>funds_20231231!B30</f>
        <v>143923</v>
      </c>
      <c r="C29" cm="1">
        <f t="array" ref="C29">_xlfn.XLOOKUP(1, (prices!$A:$A=A29)*(prices!$C:$C=DATE(2023,12,31)), prices!$B:$B)</f>
        <v>171.04579630795999</v>
      </c>
      <c r="D29">
        <f t="shared" si="0"/>
        <v>24617424.142030526</v>
      </c>
      <c r="E29">
        <f t="shared" si="1"/>
        <v>0.17741322072185001</v>
      </c>
      <c r="F29" cm="1">
        <f t="array" ref="F29">(_xlfn.XLOOKUP(1, (prices!$A:$A=A29)*(prices!$C:$C=DATE(2024,12,31)), prices!$B:$B)/_xlfn.XLOOKUP(1, (prices!$A:$A=A29)*(prices!$C:$C=DATE(2023,12,31)), prices!$B:$B))-1</f>
        <v>0.29296561257929032</v>
      </c>
      <c r="G29" t="str">
        <f>_xlfn.XLOOKUP(A29, attributes!A:A, attributes!C:C, "N/A")</f>
        <v>Rand Sensitives</v>
      </c>
    </row>
    <row r="30" spans="1:7">
      <c r="A30" t="str">
        <f>funds_20231231!A31</f>
        <v>ZAMTN</v>
      </c>
      <c r="B30" s="2">
        <f>funds_20231231!B31</f>
        <v>178</v>
      </c>
      <c r="C30" cm="1">
        <f t="array" ref="C30">_xlfn.XLOOKUP(1, (prices!$A:$A=A30)*(prices!$C:$C=DATE(2023,12,31)), prices!$B:$B)</f>
        <v>6.3157894736475004</v>
      </c>
      <c r="D30">
        <f t="shared" si="0"/>
        <v>1124.2105263092551</v>
      </c>
      <c r="E30">
        <f t="shared" si="1"/>
        <v>8.101977245515329E-6</v>
      </c>
      <c r="F30" cm="1">
        <f t="array" ref="F30">(_xlfn.XLOOKUP(1, (prices!$A:$A=A30)*(prices!$C:$C=DATE(2024,12,31)), prices!$B:$B)/_xlfn.XLOOKUP(1, (prices!$A:$A=A30)*(prices!$C:$C=DATE(2023,12,31)), prices!$B:$B))-1</f>
        <v>-0.22813548842846176</v>
      </c>
      <c r="G30" t="str">
        <f>_xlfn.XLOOKUP(A30, attributes!A:A, attributes!C:C, "N/A")</f>
        <v>SA Inc</v>
      </c>
    </row>
    <row r="31" spans="1:7">
      <c r="A31" t="str">
        <f>funds_20231231!A32</f>
        <v>ZAFSR</v>
      </c>
      <c r="B31" s="2">
        <f>funds_20231231!B32</f>
        <v>2553767</v>
      </c>
      <c r="C31" cm="1">
        <f t="array" ref="C31">_xlfn.XLOOKUP(1, (prices!$A:$A=A31)*(prices!$C:$C=DATE(2023,12,31)), prices!$B:$B)</f>
        <v>4.0196855775569498</v>
      </c>
      <c r="D31">
        <f t="shared" si="0"/>
        <v>10265340.378340879</v>
      </c>
      <c r="E31">
        <f t="shared" si="1"/>
        <v>7.3980408665830888E-2</v>
      </c>
      <c r="F31" cm="1">
        <f t="array" ref="F31">(_xlfn.XLOOKUP(1, (prices!$A:$A=A31)*(prices!$C:$C=DATE(2024,12,31)), prices!$B:$B)/_xlfn.XLOOKUP(1, (prices!$A:$A=A31)*(prices!$C:$C=DATE(2023,12,31)), prices!$B:$B))-1</f>
        <v>1.4308642361289259E-3</v>
      </c>
      <c r="G31" t="str">
        <f>_xlfn.XLOOKUP(A31, attributes!A:A, attributes!C:C, "N/A")</f>
        <v>SA Inc</v>
      </c>
    </row>
    <row r="32" spans="1:7">
      <c r="A32" t="str">
        <f>funds_20231231!A33</f>
        <v>ZASPG</v>
      </c>
      <c r="B32" s="2">
        <f>funds_20231231!B33</f>
        <v>1476</v>
      </c>
      <c r="C32" cm="1">
        <f t="array" ref="C32">_xlfn.XLOOKUP(1, (prices!$A:$A=A32)*(prices!$C:$C=DATE(2023,12,31)), prices!$B:$B)</f>
        <v>1.62679425836375</v>
      </c>
      <c r="D32">
        <f t="shared" si="0"/>
        <v>2401.1483253448951</v>
      </c>
      <c r="E32">
        <f t="shared" si="1"/>
        <v>1.73046316857738E-5</v>
      </c>
      <c r="F32" cm="1">
        <f t="array" ref="F32">(_xlfn.XLOOKUP(1, (prices!$A:$A=A32)*(prices!$C:$C=DATE(2024,12,31)), prices!$B:$B)/_xlfn.XLOOKUP(1, (prices!$A:$A=A32)*(prices!$C:$C=DATE(2023,12,31)), prices!$B:$B))-1</f>
        <v>-3.9013061502986335E-2</v>
      </c>
      <c r="G32" t="str">
        <f>_xlfn.XLOOKUP(A32, attributes!A:A, attributes!C:C, "N/A")</f>
        <v>SA Inc</v>
      </c>
    </row>
    <row r="33" spans="1:7">
      <c r="A33" t="str">
        <f>funds_20231231!A34</f>
        <v>ZASHP</v>
      </c>
      <c r="B33" s="2">
        <f>funds_20231231!B34</f>
        <v>144744</v>
      </c>
      <c r="C33" cm="1">
        <f t="array" ref="C33">_xlfn.XLOOKUP(1, (prices!$A:$A=A33)*(prices!$C:$C=DATE(2023,12,31)), prices!$B:$B)</f>
        <v>15.040328092872199</v>
      </c>
      <c r="D33">
        <f t="shared" si="0"/>
        <v>2176997.2494746936</v>
      </c>
      <c r="E33">
        <f t="shared" si="1"/>
        <v>1.5689216357632159E-2</v>
      </c>
      <c r="F33" cm="1">
        <f t="array" ref="F33">(_xlfn.XLOOKUP(1, (prices!$A:$A=A33)*(prices!$C:$C=DATE(2024,12,31)), prices!$B:$B)/_xlfn.XLOOKUP(1, (prices!$A:$A=A33)*(prices!$C:$C=DATE(2023,12,31)), prices!$B:$B))-1</f>
        <v>3.766242048740609E-2</v>
      </c>
      <c r="G33" t="str">
        <f>_xlfn.XLOOKUP(A33, attributes!A:A, attributes!C:C, "N/A")</f>
        <v>SA Inc</v>
      </c>
    </row>
    <row r="34" spans="1:7">
      <c r="A34" t="str">
        <f>funds_20231231!A35</f>
        <v>ZABVT</v>
      </c>
      <c r="B34" s="2">
        <f>funds_20231231!B35</f>
        <v>144</v>
      </c>
      <c r="C34" cm="1">
        <f t="array" ref="C34">_xlfn.XLOOKUP(1, (prices!$A:$A=A34)*(prices!$C:$C=DATE(2023,12,31)), prices!$B:$B)</f>
        <v>13.795762132524001</v>
      </c>
      <c r="D34">
        <f t="shared" si="0"/>
        <v>1986.5897470834561</v>
      </c>
      <c r="E34">
        <f t="shared" si="1"/>
        <v>1.4316984719832283E-5</v>
      </c>
      <c r="F34" cm="1">
        <f t="array" ref="F34">(_xlfn.XLOOKUP(1, (prices!$A:$A=A34)*(prices!$C:$C=DATE(2024,12,31)), prices!$B:$B)/_xlfn.XLOOKUP(1, (prices!$A:$A=A34)*(prices!$C:$C=DATE(2023,12,31)), prices!$B:$B))-1</f>
        <v>1.2845309935477722E-2</v>
      </c>
      <c r="G34" t="str">
        <f>_xlfn.XLOOKUP(A34, attributes!A:A, attributes!C:C, "N/A")</f>
        <v>SA Inc</v>
      </c>
    </row>
    <row r="35" spans="1:7">
      <c r="A35" t="str">
        <f>funds_20231231!A36</f>
        <v>ZACLS</v>
      </c>
      <c r="B35" s="2">
        <f>funds_20231231!B36</f>
        <v>415527</v>
      </c>
      <c r="C35" cm="1">
        <f t="array" ref="C35">_xlfn.XLOOKUP(1, (prices!$A:$A=A35)*(prices!$C:$C=DATE(2023,12,31)), prices!$B:$B)</f>
        <v>17.810526315685902</v>
      </c>
      <c r="D35">
        <f t="shared" si="0"/>
        <v>7400754.5683780154</v>
      </c>
      <c r="E35">
        <f t="shared" si="1"/>
        <v>5.3335868780282097E-2</v>
      </c>
      <c r="F35" cm="1">
        <f t="array" ref="F35">(_xlfn.XLOOKUP(1, (prices!$A:$A=A35)*(prices!$C:$C=DATE(2024,12,31)), prices!$B:$B)/_xlfn.XLOOKUP(1, (prices!$A:$A=A35)*(prices!$C:$C=DATE(2023,12,31)), prices!$B:$B))-1</f>
        <v>0.11013704568312499</v>
      </c>
      <c r="G35" t="str">
        <f>_xlfn.XLOOKUP(A35, attributes!A:A, attributes!C:C, "N/A")</f>
        <v>SA Inc</v>
      </c>
    </row>
    <row r="36" spans="1:7">
      <c r="A36" t="str">
        <f>funds_20231231!A37</f>
        <v>ZAINL</v>
      </c>
      <c r="B36" s="2">
        <f>funds_20231231!B37</f>
        <v>518</v>
      </c>
      <c r="C36" cm="1">
        <f t="array" ref="C36">_xlfn.XLOOKUP(1, (prices!$A:$A=A36)*(prices!$C:$C=DATE(2023,12,31)), prices!$B:$B)</f>
        <v>6.8675324674925502</v>
      </c>
      <c r="D36">
        <f t="shared" si="0"/>
        <v>3557.3818181611409</v>
      </c>
      <c r="E36">
        <f t="shared" si="1"/>
        <v>2.5637392525555325E-5</v>
      </c>
      <c r="F36" cm="1">
        <f t="array" ref="F36">(_xlfn.XLOOKUP(1, (prices!$A:$A=A36)*(prices!$C:$C=DATE(2024,12,31)), prices!$B:$B)/_xlfn.XLOOKUP(1, (prices!$A:$A=A36)*(prices!$C:$C=DATE(2023,12,31)), prices!$B:$B))-1</f>
        <v>-3.5113247980020801E-2</v>
      </c>
      <c r="G36" t="str">
        <f>_xlfn.XLOOKUP(A36, attributes!A:A, attributes!C:C, "N/A")</f>
        <v>Rand Sensitives</v>
      </c>
    </row>
    <row r="37" spans="1:7">
      <c r="A37" t="str">
        <f>funds_20231231!A38</f>
        <v>ZARLO</v>
      </c>
      <c r="B37" s="2">
        <f>funds_20231231!B38</f>
        <v>563</v>
      </c>
      <c r="C37" cm="1">
        <f t="array" ref="C37">_xlfn.XLOOKUP(1, (prices!$A:$A=A37)*(prices!$C:$C=DATE(2023,12,31)), prices!$B:$B)</f>
        <v>3.2776486671032998</v>
      </c>
      <c r="D37">
        <f t="shared" si="0"/>
        <v>1845.3161995791579</v>
      </c>
      <c r="E37">
        <f t="shared" si="1"/>
        <v>1.3298852403431795E-5</v>
      </c>
      <c r="F37" cm="1">
        <f t="array" ref="F37">(_xlfn.XLOOKUP(1, (prices!$A:$A=A37)*(prices!$C:$C=DATE(2024,12,31)), prices!$B:$B)/_xlfn.XLOOKUP(1, (prices!$A:$A=A37)*(prices!$C:$C=DATE(2023,12,31)), prices!$B:$B))-1</f>
        <v>0.21262624574940014</v>
      </c>
      <c r="G37" t="str">
        <f>_xlfn.XLOOKUP(A37, attributes!A:A, attributes!C:C, "N/A")</f>
        <v>SA Inc</v>
      </c>
    </row>
    <row r="38" spans="1:7">
      <c r="A38" t="str">
        <f>funds_20231231!A39</f>
        <v>ZASAP</v>
      </c>
      <c r="B38" s="2">
        <f>funds_20231231!B39</f>
        <v>1294655</v>
      </c>
      <c r="C38" cm="1">
        <f t="array" ref="C38">_xlfn.XLOOKUP(1, (prices!$A:$A=A38)*(prices!$C:$C=DATE(2023,12,31)), prices!$B:$B)</f>
        <v>2.4169514695690002</v>
      </c>
      <c r="D38">
        <f t="shared" si="0"/>
        <v>3129118.3048348539</v>
      </c>
      <c r="E38">
        <f t="shared" si="1"/>
        <v>2.255097662848558E-2</v>
      </c>
      <c r="F38" cm="1">
        <f t="array" ref="F38">(_xlfn.XLOOKUP(1, (prices!$A:$A=A38)*(prices!$C:$C=DATE(2024,12,31)), prices!$B:$B)/_xlfn.XLOOKUP(1, (prices!$A:$A=A38)*(prices!$C:$C=DATE(2023,12,31)), prices!$B:$B))-1</f>
        <v>8.0076649714929005E-2</v>
      </c>
      <c r="G38" t="str">
        <f>_xlfn.XLOOKUP(A38, attributes!A:A, attributes!C:C, "N/A")</f>
        <v>Rand Sensitives</v>
      </c>
    </row>
    <row r="39" spans="1:7">
      <c r="A39" t="str">
        <f>funds_20231231!A40</f>
        <v>ZASBK</v>
      </c>
      <c r="B39" s="2">
        <f>funds_20231231!B40</f>
        <v>837940</v>
      </c>
      <c r="C39" cm="1">
        <f t="array" ref="C39">_xlfn.XLOOKUP(1, (prices!$A:$A=A39)*(prices!$C:$C=DATE(2023,12,31)), prices!$B:$B)</f>
        <v>11.3793574845545</v>
      </c>
      <c r="D39">
        <f t="shared" si="0"/>
        <v>9535218.8106075972</v>
      </c>
      <c r="E39">
        <f t="shared" si="1"/>
        <v>6.8718557624767279E-2</v>
      </c>
      <c r="F39" cm="1">
        <f t="array" ref="F39">(_xlfn.XLOOKUP(1, (prices!$A:$A=A39)*(prices!$C:$C=DATE(2024,12,31)), prices!$B:$B)/_xlfn.XLOOKUP(1, (prices!$A:$A=A39)*(prices!$C:$C=DATE(2023,12,31)), prices!$B:$B))-1</f>
        <v>3.2746119216254588E-2</v>
      </c>
      <c r="G39" t="str">
        <f>_xlfn.XLOOKUP(A39, attributes!A:A, attributes!C:C, "N/A")</f>
        <v>SA Inc</v>
      </c>
    </row>
    <row r="40" spans="1:7">
      <c r="A40" t="str">
        <f>funds_20231231!A41</f>
        <v>ZAAVI</v>
      </c>
      <c r="B40" s="2">
        <f>funds_20231231!B41</f>
        <v>672</v>
      </c>
      <c r="C40" cm="1">
        <f t="array" ref="C40">_xlfn.XLOOKUP(1, (prices!$A:$A=A40)*(prices!$C:$C=DATE(2023,12,31)), prices!$B:$B)</f>
        <v>4.4877648666861498</v>
      </c>
      <c r="D40">
        <f t="shared" si="0"/>
        <v>3015.7779904130925</v>
      </c>
      <c r="E40">
        <f t="shared" si="1"/>
        <v>2.1734153954302525E-5</v>
      </c>
      <c r="F40" cm="1">
        <f t="array" ref="F40">(_xlfn.XLOOKUP(1, (prices!$A:$A=A40)*(prices!$C:$C=DATE(2024,12,31)), prices!$B:$B)/_xlfn.XLOOKUP(1, (prices!$A:$A=A40)*(prices!$C:$C=DATE(2023,12,31)), prices!$B:$B))-1</f>
        <v>0.29563838023093036</v>
      </c>
      <c r="G40" t="str">
        <f>_xlfn.XLOOKUP(A40, attributes!A:A, attributes!C:C, "N/A")</f>
        <v>SA Inc</v>
      </c>
    </row>
    <row r="41" spans="1:7">
      <c r="A41" t="str">
        <f>funds_20231231!A42</f>
        <v>ZAANG</v>
      </c>
      <c r="B41" s="2">
        <f>funds_20231231!B42</f>
        <v>179363</v>
      </c>
      <c r="C41" cm="1">
        <f t="array" ref="C41">_xlfn.XLOOKUP(1, (prices!$A:$A=A41)*(prices!$C:$C=DATE(2023,12,31)), prices!$B:$B)</f>
        <v>19.3252221461624</v>
      </c>
      <c r="D41">
        <f t="shared" si="0"/>
        <v>3466229.8198021264</v>
      </c>
      <c r="E41">
        <f t="shared" si="1"/>
        <v>2.4980476939635225E-2</v>
      </c>
      <c r="F41" cm="1">
        <f t="array" ref="F41">(_xlfn.XLOOKUP(1, (prices!$A:$A=A41)*(prices!$C:$C=DATE(2024,12,31)), prices!$B:$B)/_xlfn.XLOOKUP(1, (prices!$A:$A=A41)*(prices!$C:$C=DATE(2023,12,31)), prices!$B:$B))-1</f>
        <v>0.1544781048890258</v>
      </c>
      <c r="G41" t="str">
        <f>_xlfn.XLOOKUP(A41, attributes!A:A, attributes!C:C, "N/A")</f>
        <v>Resources</v>
      </c>
    </row>
    <row r="42" spans="1:7">
      <c r="A42" t="str">
        <f>funds_20231231!A43</f>
        <v>ZATBS</v>
      </c>
      <c r="B42" s="2">
        <f>funds_20231231!B43</f>
        <v>145</v>
      </c>
      <c r="C42" cm="1">
        <f t="array" ref="C42">_xlfn.XLOOKUP(1, (prices!$A:$A=A42)*(prices!$C:$C=DATE(2023,12,31)), prices!$B:$B)</f>
        <v>11.006971975329</v>
      </c>
      <c r="D42">
        <f t="shared" si="0"/>
        <v>1596.0109364227051</v>
      </c>
      <c r="E42">
        <f t="shared" si="1"/>
        <v>1.150215550190754E-5</v>
      </c>
      <c r="F42" cm="1">
        <f t="array" ref="F42">(_xlfn.XLOOKUP(1, (prices!$A:$A=A42)*(prices!$C:$C=DATE(2024,12,31)), prices!$B:$B)/_xlfn.XLOOKUP(1, (prices!$A:$A=A42)*(prices!$C:$C=DATE(2023,12,31)), prices!$B:$B))-1</f>
        <v>0.39151578045187052</v>
      </c>
      <c r="G42" t="str">
        <f>_xlfn.XLOOKUP(A42, attributes!A:A, attributes!C:C, "N/A")</f>
        <v>SA Inc</v>
      </c>
    </row>
    <row r="43" spans="1:7">
      <c r="A43" t="str">
        <f>funds_20231231!A44</f>
        <v>ZASOL</v>
      </c>
      <c r="B43" s="2">
        <f>funds_20231231!B44</f>
        <v>41691</v>
      </c>
      <c r="C43" cm="1">
        <f t="array" ref="C43">_xlfn.XLOOKUP(1, (prices!$A:$A=A43)*(prices!$C:$C=DATE(2023,12,31)), prices!$B:$B)</f>
        <v>10.132057416208999</v>
      </c>
      <c r="D43">
        <f t="shared" si="0"/>
        <v>422415.6057391694</v>
      </c>
      <c r="E43">
        <f t="shared" si="1"/>
        <v>3.0442711091533299E-3</v>
      </c>
      <c r="F43" cm="1">
        <f t="array" ref="F43">(_xlfn.XLOOKUP(1, (prices!$A:$A=A43)*(prices!$C:$C=DATE(2024,12,31)), prices!$B:$B)/_xlfn.XLOOKUP(1, (prices!$A:$A=A43)*(prices!$C:$C=DATE(2023,12,31)), prices!$B:$B))-1</f>
        <v>-0.56446905026253114</v>
      </c>
      <c r="G43" t="str">
        <f>_xlfn.XLOOKUP(A43, attributes!A:A, attributes!C:C, "N/A")</f>
        <v>Resources</v>
      </c>
    </row>
    <row r="44" spans="1:7">
      <c r="A44" t="str">
        <f>funds_20231231!A45</f>
        <v>ZANED</v>
      </c>
      <c r="B44" s="2">
        <f>funds_20231231!B45</f>
        <v>256995</v>
      </c>
      <c r="C44" cm="1">
        <f t="array" ref="C44">_xlfn.XLOOKUP(1, (prices!$A:$A=A44)*(prices!$C:$C=DATE(2023,12,31)), prices!$B:$B)</f>
        <v>11.823923444907299</v>
      </c>
      <c r="D44">
        <f t="shared" si="0"/>
        <v>3038689.2057239516</v>
      </c>
      <c r="E44">
        <f t="shared" si="1"/>
        <v>2.1899270843685415E-2</v>
      </c>
      <c r="F44" cm="1">
        <f t="array" ref="F44">(_xlfn.XLOOKUP(1, (prices!$A:$A=A44)*(prices!$C:$C=DATE(2024,12,31)), prices!$B:$B)/_xlfn.XLOOKUP(1, (prices!$A:$A=A44)*(prices!$C:$C=DATE(2023,12,31)), prices!$B:$B))-1</f>
        <v>0.26260863247606592</v>
      </c>
      <c r="G44" t="str">
        <f>_xlfn.XLOOKUP(A44, attributes!A:A, attributes!C:C, "N/A")</f>
        <v>SA Inc</v>
      </c>
    </row>
    <row r="45" spans="1:7">
      <c r="A45" t="str">
        <f>funds_20231231!A46</f>
        <v>ZAIMP</v>
      </c>
      <c r="B45" s="2">
        <f>funds_20231231!B46</f>
        <v>314</v>
      </c>
      <c r="C45" cm="1">
        <f t="array" ref="C45">_xlfn.XLOOKUP(1, (prices!$A:$A=A45)*(prices!$C:$C=DATE(2023,12,31)), prices!$B:$B)</f>
        <v>4.9908407381801503</v>
      </c>
      <c r="D45">
        <f t="shared" si="0"/>
        <v>1567.1239917885671</v>
      </c>
      <c r="E45">
        <f t="shared" si="1"/>
        <v>1.1293972637007139E-5</v>
      </c>
      <c r="F45" cm="1">
        <f t="array" ref="F45">(_xlfn.XLOOKUP(1, (prices!$A:$A=A45)*(prices!$C:$C=DATE(2024,12,31)), prices!$B:$B)/_xlfn.XLOOKUP(1, (prices!$A:$A=A45)*(prices!$C:$C=DATE(2023,12,31)), prices!$B:$B))-1</f>
        <v>-6.8245468509299023E-2</v>
      </c>
      <c r="G45" t="str">
        <f>_xlfn.XLOOKUP(A45, attributes!A:A, attributes!C:C, "N/A")</f>
        <v>Resources</v>
      </c>
    </row>
    <row r="46" spans="1:7">
      <c r="A46" t="str">
        <f>funds_20231231!A47</f>
        <v>ZAGFI</v>
      </c>
      <c r="B46" s="2">
        <f>funds_20231231!B47</f>
        <v>1647001</v>
      </c>
      <c r="C46" cm="1">
        <f t="array" ref="C46">_xlfn.XLOOKUP(1, (prices!$A:$A=A46)*(prices!$C:$C=DATE(2023,12,31)), prices!$B:$B)</f>
        <v>15.1896103895221</v>
      </c>
      <c r="D46">
        <f t="shared" si="0"/>
        <v>25017303.501153287</v>
      </c>
      <c r="E46">
        <f t="shared" si="1"/>
        <v>0.18029507727161925</v>
      </c>
      <c r="F46" cm="1">
        <f t="array" ref="F46">(_xlfn.XLOOKUP(1, (prices!$A:$A=A46)*(prices!$C:$C=DATE(2024,12,31)), prices!$B:$B)/_xlfn.XLOOKUP(1, (prices!$A:$A=A46)*(prices!$C:$C=DATE(2023,12,31)), prices!$B:$B))-1</f>
        <v>-0.13790681725292786</v>
      </c>
      <c r="G46" t="str">
        <f>_xlfn.XLOOKUP(A46, attributes!A:A, attributes!C:C, "N/A")</f>
        <v>Resources</v>
      </c>
    </row>
    <row r="47" spans="1:7">
      <c r="A47" t="str">
        <f>funds_20231231!A48</f>
        <v>ZAARI</v>
      </c>
      <c r="B47" s="2">
        <f>funds_20231231!B48</f>
        <v>86807</v>
      </c>
      <c r="C47" cm="1">
        <f t="array" ref="C47">_xlfn.XLOOKUP(1, (prices!$A:$A=A47)*(prices!$C:$C=DATE(2023,12,31)), prices!$B:$B)</f>
        <v>10.936431989000001</v>
      </c>
      <c r="D47">
        <f t="shared" si="0"/>
        <v>949358.85166912305</v>
      </c>
      <c r="E47">
        <f t="shared" si="1"/>
        <v>6.8418535799547563E-3</v>
      </c>
      <c r="F47" cm="1">
        <f t="array" ref="F47">(_xlfn.XLOOKUP(1, (prices!$A:$A=A47)*(prices!$C:$C=DATE(2024,12,31)), prices!$B:$B)/_xlfn.XLOOKUP(1, (prices!$A:$A=A47)*(prices!$C:$C=DATE(2023,12,31)), prices!$B:$B))-1</f>
        <v>-0.27126202305138492</v>
      </c>
      <c r="G47" t="str">
        <f>_xlfn.XLOOKUP(A47, attributes!A:A, attributes!C:C, "N/A")</f>
        <v>Resources</v>
      </c>
    </row>
    <row r="49" spans="3:4">
      <c r="C49" t="s">
        <v>181</v>
      </c>
      <c r="D49">
        <f>SUM(D2:D47)</f>
        <v>138757551.67438135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079CC-22FE-49C6-93EF-DE9563C4D330}">
  <dimension ref="A1:N47"/>
  <sheetViews>
    <sheetView workbookViewId="0">
      <selection activeCell="R5" sqref="R5"/>
    </sheetView>
  </sheetViews>
  <sheetFormatPr defaultRowHeight="15"/>
  <cols>
    <col min="1" max="1" width="7.85546875" bestFit="1" customWidth="1"/>
    <col min="2" max="14" width="10.85546875" bestFit="1" customWidth="1"/>
  </cols>
  <sheetData>
    <row r="1" spans="1:14" ht="43.5" customHeight="1">
      <c r="A1" s="10" t="s">
        <v>0</v>
      </c>
      <c r="B1" s="11">
        <v>45292</v>
      </c>
      <c r="C1" s="11">
        <v>45323</v>
      </c>
      <c r="D1" s="11">
        <v>45352</v>
      </c>
      <c r="E1" s="11">
        <v>45383</v>
      </c>
      <c r="F1" s="11">
        <v>45413</v>
      </c>
      <c r="G1" s="11">
        <v>45444</v>
      </c>
      <c r="H1" s="11">
        <v>45474</v>
      </c>
      <c r="I1" s="11">
        <v>45505</v>
      </c>
      <c r="J1" s="11">
        <v>45536</v>
      </c>
      <c r="K1" s="11">
        <v>45566</v>
      </c>
      <c r="L1" s="11">
        <v>45597</v>
      </c>
      <c r="M1" s="11">
        <v>45627</v>
      </c>
      <c r="N1" s="1"/>
    </row>
    <row r="2" spans="1:14">
      <c r="A2" t="str">
        <f>funds_20231231!A3</f>
        <v>ZAMNP</v>
      </c>
      <c r="B2" cm="1">
        <f t="array" ref="B2">(_xlfn.XLOOKUP(1, (prices!$A:$A=$A2)*(prices!$C:$C=DATEVALUE("2024-01-31")), prices!$B:$B)/_xlfn.XLOOKUP(1, (prices!$A:$A=$A2)*(prices!$C:$C=DATE(2023,12,31)), prices!$B:$B))-1</f>
        <v>-8.7595085188935107E-2</v>
      </c>
      <c r="C2" cm="1">
        <f t="array" ref="C2">(_xlfn.XLOOKUP(1, (prices!$A:$A=$A2)*(prices!$C:$C=DATEVALUE("2024-02-29")), prices!$B:$B)/_xlfn.XLOOKUP(1, (prices!$A:$A=$A2)*(prices!$C:$C=DATEVALUE("2024-01-31")), prices!$B:$B))-1</f>
        <v>-1.6966844058109221E-2</v>
      </c>
      <c r="D2" cm="1">
        <f t="array" ref="D2">(_xlfn.XLOOKUP(1, (prices!$A:$A=$A2)*(prices!$C:$C=DATEVALUE("2024-03-31")), prices!$B:$B)/_xlfn.XLOOKUP(1, (prices!$A:$A=$A2)*(prices!$C:$C=DATEVALUE("2024-02-29")), prices!$B:$B))-1</f>
        <v>-9.5321454324510668E-3</v>
      </c>
      <c r="E2" cm="1">
        <f t="array" ref="E2">(_xlfn.XLOOKUP(1, (prices!$A:$A=$A2)*(prices!$C:$C=DATEVALUE("2024-04-30")), prices!$B:$B)/_xlfn.XLOOKUP(1, (prices!$A:$A=$A2)*(prices!$C:$C=DATEVALUE("2024-03-31")), prices!$B:$B))-1</f>
        <v>8.250579036801664E-2</v>
      </c>
      <c r="F2" cm="1">
        <f t="array" ref="F2">(_xlfn.XLOOKUP(1, (prices!$A:$A=$A2)*(prices!$C:$C=DATEVALUE("2024-05-31")), prices!$B:$B)/_xlfn.XLOOKUP(1, (prices!$A:$A=$A2)*(prices!$C:$C=DATEVALUE("2024-04-30")), prices!$B:$B))-1</f>
        <v>3.3599780235238574E-2</v>
      </c>
      <c r="G2" cm="1">
        <f t="array" ref="G2">(_xlfn.XLOOKUP(1, (prices!$A:$A=$A2)*(prices!$C:$C=DATEVALUE("2024-06-30")), prices!$B:$B)/_xlfn.XLOOKUP(1, (prices!$A:$A=$A2)*(prices!$C:$C=DATEVALUE("2024-05-31")), prices!$B:$B))-1</f>
        <v>-2.2963472058508794E-2</v>
      </c>
      <c r="H2" cm="1">
        <f t="array" ref="H2">(_xlfn.XLOOKUP(1, (prices!$A:$A=$A2)*(prices!$C:$C=DATEVALUE("2024-07-31")), prices!$B:$B)/_xlfn.XLOOKUP(1, (prices!$A:$A=$A2)*(prices!$C:$C=DATEVALUE("2024-06-30")), prices!$B:$B))-1</f>
        <v>1.8978561120026383E-2</v>
      </c>
      <c r="I2" cm="1">
        <f t="array" ref="I2">(_xlfn.XLOOKUP(1, (prices!$A:$A=$A2)*(prices!$C:$C=DATEVALUE("2024-08-31")), prices!$B:$B)/_xlfn.XLOOKUP(1, (prices!$A:$A=$A2)*(prices!$C:$C=DATEVALUE("2024-07-31")), prices!$B:$B))-1</f>
        <v>-1.1213298832581486E-2</v>
      </c>
      <c r="J2" cm="1">
        <f t="array" ref="J2">(_xlfn.XLOOKUP(1, (prices!$A:$A=$A2)*(prices!$C:$C=DATEVALUE("2024-09-30")), prices!$B:$B)/_xlfn.XLOOKUP(1, (prices!$A:$A=$A2)*(prices!$C:$C=DATEVALUE("2024-08-31")), prices!$B:$B))-1</f>
        <v>-2.3518380052028776E-2</v>
      </c>
      <c r="K2" cm="1">
        <f t="array" ref="K2">(_xlfn.XLOOKUP(1, (prices!$A:$A=$A2)*(prices!$C:$C=DATEVALUE("2024-10-31")), prices!$B:$B)/_xlfn.XLOOKUP(1, (prices!$A:$A=$A2)*(prices!$C:$C=DATEVALUE("2024-09-30")), prices!$B:$B))-1</f>
        <v>-0.15354785524908277</v>
      </c>
      <c r="L2" cm="1">
        <f t="array" ref="L2">(_xlfn.XLOOKUP(1, (prices!$A:$A=$A2)*(prices!$C:$C=DATEVALUE("2024-11-30")), prices!$B:$B)/_xlfn.XLOOKUP(1, (prices!$A:$A=$A2)*(prices!$C:$C=DATEVALUE("2024-10-31")), prices!$B:$B))-1</f>
        <v>-6.2728304959947856E-2</v>
      </c>
      <c r="M2" cm="1">
        <f t="array" ref="M2">(_xlfn.XLOOKUP(1, (prices!$A:$A=$A2)*(prices!$C:$C=DATEVALUE("2024-12-31")), prices!$B:$B)/_xlfn.XLOOKUP(1, (prices!$A:$A=$A2)*(prices!$C:$C=DATEVALUE("2024-11-30")), prices!$B:$B))-1</f>
        <v>-2.2651279064450303E-2</v>
      </c>
    </row>
    <row r="3" spans="1:14">
      <c r="A3" t="str">
        <f>funds_20231231!A4</f>
        <v>ZABTI</v>
      </c>
      <c r="B3" cm="1">
        <f t="array" ref="B3">(_xlfn.XLOOKUP(1, (prices!$A:$A=$A3)*(prices!$C:$C=DATEVALUE("2024-01-31")), prices!$B:$B)/_xlfn.XLOOKUP(1, (prices!$A:$A=$A3)*(prices!$C:$C=DATE(2023,12,31)), prices!$B:$B))-1</f>
        <v>1.275333086129038E-2</v>
      </c>
      <c r="C3" cm="1">
        <f t="array" ref="C3">(_xlfn.XLOOKUP(1, (prices!$A:$A=$A3)*(prices!$C:$C=DATEVALUE("2024-02-29")), prices!$B:$B)/_xlfn.XLOOKUP(1, (prices!$A:$A=$A3)*(prices!$C:$C=DATEVALUE("2024-01-31")), prices!$B:$B))-1</f>
        <v>-1.5701835312360579E-3</v>
      </c>
      <c r="D3" cm="1">
        <f t="array" ref="D3">(_xlfn.XLOOKUP(1, (prices!$A:$A=$A3)*(prices!$C:$C=DATEVALUE("2024-03-31")), prices!$B:$B)/_xlfn.XLOOKUP(1, (prices!$A:$A=$A3)*(prices!$C:$C=DATEVALUE("2024-02-29")), prices!$B:$B))-1</f>
        <v>1.7902796025680123E-2</v>
      </c>
      <c r="E3" cm="1">
        <f t="array" ref="E3">(_xlfn.XLOOKUP(1, (prices!$A:$A=$A3)*(prices!$C:$C=DATEVALUE("2024-04-30")), prices!$B:$B)/_xlfn.XLOOKUP(1, (prices!$A:$A=$A3)*(prices!$C:$C=DATEVALUE("2024-03-31")), prices!$B:$B))-1</f>
        <v>-3.495074157546052E-2</v>
      </c>
      <c r="F3" cm="1">
        <f t="array" ref="F3">(_xlfn.XLOOKUP(1, (prices!$A:$A=$A3)*(prices!$C:$C=DATEVALUE("2024-05-31")), prices!$B:$B)/_xlfn.XLOOKUP(1, (prices!$A:$A=$A3)*(prices!$C:$C=DATEVALUE("2024-04-30")), prices!$B:$B))-1</f>
        <v>4.5578765413768485E-2</v>
      </c>
      <c r="G3" cm="1">
        <f t="array" ref="G3">(_xlfn.XLOOKUP(1, (prices!$A:$A=$A3)*(prices!$C:$C=DATEVALUE("2024-06-30")), prices!$B:$B)/_xlfn.XLOOKUP(1, (prices!$A:$A=$A3)*(prices!$C:$C=DATEVALUE("2024-05-31")), prices!$B:$B))-1</f>
        <v>2.3553469174930619E-4</v>
      </c>
      <c r="H3" cm="1">
        <f t="array" ref="H3">(_xlfn.XLOOKUP(1, (prices!$A:$A=$A3)*(prices!$C:$C=DATEVALUE("2024-07-31")), prices!$B:$B)/_xlfn.XLOOKUP(1, (prices!$A:$A=$A3)*(prices!$C:$C=DATEVALUE("2024-06-30")), prices!$B:$B))-1</f>
        <v>0.14367361149308167</v>
      </c>
      <c r="I3" cm="1">
        <f t="array" ref="I3">(_xlfn.XLOOKUP(1, (prices!$A:$A=$A3)*(prices!$C:$C=DATEVALUE("2024-08-31")), prices!$B:$B)/_xlfn.XLOOKUP(1, (prices!$A:$A=$A3)*(prices!$C:$C=DATEVALUE("2024-07-31")), prices!$B:$B))-1</f>
        <v>5.6814513045378989E-2</v>
      </c>
      <c r="J3" cm="1">
        <f t="array" ref="J3">(_xlfn.XLOOKUP(1, (prices!$A:$A=$A3)*(prices!$C:$C=DATEVALUE("2024-09-30")), prices!$B:$B)/_xlfn.XLOOKUP(1, (prices!$A:$A=$A3)*(prices!$C:$C=DATEVALUE("2024-08-31")), prices!$B:$B))-1</f>
        <v>-1.6770390726615347E-2</v>
      </c>
      <c r="K3" cm="1">
        <f t="array" ref="K3">(_xlfn.XLOOKUP(1, (prices!$A:$A=$A3)*(prices!$C:$C=DATEVALUE("2024-10-31")), prices!$B:$B)/_xlfn.XLOOKUP(1, (prices!$A:$A=$A3)*(prices!$C:$C=DATEVALUE("2024-09-30")), prices!$B:$B))-1</f>
        <v>-5.6086826926087241E-2</v>
      </c>
      <c r="L3" cm="1">
        <f t="array" ref="L3">(_xlfn.XLOOKUP(1, (prices!$A:$A=$A3)*(prices!$C:$C=DATEVALUE("2024-11-30")), prices!$B:$B)/_xlfn.XLOOKUP(1, (prices!$A:$A=$A3)*(prices!$C:$C=DATEVALUE("2024-10-31")), prices!$B:$B))-1</f>
        <v>9.5974171975051537E-2</v>
      </c>
      <c r="M3" cm="1">
        <f t="array" ref="M3">(_xlfn.XLOOKUP(1, (prices!$A:$A=$A3)*(prices!$C:$C=DATEVALUE("2024-12-31")), prices!$B:$B)/_xlfn.XLOOKUP(1, (prices!$A:$A=$A3)*(prices!$C:$C=DATEVALUE("2024-11-30")), prices!$B:$B))-1</f>
        <v>-5.1877473274432595E-2</v>
      </c>
    </row>
    <row r="4" spans="1:14">
      <c r="A4" t="str">
        <f>funds_20231231!A5</f>
        <v>ZAINP</v>
      </c>
      <c r="B4" cm="1">
        <f t="array" ref="B4">(_xlfn.XLOOKUP(1, (prices!$A:$A=$A4)*(prices!$C:$C=DATEVALUE("2024-01-31")), prices!$B:$B)/_xlfn.XLOOKUP(1, (prices!$A:$A=$A4)*(prices!$C:$C=DATE(2023,12,31)), prices!$B:$B))-1</f>
        <v>-3.2895047693660917E-2</v>
      </c>
      <c r="C4" cm="1">
        <f t="array" ref="C4">(_xlfn.XLOOKUP(1, (prices!$A:$A=$A4)*(prices!$C:$C=DATEVALUE("2024-02-29")), prices!$B:$B)/_xlfn.XLOOKUP(1, (prices!$A:$A=$A4)*(prices!$C:$C=DATEVALUE("2024-01-31")), prices!$B:$B))-1</f>
        <v>-6.3207932978844417E-2</v>
      </c>
      <c r="D4" cm="1">
        <f t="array" ref="D4">(_xlfn.XLOOKUP(1, (prices!$A:$A=$A4)*(prices!$C:$C=DATEVALUE("2024-03-31")), prices!$B:$B)/_xlfn.XLOOKUP(1, (prices!$A:$A=$A4)*(prices!$C:$C=DATEVALUE("2024-02-29")), prices!$B:$B))-1</f>
        <v>6.8759407044295395E-2</v>
      </c>
      <c r="E4" cm="1">
        <f t="array" ref="E4">(_xlfn.XLOOKUP(1, (prices!$A:$A=$A4)*(prices!$C:$C=DATEVALUE("2024-04-30")), prices!$B:$B)/_xlfn.XLOOKUP(1, (prices!$A:$A=$A4)*(prices!$C:$C=DATEVALUE("2024-03-31")), prices!$B:$B))-1</f>
        <v>-3.9002974515806366E-2</v>
      </c>
      <c r="F4" cm="1">
        <f t="array" ref="F4">(_xlfn.XLOOKUP(1, (prices!$A:$A=$A4)*(prices!$C:$C=DATEVALUE("2024-05-31")), prices!$B:$B)/_xlfn.XLOOKUP(1, (prices!$A:$A=$A4)*(prices!$C:$C=DATEVALUE("2024-04-30")), prices!$B:$B))-1</f>
        <v>2.0323846756282515E-2</v>
      </c>
      <c r="G4" cm="1">
        <f t="array" ref="G4">(_xlfn.XLOOKUP(1, (prices!$A:$A=$A4)*(prices!$C:$C=DATEVALUE("2024-06-30")), prices!$B:$B)/_xlfn.XLOOKUP(1, (prices!$A:$A=$A4)*(prices!$C:$C=DATEVALUE("2024-05-31")), prices!$B:$B))-1</f>
        <v>0.10804754525365468</v>
      </c>
      <c r="H4" cm="1">
        <f t="array" ref="H4">(_xlfn.XLOOKUP(1, (prices!$A:$A=$A4)*(prices!$C:$C=DATEVALUE("2024-07-31")), prices!$B:$B)/_xlfn.XLOOKUP(1, (prices!$A:$A=$A4)*(prices!$C:$C=DATEVALUE("2024-06-30")), prices!$B:$B))-1</f>
        <v>8.7162013539972882E-2</v>
      </c>
      <c r="I4" cm="1">
        <f t="array" ref="I4">(_xlfn.XLOOKUP(1, (prices!$A:$A=$A4)*(prices!$C:$C=DATEVALUE("2024-08-31")), prices!$B:$B)/_xlfn.XLOOKUP(1, (prices!$A:$A=$A4)*(prices!$C:$C=DATEVALUE("2024-07-31")), prices!$B:$B))-1</f>
        <v>-3.1202017309854835E-2</v>
      </c>
      <c r="J4" cm="1">
        <f t="array" ref="J4">(_xlfn.XLOOKUP(1, (prices!$A:$A=$A4)*(prices!$C:$C=DATEVALUE("2024-09-30")), prices!$B:$B)/_xlfn.XLOOKUP(1, (prices!$A:$A=$A4)*(prices!$C:$C=DATEVALUE("2024-08-31")), prices!$B:$B))-1</f>
        <v>-3.8231560965779066E-3</v>
      </c>
      <c r="K4" cm="1">
        <f t="array" ref="K4">(_xlfn.XLOOKUP(1, (prices!$A:$A=$A4)*(prices!$C:$C=DATEVALUE("2024-10-31")), prices!$B:$B)/_xlfn.XLOOKUP(1, (prices!$A:$A=$A4)*(prices!$C:$C=DATEVALUE("2024-09-30")), prices!$B:$B))-1</f>
        <v>1.9926384237709316E-2</v>
      </c>
      <c r="L4" cm="1">
        <f t="array" ref="L4">(_xlfn.XLOOKUP(1, (prices!$A:$A=$A4)*(prices!$C:$C=DATEVALUE("2024-11-30")), prices!$B:$B)/_xlfn.XLOOKUP(1, (prices!$A:$A=$A4)*(prices!$C:$C=DATEVALUE("2024-10-31")), prices!$B:$B))-1</f>
        <v>-7.2866646927795098E-2</v>
      </c>
      <c r="M4" cm="1">
        <f t="array" ref="M4">(_xlfn.XLOOKUP(1, (prices!$A:$A=$A4)*(prices!$C:$C=DATEVALUE("2024-12-31")), prices!$B:$B)/_xlfn.XLOOKUP(1, (prices!$A:$A=$A4)*(prices!$C:$C=DATEVALUE("2024-11-30")), prices!$B:$B))-1</f>
        <v>-6.5948817068043675E-2</v>
      </c>
    </row>
    <row r="5" spans="1:14">
      <c r="A5" t="str">
        <f>funds_20231231!A6</f>
        <v>ZACFR</v>
      </c>
      <c r="B5" cm="1">
        <f t="array" ref="B5">(_xlfn.XLOOKUP(1, (prices!$A:$A=$A5)*(prices!$C:$C=DATEVALUE("2024-01-31")), prices!$B:$B)/_xlfn.XLOOKUP(1, (prices!$A:$A=$A5)*(prices!$C:$C=DATE(2023,12,31)), prices!$B:$B))-1</f>
        <v>7.8309244527809074E-2</v>
      </c>
      <c r="C5" cm="1">
        <f t="array" ref="C5">(_xlfn.XLOOKUP(1, (prices!$A:$A=$A5)*(prices!$C:$C=DATEVALUE("2024-02-29")), prices!$B:$B)/_xlfn.XLOOKUP(1, (prices!$A:$A=$A5)*(prices!$C:$C=DATEVALUE("2024-01-31")), prices!$B:$B))-1</f>
        <v>5.6168030266275482E-2</v>
      </c>
      <c r="D5" cm="1">
        <f t="array" ref="D5">(_xlfn.XLOOKUP(1, (prices!$A:$A=$A5)*(prices!$C:$C=DATEVALUE("2024-03-31")), prices!$B:$B)/_xlfn.XLOOKUP(1, (prices!$A:$A=$A5)*(prices!$C:$C=DATEVALUE("2024-02-29")), prices!$B:$B))-1</f>
        <v>-4.6393003634452423E-2</v>
      </c>
      <c r="E5" cm="1">
        <f t="array" ref="E5">(_xlfn.XLOOKUP(1, (prices!$A:$A=$A5)*(prices!$C:$C=DATEVALUE("2024-04-30")), prices!$B:$B)/_xlfn.XLOOKUP(1, (prices!$A:$A=$A5)*(prices!$C:$C=DATEVALUE("2024-03-31")), prices!$B:$B))-1</f>
        <v>-7.8075082143214569E-2</v>
      </c>
      <c r="F5" cm="1">
        <f t="array" ref="F5">(_xlfn.XLOOKUP(1, (prices!$A:$A=$A5)*(prices!$C:$C=DATEVALUE("2024-05-31")), prices!$B:$B)/_xlfn.XLOOKUP(1, (prices!$A:$A=$A5)*(prices!$C:$C=DATEVALUE("2024-04-30")), prices!$B:$B))-1</f>
        <v>0.12724245897639341</v>
      </c>
      <c r="G5" cm="1">
        <f t="array" ref="G5">(_xlfn.XLOOKUP(1, (prices!$A:$A=$A5)*(prices!$C:$C=DATEVALUE("2024-06-30")), prices!$B:$B)/_xlfn.XLOOKUP(1, (prices!$A:$A=$A5)*(prices!$C:$C=DATEVALUE("2024-05-31")), prices!$B:$B))-1</f>
        <v>-1.508554810226137E-2</v>
      </c>
      <c r="H5" cm="1">
        <f t="array" ref="H5">(_xlfn.XLOOKUP(1, (prices!$A:$A=$A5)*(prices!$C:$C=DATEVALUE("2024-07-31")), prices!$B:$B)/_xlfn.XLOOKUP(1, (prices!$A:$A=$A5)*(prices!$C:$C=DATEVALUE("2024-06-30")), prices!$B:$B))-1</f>
        <v>-2.4989480285793175E-2</v>
      </c>
      <c r="I5" cm="1">
        <f t="array" ref="I5">(_xlfn.XLOOKUP(1, (prices!$A:$A=$A5)*(prices!$C:$C=DATEVALUE("2024-08-31")), prices!$B:$B)/_xlfn.XLOOKUP(1, (prices!$A:$A=$A5)*(prices!$C:$C=DATEVALUE("2024-07-31")), prices!$B:$B))-1</f>
        <v>3.5448259410154614E-2</v>
      </c>
      <c r="J5" cm="1">
        <f t="array" ref="J5">(_xlfn.XLOOKUP(1, (prices!$A:$A=$A5)*(prices!$C:$C=DATEVALUE("2024-09-30")), prices!$B:$B)/_xlfn.XLOOKUP(1, (prices!$A:$A=$A5)*(prices!$C:$C=DATEVALUE("2024-08-31")), prices!$B:$B))-1</f>
        <v>7.2292475792086197E-3</v>
      </c>
      <c r="K5" cm="1">
        <f t="array" ref="K5">(_xlfn.XLOOKUP(1, (prices!$A:$A=$A5)*(prices!$C:$C=DATEVALUE("2024-10-31")), prices!$B:$B)/_xlfn.XLOOKUP(1, (prices!$A:$A=$A5)*(prices!$C:$C=DATEVALUE("2024-09-30")), prices!$B:$B))-1</f>
        <v>-9.3120521558551883E-2</v>
      </c>
      <c r="L5" cm="1">
        <f t="array" ref="L5">(_xlfn.XLOOKUP(1, (prices!$A:$A=$A5)*(prices!$C:$C=DATEVALUE("2024-11-30")), prices!$B:$B)/_xlfn.XLOOKUP(1, (prices!$A:$A=$A5)*(prices!$C:$C=DATEVALUE("2024-10-31")), prices!$B:$B))-1</f>
        <v>-4.227968844726615E-2</v>
      </c>
      <c r="M5" cm="1">
        <f t="array" ref="M5">(_xlfn.XLOOKUP(1, (prices!$A:$A=$A5)*(prices!$C:$C=DATEVALUE("2024-12-31")), prices!$B:$B)/_xlfn.XLOOKUP(1, (prices!$A:$A=$A5)*(prices!$C:$C=DATEVALUE("2024-11-30")), prices!$B:$B))-1</f>
        <v>6.7199753253144312E-2</v>
      </c>
    </row>
    <row r="6" spans="1:14">
      <c r="A6" t="str">
        <f>funds_20231231!A7</f>
        <v>ZAATT</v>
      </c>
      <c r="B6" cm="1">
        <f t="array" ref="B6">(_xlfn.XLOOKUP(1, (prices!$A:$A=$A6)*(prices!$C:$C=DATEVALUE("2024-01-31")), prices!$B:$B)/_xlfn.XLOOKUP(1, (prices!$A:$A=$A6)*(prices!$C:$C=DATE(2023,12,31)), prices!$B:$B))-1</f>
        <v>6.2182152240355615E-2</v>
      </c>
      <c r="C6" cm="1">
        <f t="array" ref="C6">(_xlfn.XLOOKUP(1, (prices!$A:$A=$A6)*(prices!$C:$C=DATEVALUE("2024-02-29")), prices!$B:$B)/_xlfn.XLOOKUP(1, (prices!$A:$A=$A6)*(prices!$C:$C=DATEVALUE("2024-01-31")), prices!$B:$B))-1</f>
        <v>-6.5536924539616126E-2</v>
      </c>
      <c r="D6" cm="1">
        <f t="array" ref="D6">(_xlfn.XLOOKUP(1, (prices!$A:$A=$A6)*(prices!$C:$C=DATEVALUE("2024-03-31")), prices!$B:$B)/_xlfn.XLOOKUP(1, (prices!$A:$A=$A6)*(prices!$C:$C=DATEVALUE("2024-02-29")), prices!$B:$B))-1</f>
        <v>0.12598528230714723</v>
      </c>
      <c r="E6" cm="1">
        <f t="array" ref="E6">(_xlfn.XLOOKUP(1, (prices!$A:$A=$A6)*(prices!$C:$C=DATEVALUE("2024-04-30")), prices!$B:$B)/_xlfn.XLOOKUP(1, (prices!$A:$A=$A6)*(prices!$C:$C=DATEVALUE("2024-03-31")), prices!$B:$B))-1</f>
        <v>-4.8365187154343015E-2</v>
      </c>
      <c r="F6" cm="1">
        <f t="array" ref="F6">(_xlfn.XLOOKUP(1, (prices!$A:$A=$A6)*(prices!$C:$C=DATEVALUE("2024-05-31")), prices!$B:$B)/_xlfn.XLOOKUP(1, (prices!$A:$A=$A6)*(prices!$C:$C=DATEVALUE("2024-04-30")), prices!$B:$B))-1</f>
        <v>-1.145345377460083E-2</v>
      </c>
      <c r="G6" cm="1">
        <f t="array" ref="G6">(_xlfn.XLOOKUP(1, (prices!$A:$A=$A6)*(prices!$C:$C=DATEVALUE("2024-06-30")), prices!$B:$B)/_xlfn.XLOOKUP(1, (prices!$A:$A=$A6)*(prices!$C:$C=DATEVALUE("2024-05-31")), prices!$B:$B))-1</f>
        <v>0.12096248904727425</v>
      </c>
      <c r="H6" cm="1">
        <f t="array" ref="H6">(_xlfn.XLOOKUP(1, (prices!$A:$A=$A6)*(prices!$C:$C=DATEVALUE("2024-07-31")), prices!$B:$B)/_xlfn.XLOOKUP(1, (prices!$A:$A=$A6)*(prices!$C:$C=DATEVALUE("2024-06-30")), prices!$B:$B))-1</f>
        <v>1.1180427110584423E-2</v>
      </c>
      <c r="I6" cm="1">
        <f t="array" ref="I6">(_xlfn.XLOOKUP(1, (prices!$A:$A=$A6)*(prices!$C:$C=DATEVALUE("2024-08-31")), prices!$B:$B)/_xlfn.XLOOKUP(1, (prices!$A:$A=$A6)*(prices!$C:$C=DATEVALUE("2024-07-31")), prices!$B:$B))-1</f>
        <v>7.9876730209767377E-2</v>
      </c>
      <c r="J6" cm="1">
        <f t="array" ref="J6">(_xlfn.XLOOKUP(1, (prices!$A:$A=$A6)*(prices!$C:$C=DATEVALUE("2024-09-30")), prices!$B:$B)/_xlfn.XLOOKUP(1, (prices!$A:$A=$A6)*(prices!$C:$C=DATEVALUE("2024-08-31")), prices!$B:$B))-1</f>
        <v>0.16179381860976316</v>
      </c>
      <c r="K6" cm="1">
        <f t="array" ref="K6">(_xlfn.XLOOKUP(1, (prices!$A:$A=$A6)*(prices!$C:$C=DATEVALUE("2024-10-31")), prices!$B:$B)/_xlfn.XLOOKUP(1, (prices!$A:$A=$A6)*(prices!$C:$C=DATEVALUE("2024-09-30")), prices!$B:$B))-1</f>
        <v>-1.5556693451521886E-2</v>
      </c>
      <c r="L6" cm="1">
        <f t="array" ref="L6">(_xlfn.XLOOKUP(1, (prices!$A:$A=$A6)*(prices!$C:$C=DATEVALUE("2024-11-30")), prices!$B:$B)/_xlfn.XLOOKUP(1, (prices!$A:$A=$A6)*(prices!$C:$C=DATEVALUE("2024-10-31")), prices!$B:$B))-1</f>
        <v>-1.7514190085976655E-2</v>
      </c>
      <c r="M6" cm="1">
        <f t="array" ref="M6">(_xlfn.XLOOKUP(1, (prices!$A:$A=$A6)*(prices!$C:$C=DATEVALUE("2024-12-31")), prices!$B:$B)/_xlfn.XLOOKUP(1, (prices!$A:$A=$A6)*(prices!$C:$C=DATEVALUE("2024-11-30")), prices!$B:$B))-1</f>
        <v>8.1535877194052198E-3</v>
      </c>
    </row>
    <row r="7" spans="1:14">
      <c r="A7" t="str">
        <f>funds_20231231!A8</f>
        <v>ZAAGL</v>
      </c>
      <c r="B7" cm="1">
        <f t="array" ref="B7">(_xlfn.XLOOKUP(1, (prices!$A:$A=$A7)*(prices!$C:$C=DATEVALUE("2024-01-31")), prices!$B:$B)/_xlfn.XLOOKUP(1, (prices!$A:$A=$A7)*(prices!$C:$C=DATE(2023,12,31)), prices!$B:$B))-1</f>
        <v>-6.1112644867462707E-2</v>
      </c>
      <c r="C7" cm="1">
        <f t="array" ref="C7">(_xlfn.XLOOKUP(1, (prices!$A:$A=$A7)*(prices!$C:$C=DATEVALUE("2024-02-29")), prices!$B:$B)/_xlfn.XLOOKUP(1, (prices!$A:$A=$A7)*(prices!$C:$C=DATEVALUE("2024-01-31")), prices!$B:$B))-1</f>
        <v>-9.8963790220266246E-2</v>
      </c>
      <c r="D7" cm="1">
        <f t="array" ref="D7">(_xlfn.XLOOKUP(1, (prices!$A:$A=$A7)*(prices!$C:$C=DATEVALUE("2024-03-31")), prices!$B:$B)/_xlfn.XLOOKUP(1, (prices!$A:$A=$A7)*(prices!$C:$C=DATEVALUE("2024-02-29")), prices!$B:$B))-1</f>
        <v>0.12149199198852445</v>
      </c>
      <c r="E7" cm="1">
        <f t="array" ref="E7">(_xlfn.XLOOKUP(1, (prices!$A:$A=$A7)*(prices!$C:$C=DATEVALUE("2024-04-30")), prices!$B:$B)/_xlfn.XLOOKUP(1, (prices!$A:$A=$A7)*(prices!$C:$C=DATEVALUE("2024-03-31")), prices!$B:$B))-1</f>
        <v>0.33350966867143561</v>
      </c>
      <c r="F7" cm="1">
        <f t="array" ref="F7">(_xlfn.XLOOKUP(1, (prices!$A:$A=$A7)*(prices!$C:$C=DATEVALUE("2024-05-31")), prices!$B:$B)/_xlfn.XLOOKUP(1, (prices!$A:$A=$A7)*(prices!$C:$C=DATEVALUE("2024-04-30")), prices!$B:$B))-1</f>
        <v>-3.7411698504803192E-2</v>
      </c>
      <c r="G7" cm="1">
        <f t="array" ref="G7">(_xlfn.XLOOKUP(1, (prices!$A:$A=$A7)*(prices!$C:$C=DATEVALUE("2024-06-30")), prices!$B:$B)/_xlfn.XLOOKUP(1, (prices!$A:$A=$A7)*(prices!$C:$C=DATEVALUE("2024-05-31")), prices!$B:$B))-1</f>
        <v>1.2750788413591341E-3</v>
      </c>
      <c r="H7" cm="1">
        <f t="array" ref="H7">(_xlfn.XLOOKUP(1, (prices!$A:$A=$A7)*(prices!$C:$C=DATEVALUE("2024-07-31")), prices!$B:$B)/_xlfn.XLOOKUP(1, (prices!$A:$A=$A7)*(prices!$C:$C=DATEVALUE("2024-06-30")), prices!$B:$B))-1</f>
        <v>-3.9418913755497886E-2</v>
      </c>
      <c r="I7" cm="1">
        <f t="array" ref="I7">(_xlfn.XLOOKUP(1, (prices!$A:$A=$A7)*(prices!$C:$C=DATEVALUE("2024-08-31")), prices!$B:$B)/_xlfn.XLOOKUP(1, (prices!$A:$A=$A7)*(prices!$C:$C=DATEVALUE("2024-07-31")), prices!$B:$B))-1</f>
        <v>-4.2361107217763649E-2</v>
      </c>
      <c r="J7" cm="1">
        <f t="array" ref="J7">(_xlfn.XLOOKUP(1, (prices!$A:$A=$A7)*(prices!$C:$C=DATEVALUE("2024-09-30")), prices!$B:$B)/_xlfn.XLOOKUP(1, (prices!$A:$A=$A7)*(prices!$C:$C=DATEVALUE("2024-08-31")), prices!$B:$B))-1</f>
        <v>0.11725797566072305</v>
      </c>
      <c r="K7" cm="1">
        <f t="array" ref="K7">(_xlfn.XLOOKUP(1, (prices!$A:$A=$A7)*(prices!$C:$C=DATEVALUE("2024-10-31")), prices!$B:$B)/_xlfn.XLOOKUP(1, (prices!$A:$A=$A7)*(prices!$C:$C=DATEVALUE("2024-09-30")), prices!$B:$B))-1</f>
        <v>-5.2852549669193283E-2</v>
      </c>
      <c r="L7" cm="1">
        <f t="array" ref="L7">(_xlfn.XLOOKUP(1, (prices!$A:$A=$A7)*(prices!$C:$C=DATEVALUE("2024-11-30")), prices!$B:$B)/_xlfn.XLOOKUP(1, (prices!$A:$A=$A7)*(prices!$C:$C=DATEVALUE("2024-10-31")), prices!$B:$B))-1</f>
        <v>2.3770348100361716E-2</v>
      </c>
      <c r="M7" cm="1">
        <f t="array" ref="M7">(_xlfn.XLOOKUP(1, (prices!$A:$A=$A7)*(prices!$C:$C=DATEVALUE("2024-12-31")), prices!$B:$B)/_xlfn.XLOOKUP(1, (prices!$A:$A=$A7)*(prices!$C:$C=DATEVALUE("2024-11-30")), prices!$B:$B))-1</f>
        <v>-7.0517544940009946E-2</v>
      </c>
    </row>
    <row r="8" spans="1:14">
      <c r="A8" t="str">
        <f>funds_20231231!A9</f>
        <v>ZALHC</v>
      </c>
      <c r="B8" cm="1">
        <f t="array" ref="B8">(_xlfn.XLOOKUP(1, (prices!$A:$A=$A8)*(prices!$C:$C=DATEVALUE("2024-01-31")), prices!$B:$B)/_xlfn.XLOOKUP(1, (prices!$A:$A=$A8)*(prices!$C:$C=DATE(2023,12,31)), prices!$B:$B))-1</f>
        <v>-1.0311925365037333E-2</v>
      </c>
      <c r="C8" cm="1">
        <f t="array" ref="C8">(_xlfn.XLOOKUP(1, (prices!$A:$A=$A8)*(prices!$C:$C=DATEVALUE("2024-02-29")), prices!$B:$B)/_xlfn.XLOOKUP(1, (prices!$A:$A=$A8)*(prices!$C:$C=DATEVALUE("2024-01-31")), prices!$B:$B))-1</f>
        <v>-7.9782558903888412E-2</v>
      </c>
      <c r="D8" cm="1">
        <f t="array" ref="D8">(_xlfn.XLOOKUP(1, (prices!$A:$A=$A8)*(prices!$C:$C=DATEVALUE("2024-03-31")), prices!$B:$B)/_xlfn.XLOOKUP(1, (prices!$A:$A=$A8)*(prices!$C:$C=DATEVALUE("2024-02-29")), prices!$B:$B))-1</f>
        <v>-7.7107569084733374E-3</v>
      </c>
      <c r="E8" cm="1">
        <f t="array" ref="E8">(_xlfn.XLOOKUP(1, (prices!$A:$A=$A8)*(prices!$C:$C=DATEVALUE("2024-04-30")), prices!$B:$B)/_xlfn.XLOOKUP(1, (prices!$A:$A=$A8)*(prices!$C:$C=DATEVALUE("2024-03-31")), prices!$B:$B))-1</f>
        <v>-0.37071154911064108</v>
      </c>
      <c r="F8" cm="1">
        <f t="array" ref="F8">(_xlfn.XLOOKUP(1, (prices!$A:$A=$A8)*(prices!$C:$C=DATEVALUE("2024-05-31")), prices!$B:$B)/_xlfn.XLOOKUP(1, (prices!$A:$A=$A8)*(prices!$C:$C=DATEVALUE("2024-04-30")), prices!$B:$B))-1</f>
        <v>2.9255757740603849E-2</v>
      </c>
      <c r="G8" cm="1">
        <f t="array" ref="G8">(_xlfn.XLOOKUP(1, (prices!$A:$A=$A8)*(prices!$C:$C=DATEVALUE("2024-06-30")), prices!$B:$B)/_xlfn.XLOOKUP(1, (prices!$A:$A=$A8)*(prices!$C:$C=DATEVALUE("2024-05-31")), prices!$B:$B))-1</f>
        <v>0.19687112578846322</v>
      </c>
      <c r="H8" cm="1">
        <f t="array" ref="H8">(_xlfn.XLOOKUP(1, (prices!$A:$A=$A8)*(prices!$C:$C=DATEVALUE("2024-07-31")), prices!$B:$B)/_xlfn.XLOOKUP(1, (prices!$A:$A=$A8)*(prices!$C:$C=DATEVALUE("2024-06-30")), prices!$B:$B))-1</f>
        <v>4.2836849394630949E-2</v>
      </c>
      <c r="I8" cm="1">
        <f t="array" ref="I8">(_xlfn.XLOOKUP(1, (prices!$A:$A=$A8)*(prices!$C:$C=DATEVALUE("2024-08-31")), prices!$B:$B)/_xlfn.XLOOKUP(1, (prices!$A:$A=$A8)*(prices!$C:$C=DATEVALUE("2024-07-31")), prices!$B:$B))-1</f>
        <v>0.10285233784162973</v>
      </c>
      <c r="J8" cm="1">
        <f t="array" ref="J8">(_xlfn.XLOOKUP(1, (prices!$A:$A=$A8)*(prices!$C:$C=DATEVALUE("2024-09-30")), prices!$B:$B)/_xlfn.XLOOKUP(1, (prices!$A:$A=$A8)*(prices!$C:$C=DATEVALUE("2024-08-31")), prices!$B:$B))-1</f>
        <v>0.14719066401461611</v>
      </c>
      <c r="K8" cm="1">
        <f t="array" ref="K8">(_xlfn.XLOOKUP(1, (prices!$A:$A=$A8)*(prices!$C:$C=DATEVALUE("2024-10-31")), prices!$B:$B)/_xlfn.XLOOKUP(1, (prices!$A:$A=$A8)*(prices!$C:$C=DATEVALUE("2024-09-30")), prices!$B:$B))-1</f>
        <v>-2.8356988827017426E-2</v>
      </c>
      <c r="L8" cm="1">
        <f t="array" ref="L8">(_xlfn.XLOOKUP(1, (prices!$A:$A=$A8)*(prices!$C:$C=DATEVALUE("2024-11-30")), prices!$B:$B)/_xlfn.XLOOKUP(1, (prices!$A:$A=$A8)*(prices!$C:$C=DATEVALUE("2024-10-31")), prices!$B:$B))-1</f>
        <v>2.3551515241396981E-2</v>
      </c>
      <c r="M8" cm="1">
        <f t="array" ref="M8">(_xlfn.XLOOKUP(1, (prices!$A:$A=$A8)*(prices!$C:$C=DATEVALUE("2024-12-31")), prices!$B:$B)/_xlfn.XLOOKUP(1, (prices!$A:$A=$A8)*(prices!$C:$C=DATEVALUE("2024-11-30")), prices!$B:$B))-1</f>
        <v>-5.9943698468765239E-2</v>
      </c>
    </row>
    <row r="9" spans="1:14">
      <c r="A9" t="str">
        <f>funds_20231231!A10</f>
        <v>ZAVOD</v>
      </c>
      <c r="B9" cm="1">
        <f t="array" ref="B9">(_xlfn.XLOOKUP(1, (prices!$A:$A=$A9)*(prices!$C:$C=DATEVALUE("2024-01-31")), prices!$B:$B)/_xlfn.XLOOKUP(1, (prices!$A:$A=$A9)*(prices!$C:$C=DATE(2023,12,31)), prices!$B:$B))-1</f>
        <v>-0.13398470934707563</v>
      </c>
      <c r="C9" cm="1">
        <f t="array" ref="C9">(_xlfn.XLOOKUP(1, (prices!$A:$A=$A9)*(prices!$C:$C=DATEVALUE("2024-02-29")), prices!$B:$B)/_xlfn.XLOOKUP(1, (prices!$A:$A=$A9)*(prices!$C:$C=DATEVALUE("2024-01-31")), prices!$B:$B))-1</f>
        <v>-2.3640728972903369E-2</v>
      </c>
      <c r="D9" cm="1">
        <f t="array" ref="D9">(_xlfn.XLOOKUP(1, (prices!$A:$A=$A9)*(prices!$C:$C=DATEVALUE("2024-03-31")), prices!$B:$B)/_xlfn.XLOOKUP(1, (prices!$A:$A=$A9)*(prices!$C:$C=DATEVALUE("2024-02-29")), prices!$B:$B))-1</f>
        <v>6.188114463785932E-2</v>
      </c>
      <c r="E9" cm="1">
        <f t="array" ref="E9">(_xlfn.XLOOKUP(1, (prices!$A:$A=$A9)*(prices!$C:$C=DATEVALUE("2024-04-30")), prices!$B:$B)/_xlfn.XLOOKUP(1, (prices!$A:$A=$A9)*(prices!$C:$C=DATEVALUE("2024-03-31")), prices!$B:$B))-1</f>
        <v>-7.7289825911797561E-2</v>
      </c>
      <c r="F9" cm="1">
        <f t="array" ref="F9">(_xlfn.XLOOKUP(1, (prices!$A:$A=$A9)*(prices!$C:$C=DATEVALUE("2024-05-31")), prices!$B:$B)/_xlfn.XLOOKUP(1, (prices!$A:$A=$A9)*(prices!$C:$C=DATEVALUE("2024-04-30")), prices!$B:$B))-1</f>
        <v>2.2554112985765373E-2</v>
      </c>
      <c r="G9" cm="1">
        <f t="array" ref="G9">(_xlfn.XLOOKUP(1, (prices!$A:$A=$A9)*(prices!$C:$C=DATEVALUE("2024-06-30")), prices!$B:$B)/_xlfn.XLOOKUP(1, (prices!$A:$A=$A9)*(prices!$C:$C=DATEVALUE("2024-05-31")), prices!$B:$B))-1</f>
        <v>8.7512165772864581E-2</v>
      </c>
      <c r="H9" cm="1">
        <f t="array" ref="H9">(_xlfn.XLOOKUP(1, (prices!$A:$A=$A9)*(prices!$C:$C=DATEVALUE("2024-07-31")), prices!$B:$B)/_xlfn.XLOOKUP(1, (prices!$A:$A=$A9)*(prices!$C:$C=DATEVALUE("2024-06-30")), prices!$B:$B))-1</f>
        <v>5.2264577703759363E-2</v>
      </c>
      <c r="I9" cm="1">
        <f t="array" ref="I9">(_xlfn.XLOOKUP(1, (prices!$A:$A=$A9)*(prices!$C:$C=DATEVALUE("2024-08-31")), prices!$B:$B)/_xlfn.XLOOKUP(1, (prices!$A:$A=$A9)*(prices!$C:$C=DATEVALUE("2024-07-31")), prices!$B:$B))-1</f>
        <v>0.10295189402695137</v>
      </c>
      <c r="J9" cm="1">
        <f t="array" ref="J9">(_xlfn.XLOOKUP(1, (prices!$A:$A=$A9)*(prices!$C:$C=DATEVALUE("2024-09-30")), prices!$B:$B)/_xlfn.XLOOKUP(1, (prices!$A:$A=$A9)*(prices!$C:$C=DATEVALUE("2024-08-31")), prices!$B:$B))-1</f>
        <v>2.4983621746468287E-2</v>
      </c>
      <c r="K9" cm="1">
        <f t="array" ref="K9">(_xlfn.XLOOKUP(1, (prices!$A:$A=$A9)*(prices!$C:$C=DATEVALUE("2024-10-31")), prices!$B:$B)/_xlfn.XLOOKUP(1, (prices!$A:$A=$A9)*(prices!$C:$C=DATEVALUE("2024-09-30")), prices!$B:$B))-1</f>
        <v>-2.0592120734212238E-2</v>
      </c>
      <c r="L9" cm="1">
        <f t="array" ref="L9">(_xlfn.XLOOKUP(1, (prices!$A:$A=$A9)*(prices!$C:$C=DATEVALUE("2024-11-30")), prices!$B:$B)/_xlfn.XLOOKUP(1, (prices!$A:$A=$A9)*(prices!$C:$C=DATEVALUE("2024-10-31")), prices!$B:$B))-1</f>
        <v>-9.8476934591280374E-2</v>
      </c>
      <c r="M9" cm="1">
        <f t="array" ref="M9">(_xlfn.XLOOKUP(1, (prices!$A:$A=$A9)*(prices!$C:$C=DATEVALUE("2024-12-31")), prices!$B:$B)/_xlfn.XLOOKUP(1, (prices!$A:$A=$A9)*(prices!$C:$C=DATEVALUE("2024-11-30")), prices!$B:$B))-1</f>
        <v>-4.2348629263999071E-2</v>
      </c>
    </row>
    <row r="10" spans="1:14">
      <c r="A10" t="str">
        <f>funds_20231231!A11</f>
        <v>ZARBX</v>
      </c>
      <c r="B10" cm="1">
        <f t="array" ref="B10">(_xlfn.XLOOKUP(1, (prices!$A:$A=$A10)*(prices!$C:$C=DATEVALUE("2024-01-31")), prices!$B:$B)/_xlfn.XLOOKUP(1, (prices!$A:$A=$A10)*(prices!$C:$C=DATE(2023,12,31)), prices!$B:$B))-1</f>
        <v>6.4139615133268491E-2</v>
      </c>
      <c r="C10" cm="1">
        <f t="array" ref="C10">(_xlfn.XLOOKUP(1, (prices!$A:$A=$A10)*(prices!$C:$C=DATEVALUE("2024-02-29")), prices!$B:$B)/_xlfn.XLOOKUP(1, (prices!$A:$A=$A10)*(prices!$C:$C=DATEVALUE("2024-01-31")), prices!$B:$B))-1</f>
        <v>-9.5128255262528216E-2</v>
      </c>
      <c r="D10" cm="1">
        <f t="array" ref="D10">(_xlfn.XLOOKUP(1, (prices!$A:$A=$A10)*(prices!$C:$C=DATEVALUE("2024-03-31")), prices!$B:$B)/_xlfn.XLOOKUP(1, (prices!$A:$A=$A10)*(prices!$C:$C=DATEVALUE("2024-02-29")), prices!$B:$B))-1</f>
        <v>0.11835710513687792</v>
      </c>
      <c r="E10" cm="1">
        <f t="array" ref="E10">(_xlfn.XLOOKUP(1, (prices!$A:$A=$A10)*(prices!$C:$C=DATEVALUE("2024-04-30")), prices!$B:$B)/_xlfn.XLOOKUP(1, (prices!$A:$A=$A10)*(prices!$C:$C=DATEVALUE("2024-03-31")), prices!$B:$B))-1</f>
        <v>-7.9942236693998359E-3</v>
      </c>
      <c r="F10" cm="1">
        <f t="array" ref="F10">(_xlfn.XLOOKUP(1, (prices!$A:$A=$A10)*(prices!$C:$C=DATEVALUE("2024-05-31")), prices!$B:$B)/_xlfn.XLOOKUP(1, (prices!$A:$A=$A10)*(prices!$C:$C=DATEVALUE("2024-04-30")), prices!$B:$B))-1</f>
        <v>0.17296654745393369</v>
      </c>
      <c r="G10" cm="1">
        <f t="array" ref="G10">(_xlfn.XLOOKUP(1, (prices!$A:$A=$A10)*(prices!$C:$C=DATEVALUE("2024-06-30")), prices!$B:$B)/_xlfn.XLOOKUP(1, (prices!$A:$A=$A10)*(prices!$C:$C=DATEVALUE("2024-05-31")), prices!$B:$B))-1</f>
        <v>0.15333205916471893</v>
      </c>
      <c r="H10" cm="1">
        <f t="array" ref="H10">(_xlfn.XLOOKUP(1, (prices!$A:$A=$A10)*(prices!$C:$C=DATEVALUE("2024-07-31")), prices!$B:$B)/_xlfn.XLOOKUP(1, (prices!$A:$A=$A10)*(prices!$C:$C=DATEVALUE("2024-06-30")), prices!$B:$B))-1</f>
        <v>0.15183673469230952</v>
      </c>
      <c r="I10" cm="1">
        <f t="array" ref="I10">(_xlfn.XLOOKUP(1, (prices!$A:$A=$A10)*(prices!$C:$C=DATEVALUE("2024-08-31")), prices!$B:$B)/_xlfn.XLOOKUP(1, (prices!$A:$A=$A10)*(prices!$C:$C=DATEVALUE("2024-07-31")), prices!$B:$B))-1</f>
        <v>9.9348567923443376E-2</v>
      </c>
      <c r="J10" cm="1">
        <f t="array" ref="J10">(_xlfn.XLOOKUP(1, (prices!$A:$A=$A10)*(prices!$C:$C=DATEVALUE("2024-09-30")), prices!$B:$B)/_xlfn.XLOOKUP(1, (prices!$A:$A=$A10)*(prices!$C:$C=DATEVALUE("2024-08-31")), prices!$B:$B))-1</f>
        <v>9.9148124229571533E-2</v>
      </c>
      <c r="K10" cm="1">
        <f t="array" ref="K10">(_xlfn.XLOOKUP(1, (prices!$A:$A=$A10)*(prices!$C:$C=DATEVALUE("2024-10-31")), prices!$B:$B)/_xlfn.XLOOKUP(1, (prices!$A:$A=$A10)*(prices!$C:$C=DATEVALUE("2024-09-30")), prices!$B:$B))-1</f>
        <v>-0.1201085802738695</v>
      </c>
      <c r="L10" cm="1">
        <f t="array" ref="L10">(_xlfn.XLOOKUP(1, (prices!$A:$A=$A10)*(prices!$C:$C=DATEVALUE("2024-11-30")), prices!$B:$B)/_xlfn.XLOOKUP(1, (prices!$A:$A=$A10)*(prices!$C:$C=DATEVALUE("2024-10-31")), prices!$B:$B))-1</f>
        <v>8.5649217765262797E-2</v>
      </c>
      <c r="M10" cm="1">
        <f t="array" ref="M10">(_xlfn.XLOOKUP(1, (prices!$A:$A=$A10)*(prices!$C:$C=DATEVALUE("2024-12-31")), prices!$B:$B)/_xlfn.XLOOKUP(1, (prices!$A:$A=$A10)*(prices!$C:$C=DATEVALUE("2024-11-30")), prices!$B:$B))-1</f>
        <v>-3.5630244339875272E-2</v>
      </c>
    </row>
    <row r="11" spans="1:14">
      <c r="A11" t="str">
        <f>funds_20231231!A12</f>
        <v>ZAEXX</v>
      </c>
      <c r="B11" cm="1">
        <f t="array" ref="B11">(_xlfn.XLOOKUP(1, (prices!$A:$A=$A11)*(prices!$C:$C=DATEVALUE("2024-01-31")), prices!$B:$B)/_xlfn.XLOOKUP(1, (prices!$A:$A=$A11)*(prices!$C:$C=DATE(2023,12,31)), prices!$B:$B))-1</f>
        <v>-9.9491210040935085E-2</v>
      </c>
      <c r="C11" cm="1">
        <f t="array" ref="C11">(_xlfn.XLOOKUP(1, (prices!$A:$A=$A11)*(prices!$C:$C=DATEVALUE("2024-02-29")), prices!$B:$B)/_xlfn.XLOOKUP(1, (prices!$A:$A=$A11)*(prices!$C:$C=DATEVALUE("2024-01-31")), prices!$B:$B))-1</f>
        <v>-7.9935350364574331E-2</v>
      </c>
      <c r="D11" cm="1">
        <f t="array" ref="D11">(_xlfn.XLOOKUP(1, (prices!$A:$A=$A11)*(prices!$C:$C=DATEVALUE("2024-03-31")), prices!$B:$B)/_xlfn.XLOOKUP(1, (prices!$A:$A=$A11)*(prices!$C:$C=DATEVALUE("2024-02-29")), prices!$B:$B))-1</f>
        <v>-3.6751084474513918E-2</v>
      </c>
      <c r="E11" cm="1">
        <f t="array" ref="E11">(_xlfn.XLOOKUP(1, (prices!$A:$A=$A11)*(prices!$C:$C=DATEVALUE("2024-04-30")), prices!$B:$B)/_xlfn.XLOOKUP(1, (prices!$A:$A=$A11)*(prices!$C:$C=DATEVALUE("2024-03-31")), prices!$B:$B))-1</f>
        <v>7.6913024119653617E-2</v>
      </c>
      <c r="F11" cm="1">
        <f t="array" ref="F11">(_xlfn.XLOOKUP(1, (prices!$A:$A=$A11)*(prices!$C:$C=DATEVALUE("2024-05-31")), prices!$B:$B)/_xlfn.XLOOKUP(1, (prices!$A:$A=$A11)*(prices!$C:$C=DATEVALUE("2024-04-30")), prices!$B:$B))-1</f>
        <v>2.7541956488577046E-3</v>
      </c>
      <c r="G11" cm="1">
        <f t="array" ref="G11">(_xlfn.XLOOKUP(1, (prices!$A:$A=$A11)*(prices!$C:$C=DATEVALUE("2024-06-30")), prices!$B:$B)/_xlfn.XLOOKUP(1, (prices!$A:$A=$A11)*(prices!$C:$C=DATEVALUE("2024-05-31")), prices!$B:$B))-1</f>
        <v>1.1585940798098937E-2</v>
      </c>
      <c r="H11" cm="1">
        <f t="array" ref="H11">(_xlfn.XLOOKUP(1, (prices!$A:$A=$A11)*(prices!$C:$C=DATEVALUE("2024-07-31")), prices!$B:$B)/_xlfn.XLOOKUP(1, (prices!$A:$A=$A11)*(prices!$C:$C=DATEVALUE("2024-06-30")), prices!$B:$B))-1</f>
        <v>9.8912753614306403E-2</v>
      </c>
      <c r="I11" cm="1">
        <f t="array" ref="I11">(_xlfn.XLOOKUP(1, (prices!$A:$A=$A11)*(prices!$C:$C=DATEVALUE("2024-08-31")), prices!$B:$B)/_xlfn.XLOOKUP(1, (prices!$A:$A=$A11)*(prices!$C:$C=DATEVALUE("2024-07-31")), prices!$B:$B))-1</f>
        <v>-0.15876591080715019</v>
      </c>
      <c r="J11" cm="1">
        <f t="array" ref="J11">(_xlfn.XLOOKUP(1, (prices!$A:$A=$A11)*(prices!$C:$C=DATEVALUE("2024-09-30")), prices!$B:$B)/_xlfn.XLOOKUP(1, (prices!$A:$A=$A11)*(prices!$C:$C=DATEVALUE("2024-08-31")), prices!$B:$B))-1</f>
        <v>0.10798103148265614</v>
      </c>
      <c r="K11" cm="1">
        <f t="array" ref="K11">(_xlfn.XLOOKUP(1, (prices!$A:$A=$A11)*(prices!$C:$C=DATEVALUE("2024-10-31")), prices!$B:$B)/_xlfn.XLOOKUP(1, (prices!$A:$A=$A11)*(prices!$C:$C=DATEVALUE("2024-09-30")), prices!$B:$B))-1</f>
        <v>-6.1622581605499716E-2</v>
      </c>
      <c r="L11" cm="1">
        <f t="array" ref="L11">(_xlfn.XLOOKUP(1, (prices!$A:$A=$A11)*(prices!$C:$C=DATEVALUE("2024-11-30")), prices!$B:$B)/_xlfn.XLOOKUP(1, (prices!$A:$A=$A11)*(prices!$C:$C=DATEVALUE("2024-10-31")), prices!$B:$B))-1</f>
        <v>-1.3740311642278291E-2</v>
      </c>
      <c r="M11" cm="1">
        <f t="array" ref="M11">(_xlfn.XLOOKUP(1, (prices!$A:$A=$A11)*(prices!$C:$C=DATEVALUE("2024-12-31")), prices!$B:$B)/_xlfn.XLOOKUP(1, (prices!$A:$A=$A11)*(prices!$C:$C=DATEVALUE("2024-11-30")), prices!$B:$B))-1</f>
        <v>-9.4168814920734367E-2</v>
      </c>
    </row>
    <row r="12" spans="1:14">
      <c r="A12" t="str">
        <f>funds_20231231!A13</f>
        <v>ZASPP</v>
      </c>
      <c r="B12" cm="1">
        <f t="array" ref="B12">(_xlfn.XLOOKUP(1, (prices!$A:$A=$A12)*(prices!$C:$C=DATEVALUE("2024-01-31")), prices!$B:$B)/_xlfn.XLOOKUP(1, (prices!$A:$A=$A12)*(prices!$C:$C=DATE(2023,12,31)), prices!$B:$B))-1</f>
        <v>-6.3854989465585321E-2</v>
      </c>
      <c r="C12" cm="1">
        <f t="array" ref="C12">(_xlfn.XLOOKUP(1, (prices!$A:$A=$A12)*(prices!$C:$C=DATEVALUE("2024-02-29")), prices!$B:$B)/_xlfn.XLOOKUP(1, (prices!$A:$A=$A12)*(prices!$C:$C=DATEVALUE("2024-01-31")), prices!$B:$B))-1</f>
        <v>-0.15659504415894887</v>
      </c>
      <c r="D12" cm="1">
        <f t="array" ref="D12">(_xlfn.XLOOKUP(1, (prices!$A:$A=$A12)*(prices!$C:$C=DATEVALUE("2024-03-31")), prices!$B:$B)/_xlfn.XLOOKUP(1, (prices!$A:$A=$A12)*(prices!$C:$C=DATEVALUE("2024-02-29")), prices!$B:$B))-1</f>
        <v>-8.2478998425949523E-2</v>
      </c>
      <c r="E12" cm="1">
        <f t="array" ref="E12">(_xlfn.XLOOKUP(1, (prices!$A:$A=$A12)*(prices!$C:$C=DATEVALUE("2024-04-30")), prices!$B:$B)/_xlfn.XLOOKUP(1, (prices!$A:$A=$A12)*(prices!$C:$C=DATEVALUE("2024-03-31")), prices!$B:$B))-1</f>
        <v>9.9918464068486923E-2</v>
      </c>
      <c r="F12" cm="1">
        <f t="array" ref="F12">(_xlfn.XLOOKUP(1, (prices!$A:$A=$A12)*(prices!$C:$C=DATEVALUE("2024-05-31")), prices!$B:$B)/_xlfn.XLOOKUP(1, (prices!$A:$A=$A12)*(prices!$C:$C=DATEVALUE("2024-04-30")), prices!$B:$B))-1</f>
        <v>7.5082788305861126E-2</v>
      </c>
      <c r="G12" cm="1">
        <f t="array" ref="G12">(_xlfn.XLOOKUP(1, (prices!$A:$A=$A12)*(prices!$C:$C=DATEVALUE("2024-06-30")), prices!$B:$B)/_xlfn.XLOOKUP(1, (prices!$A:$A=$A12)*(prices!$C:$C=DATEVALUE("2024-05-31")), prices!$B:$B))-1</f>
        <v>0.17377192502341221</v>
      </c>
      <c r="H12" cm="1">
        <f t="array" ref="H12">(_xlfn.XLOOKUP(1, (prices!$A:$A=$A12)*(prices!$C:$C=DATEVALUE("2024-07-31")), prices!$B:$B)/_xlfn.XLOOKUP(1, (prices!$A:$A=$A12)*(prices!$C:$C=DATEVALUE("2024-06-30")), prices!$B:$B))-1</f>
        <v>6.3987390830340773E-2</v>
      </c>
      <c r="I12" cm="1">
        <f t="array" ref="I12">(_xlfn.XLOOKUP(1, (prices!$A:$A=$A12)*(prices!$C:$C=DATEVALUE("2024-08-31")), prices!$B:$B)/_xlfn.XLOOKUP(1, (prices!$A:$A=$A12)*(prices!$C:$C=DATEVALUE("2024-07-31")), prices!$B:$B))-1</f>
        <v>4.6291732999635071E-2</v>
      </c>
      <c r="J12" cm="1">
        <f t="array" ref="J12">(_xlfn.XLOOKUP(1, (prices!$A:$A=$A12)*(prices!$C:$C=DATEVALUE("2024-09-30")), prices!$B:$B)/_xlfn.XLOOKUP(1, (prices!$A:$A=$A12)*(prices!$C:$C=DATEVALUE("2024-08-31")), prices!$B:$B))-1</f>
        <v>8.9906003068061846E-2</v>
      </c>
      <c r="K12" cm="1">
        <f t="array" ref="K12">(_xlfn.XLOOKUP(1, (prices!$A:$A=$A12)*(prices!$C:$C=DATEVALUE("2024-10-31")), prices!$B:$B)/_xlfn.XLOOKUP(1, (prices!$A:$A=$A12)*(prices!$C:$C=DATEVALUE("2024-09-30")), prices!$B:$B))-1</f>
        <v>-9.0103376920977696E-2</v>
      </c>
      <c r="L12" cm="1">
        <f t="array" ref="L12">(_xlfn.XLOOKUP(1, (prices!$A:$A=$A12)*(prices!$C:$C=DATEVALUE("2024-11-30")), prices!$B:$B)/_xlfn.XLOOKUP(1, (prices!$A:$A=$A12)*(prices!$C:$C=DATEVALUE("2024-10-31")), prices!$B:$B))-1</f>
        <v>0.10979288685025024</v>
      </c>
      <c r="M12" cm="1">
        <f t="array" ref="M12">(_xlfn.XLOOKUP(1, (prices!$A:$A=$A12)*(prices!$C:$C=DATEVALUE("2024-12-31")), prices!$B:$B)/_xlfn.XLOOKUP(1, (prices!$A:$A=$A12)*(prices!$C:$C=DATEVALUE("2024-11-30")), prices!$B:$B))-1</f>
        <v>-2.5245150223130897E-2</v>
      </c>
    </row>
    <row r="13" spans="1:14">
      <c r="A13" t="str">
        <f>funds_20231231!A14</f>
        <v>ZAVKE</v>
      </c>
      <c r="B13" cm="1">
        <f t="array" ref="B13">(_xlfn.XLOOKUP(1, (prices!$A:$A=$A13)*(prices!$C:$C=DATEVALUE("2024-01-31")), prices!$B:$B)/_xlfn.XLOOKUP(1, (prices!$A:$A=$A13)*(prices!$C:$C=DATE(2023,12,31)), prices!$B:$B))-1</f>
        <v>5.4990426090975486E-2</v>
      </c>
      <c r="C13" cm="1">
        <f t="array" ref="C13">(_xlfn.XLOOKUP(1, (prices!$A:$A=$A13)*(prices!$C:$C=DATEVALUE("2024-02-29")), prices!$B:$B)/_xlfn.XLOOKUP(1, (prices!$A:$A=$A13)*(prices!$C:$C=DATEVALUE("2024-01-31")), prices!$B:$B))-1</f>
        <v>-5.481218742769034E-2</v>
      </c>
      <c r="D13" cm="1">
        <f t="array" ref="D13">(_xlfn.XLOOKUP(1, (prices!$A:$A=$A13)*(prices!$C:$C=DATEVALUE("2024-03-31")), prices!$B:$B)/_xlfn.XLOOKUP(1, (prices!$A:$A=$A13)*(prices!$C:$C=DATEVALUE("2024-02-29")), prices!$B:$B))-1</f>
        <v>4.1191954994107993E-2</v>
      </c>
      <c r="E13" cm="1">
        <f t="array" ref="E13">(_xlfn.XLOOKUP(1, (prices!$A:$A=$A13)*(prices!$C:$C=DATEVALUE("2024-04-30")), prices!$B:$B)/_xlfn.XLOOKUP(1, (prices!$A:$A=$A13)*(prices!$C:$C=DATEVALUE("2024-03-31")), prices!$B:$B))-1</f>
        <v>3.3540961524860524E-3</v>
      </c>
      <c r="F13" cm="1">
        <f t="array" ref="F13">(_xlfn.XLOOKUP(1, (prices!$A:$A=$A13)*(prices!$C:$C=DATEVALUE("2024-05-31")), prices!$B:$B)/_xlfn.XLOOKUP(1, (prices!$A:$A=$A13)*(prices!$C:$C=DATEVALUE("2024-04-30")), prices!$B:$B))-1</f>
        <v>-3.1264005803166017E-2</v>
      </c>
      <c r="G13" cm="1">
        <f t="array" ref="G13">(_xlfn.XLOOKUP(1, (prices!$A:$A=$A13)*(prices!$C:$C=DATEVALUE("2024-06-30")), prices!$B:$B)/_xlfn.XLOOKUP(1, (prices!$A:$A=$A13)*(prices!$C:$C=DATEVALUE("2024-05-31")), prices!$B:$B))-1</f>
        <v>7.5358321177012577E-2</v>
      </c>
      <c r="H13" cm="1">
        <f t="array" ref="H13">(_xlfn.XLOOKUP(1, (prices!$A:$A=$A13)*(prices!$C:$C=DATEVALUE("2024-07-31")), prices!$B:$B)/_xlfn.XLOOKUP(1, (prices!$A:$A=$A13)*(prices!$C:$C=DATEVALUE("2024-06-30")), prices!$B:$B))-1</f>
        <v>8.0538882218082586E-2</v>
      </c>
      <c r="I13" cm="1">
        <f t="array" ref="I13">(_xlfn.XLOOKUP(1, (prices!$A:$A=$A13)*(prices!$C:$C=DATEVALUE("2024-08-31")), prices!$B:$B)/_xlfn.XLOOKUP(1, (prices!$A:$A=$A13)*(prices!$C:$C=DATEVALUE("2024-07-31")), prices!$B:$B))-1</f>
        <v>0.10233090655324428</v>
      </c>
      <c r="J13" cm="1">
        <f t="array" ref="J13">(_xlfn.XLOOKUP(1, (prices!$A:$A=$A13)*(prices!$C:$C=DATEVALUE("2024-09-30")), prices!$B:$B)/_xlfn.XLOOKUP(1, (prices!$A:$A=$A13)*(prices!$C:$C=DATEVALUE("2024-08-31")), prices!$B:$B))-1</f>
        <v>6.1718647407279947E-2</v>
      </c>
      <c r="K13" cm="1">
        <f t="array" ref="K13">(_xlfn.XLOOKUP(1, (prices!$A:$A=$A13)*(prices!$C:$C=DATEVALUE("2024-10-31")), prices!$B:$B)/_xlfn.XLOOKUP(1, (prices!$A:$A=$A13)*(prices!$C:$C=DATEVALUE("2024-09-30")), prices!$B:$B))-1</f>
        <v>-7.1624424454845848E-3</v>
      </c>
      <c r="L13" cm="1">
        <f t="array" ref="L13">(_xlfn.XLOOKUP(1, (prices!$A:$A=$A13)*(prices!$C:$C=DATEVALUE("2024-11-30")), prices!$B:$B)/_xlfn.XLOOKUP(1, (prices!$A:$A=$A13)*(prices!$C:$C=DATEVALUE("2024-10-31")), prices!$B:$B))-1</f>
        <v>-3.7030588347918947E-2</v>
      </c>
      <c r="M13" cm="1">
        <f t="array" ref="M13">(_xlfn.XLOOKUP(1, (prices!$A:$A=$A13)*(prices!$C:$C=DATEVALUE("2024-12-31")), prices!$B:$B)/_xlfn.XLOOKUP(1, (prices!$A:$A=$A13)*(prices!$C:$C=DATEVALUE("2024-11-30")), prices!$B:$B))-1</f>
        <v>-5.9988858202220219E-2</v>
      </c>
    </row>
    <row r="14" spans="1:14">
      <c r="A14" t="str">
        <f>funds_20231231!A15</f>
        <v>ZACPI</v>
      </c>
      <c r="B14" cm="1">
        <f t="array" ref="B14">(_xlfn.XLOOKUP(1, (prices!$A:$A=$A14)*(prices!$C:$C=DATEVALUE("2024-01-31")), prices!$B:$B)/_xlfn.XLOOKUP(1, (prices!$A:$A=$A14)*(prices!$C:$C=DATE(2023,12,31)), prices!$B:$B))-1</f>
        <v>-3.049631913504125E-2</v>
      </c>
      <c r="C14" cm="1">
        <f t="array" ref="C14">(_xlfn.XLOOKUP(1, (prices!$A:$A=$A14)*(prices!$C:$C=DATEVALUE("2024-02-29")), prices!$B:$B)/_xlfn.XLOOKUP(1, (prices!$A:$A=$A14)*(prices!$C:$C=DATEVALUE("2024-01-31")), prices!$B:$B))-1</f>
        <v>-2.090140477321023E-2</v>
      </c>
      <c r="D14" cm="1">
        <f t="array" ref="D14">(_xlfn.XLOOKUP(1, (prices!$A:$A=$A14)*(prices!$C:$C=DATEVALUE("2024-03-31")), prices!$B:$B)/_xlfn.XLOOKUP(1, (prices!$A:$A=$A14)*(prices!$C:$C=DATEVALUE("2024-02-29")), prices!$B:$B))-1</f>
        <v>5.2241995295529531E-2</v>
      </c>
      <c r="E14" cm="1">
        <f t="array" ref="E14">(_xlfn.XLOOKUP(1, (prices!$A:$A=$A14)*(prices!$C:$C=DATEVALUE("2024-04-30")), prices!$B:$B)/_xlfn.XLOOKUP(1, (prices!$A:$A=$A14)*(prices!$C:$C=DATEVALUE("2024-03-31")), prices!$B:$B))-1</f>
        <v>0.11666386000182238</v>
      </c>
      <c r="F14" cm="1">
        <f t="array" ref="F14">(_xlfn.XLOOKUP(1, (prices!$A:$A=$A14)*(prices!$C:$C=DATEVALUE("2024-05-31")), prices!$B:$B)/_xlfn.XLOOKUP(1, (prices!$A:$A=$A14)*(prices!$C:$C=DATEVALUE("2024-04-30")), prices!$B:$B))-1</f>
        <v>-8.464341254848784E-2</v>
      </c>
      <c r="G14" cm="1">
        <f t="array" ref="G14">(_xlfn.XLOOKUP(1, (prices!$A:$A=$A14)*(prices!$C:$C=DATEVALUE("2024-06-30")), prices!$B:$B)/_xlfn.XLOOKUP(1, (prices!$A:$A=$A14)*(prices!$C:$C=DATEVALUE("2024-05-31")), prices!$B:$B))-1</f>
        <v>0.27269182839023687</v>
      </c>
      <c r="H14" cm="1">
        <f t="array" ref="H14">(_xlfn.XLOOKUP(1, (prices!$A:$A=$A14)*(prices!$C:$C=DATEVALUE("2024-07-31")), prices!$B:$B)/_xlfn.XLOOKUP(1, (prices!$A:$A=$A14)*(prices!$C:$C=DATEVALUE("2024-06-30")), prices!$B:$B))-1</f>
        <v>8.2814022441956681E-2</v>
      </c>
      <c r="I14" cm="1">
        <f t="array" ref="I14">(_xlfn.XLOOKUP(1, (prices!$A:$A=$A14)*(prices!$C:$C=DATEVALUE("2024-08-31")), prices!$B:$B)/_xlfn.XLOOKUP(1, (prices!$A:$A=$A14)*(prices!$C:$C=DATEVALUE("2024-07-31")), prices!$B:$B))-1</f>
        <v>5.7063447132177592E-2</v>
      </c>
      <c r="J14" cm="1">
        <f t="array" ref="J14">(_xlfn.XLOOKUP(1, (prices!$A:$A=$A14)*(prices!$C:$C=DATEVALUE("2024-09-30")), prices!$B:$B)/_xlfn.XLOOKUP(1, (prices!$A:$A=$A14)*(prices!$C:$C=DATEVALUE("2024-08-31")), prices!$B:$B))-1</f>
        <v>7.2073048638487514E-2</v>
      </c>
      <c r="K14" cm="1">
        <f t="array" ref="K14">(_xlfn.XLOOKUP(1, (prices!$A:$A=$A14)*(prices!$C:$C=DATEVALUE("2024-10-31")), prices!$B:$B)/_xlfn.XLOOKUP(1, (prices!$A:$A=$A14)*(prices!$C:$C=DATEVALUE("2024-09-30")), prices!$B:$B))-1</f>
        <v>1.5110598400651432E-2</v>
      </c>
      <c r="L14" cm="1">
        <f t="array" ref="L14">(_xlfn.XLOOKUP(1, (prices!$A:$A=$A14)*(prices!$C:$C=DATEVALUE("2024-11-30")), prices!$B:$B)/_xlfn.XLOOKUP(1, (prices!$A:$A=$A14)*(prices!$C:$C=DATEVALUE("2024-10-31")), prices!$B:$B))-1</f>
        <v>6.6636258714760643E-3</v>
      </c>
      <c r="M14" cm="1">
        <f t="array" ref="M14">(_xlfn.XLOOKUP(1, (prices!$A:$A=$A14)*(prices!$C:$C=DATEVALUE("2024-12-31")), prices!$B:$B)/_xlfn.XLOOKUP(1, (prices!$A:$A=$A14)*(prices!$C:$C=DATEVALUE("2024-11-30")), prices!$B:$B))-1</f>
        <v>-7.9958645338861434E-2</v>
      </c>
    </row>
    <row r="15" spans="1:14">
      <c r="A15" t="str">
        <f>funds_20231231!A16</f>
        <v>ZARDF</v>
      </c>
      <c r="B15" cm="1">
        <f t="array" ref="B15">(_xlfn.XLOOKUP(1, (prices!$A:$A=$A15)*(prices!$C:$C=DATEVALUE("2024-01-31")), prices!$B:$B)/_xlfn.XLOOKUP(1, (prices!$A:$A=$A15)*(prices!$C:$C=DATE(2023,12,31)), prices!$B:$B))-1</f>
        <v>6.4990926825375217E-2</v>
      </c>
      <c r="C15" cm="1">
        <f t="array" ref="C15">(_xlfn.XLOOKUP(1, (prices!$A:$A=$A15)*(prices!$C:$C=DATEVALUE("2024-02-29")), prices!$B:$B)/_xlfn.XLOOKUP(1, (prices!$A:$A=$A15)*(prices!$C:$C=DATEVALUE("2024-01-31")), prices!$B:$B))-1</f>
        <v>-7.001876183199196E-2</v>
      </c>
      <c r="D15" cm="1">
        <f t="array" ref="D15">(_xlfn.XLOOKUP(1, (prices!$A:$A=$A15)*(prices!$C:$C=DATEVALUE("2024-03-31")), prices!$B:$B)/_xlfn.XLOOKUP(1, (prices!$A:$A=$A15)*(prices!$C:$C=DATEVALUE("2024-02-29")), prices!$B:$B))-1</f>
        <v>4.0679252781217201E-4</v>
      </c>
      <c r="E15" cm="1">
        <f t="array" ref="E15">(_xlfn.XLOOKUP(1, (prices!$A:$A=$A15)*(prices!$C:$C=DATEVALUE("2024-04-30")), prices!$B:$B)/_xlfn.XLOOKUP(1, (prices!$A:$A=$A15)*(prices!$C:$C=DATEVALUE("2024-03-31")), prices!$B:$B))-1</f>
        <v>7.8861028732952754E-3</v>
      </c>
      <c r="F15" cm="1">
        <f t="array" ref="F15">(_xlfn.XLOOKUP(1, (prices!$A:$A=$A15)*(prices!$C:$C=DATEVALUE("2024-05-31")), prices!$B:$B)/_xlfn.XLOOKUP(1, (prices!$A:$A=$A15)*(prices!$C:$C=DATEVALUE("2024-04-30")), prices!$B:$B))-1</f>
        <v>-9.3041911611436379E-2</v>
      </c>
      <c r="G15" cm="1">
        <f t="array" ref="G15">(_xlfn.XLOOKUP(1, (prices!$A:$A=$A15)*(prices!$C:$C=DATEVALUE("2024-06-30")), prices!$B:$B)/_xlfn.XLOOKUP(1, (prices!$A:$A=$A15)*(prices!$C:$C=DATEVALUE("2024-05-31")), prices!$B:$B))-1</f>
        <v>0.15457855732336445</v>
      </c>
      <c r="H15" cm="1">
        <f t="array" ref="H15">(_xlfn.XLOOKUP(1, (prices!$A:$A=$A15)*(prices!$C:$C=DATEVALUE("2024-07-31")), prices!$B:$B)/_xlfn.XLOOKUP(1, (prices!$A:$A=$A15)*(prices!$C:$C=DATEVALUE("2024-06-30")), prices!$B:$B))-1</f>
        <v>6.3706411252937745E-2</v>
      </c>
      <c r="I15" cm="1">
        <f t="array" ref="I15">(_xlfn.XLOOKUP(1, (prices!$A:$A=$A15)*(prices!$C:$C=DATEVALUE("2024-08-31")), prices!$B:$B)/_xlfn.XLOOKUP(1, (prices!$A:$A=$A15)*(prices!$C:$C=DATEVALUE("2024-07-31")), prices!$B:$B))-1</f>
        <v>0.1448253021338175</v>
      </c>
      <c r="J15" cm="1">
        <f t="array" ref="J15">(_xlfn.XLOOKUP(1, (prices!$A:$A=$A15)*(prices!$C:$C=DATEVALUE("2024-09-30")), prices!$B:$B)/_xlfn.XLOOKUP(1, (prices!$A:$A=$A15)*(prices!$C:$C=DATEVALUE("2024-08-31")), prices!$B:$B))-1</f>
        <v>8.0105014588120804E-2</v>
      </c>
      <c r="K15" cm="1">
        <f t="array" ref="K15">(_xlfn.XLOOKUP(1, (prices!$A:$A=$A15)*(prices!$C:$C=DATEVALUE("2024-10-31")), prices!$B:$B)/_xlfn.XLOOKUP(1, (prices!$A:$A=$A15)*(prices!$C:$C=DATEVALUE("2024-09-30")), prices!$B:$B))-1</f>
        <v>-4.4843929939198279E-2</v>
      </c>
      <c r="L15" cm="1">
        <f t="array" ref="L15">(_xlfn.XLOOKUP(1, (prices!$A:$A=$A15)*(prices!$C:$C=DATEVALUE("2024-11-30")), prices!$B:$B)/_xlfn.XLOOKUP(1, (prices!$A:$A=$A15)*(prices!$C:$C=DATEVALUE("2024-10-31")), prices!$B:$B))-1</f>
        <v>-9.1298300339173966E-2</v>
      </c>
      <c r="M15" cm="1">
        <f t="array" ref="M15">(_xlfn.XLOOKUP(1, (prices!$A:$A=$A15)*(prices!$C:$C=DATEVALUE("2024-12-31")), prices!$B:$B)/_xlfn.XLOOKUP(1, (prices!$A:$A=$A15)*(prices!$C:$C=DATEVALUE("2024-11-30")), prices!$B:$B))-1</f>
        <v>-4.0618018261074806E-2</v>
      </c>
    </row>
    <row r="16" spans="1:14">
      <c r="A16" t="str">
        <f>funds_20231231!A17</f>
        <v>ZADSY</v>
      </c>
      <c r="B16" cm="1">
        <f t="array" ref="B16">(_xlfn.XLOOKUP(1, (prices!$A:$A=$A16)*(prices!$C:$C=DATEVALUE("2024-01-31")), prices!$B:$B)/_xlfn.XLOOKUP(1, (prices!$A:$A=$A16)*(prices!$C:$C=DATE(2023,12,31)), prices!$B:$B))-1</f>
        <v>-5.1978695314612966E-2</v>
      </c>
      <c r="C16" cm="1">
        <f t="array" ref="C16">(_xlfn.XLOOKUP(1, (prices!$A:$A=$A16)*(prices!$C:$C=DATEVALUE("2024-02-29")), prices!$B:$B)/_xlfn.XLOOKUP(1, (prices!$A:$A=$A16)*(prices!$C:$C=DATEVALUE("2024-01-31")), prices!$B:$B))-1</f>
        <v>-4.8900675641513347E-2</v>
      </c>
      <c r="D16" cm="1">
        <f t="array" ref="D16">(_xlfn.XLOOKUP(1, (prices!$A:$A=$A16)*(prices!$C:$C=DATEVALUE("2024-03-31")), prices!$B:$B)/_xlfn.XLOOKUP(1, (prices!$A:$A=$A16)*(prices!$C:$C=DATEVALUE("2024-02-29")), prices!$B:$B))-1</f>
        <v>-0.10076045206262996</v>
      </c>
      <c r="E16" cm="1">
        <f t="array" ref="E16">(_xlfn.XLOOKUP(1, (prices!$A:$A=$A16)*(prices!$C:$C=DATEVALUE("2024-04-30")), prices!$B:$B)/_xlfn.XLOOKUP(1, (prices!$A:$A=$A16)*(prices!$C:$C=DATEVALUE("2024-03-31")), prices!$B:$B))-1</f>
        <v>2.0906419485116068E-3</v>
      </c>
      <c r="F16" cm="1">
        <f t="array" ref="F16">(_xlfn.XLOOKUP(1, (prices!$A:$A=$A16)*(prices!$C:$C=DATEVALUE("2024-05-31")), prices!$B:$B)/_xlfn.XLOOKUP(1, (prices!$A:$A=$A16)*(prices!$C:$C=DATEVALUE("2024-04-30")), prices!$B:$B))-1</f>
        <v>-8.734628803499811E-2</v>
      </c>
      <c r="G16" cm="1">
        <f t="array" ref="G16">(_xlfn.XLOOKUP(1, (prices!$A:$A=$A16)*(prices!$C:$C=DATEVALUE("2024-06-30")), prices!$B:$B)/_xlfn.XLOOKUP(1, (prices!$A:$A=$A16)*(prices!$C:$C=DATEVALUE("2024-05-31")), prices!$B:$B))-1</f>
        <v>0.26607723378350379</v>
      </c>
      <c r="H16" cm="1">
        <f t="array" ref="H16">(_xlfn.XLOOKUP(1, (prices!$A:$A=$A16)*(prices!$C:$C=DATEVALUE("2024-07-31")), prices!$B:$B)/_xlfn.XLOOKUP(1, (prices!$A:$A=$A16)*(prices!$C:$C=DATEVALUE("2024-06-30")), prices!$B:$B))-1</f>
        <v>6.4219188800114457E-2</v>
      </c>
      <c r="I16" cm="1">
        <f t="array" ref="I16">(_xlfn.XLOOKUP(1, (prices!$A:$A=$A16)*(prices!$C:$C=DATEVALUE("2024-08-31")), prices!$B:$B)/_xlfn.XLOOKUP(1, (prices!$A:$A=$A16)*(prices!$C:$C=DATEVALUE("2024-07-31")), prices!$B:$B))-1</f>
        <v>9.7754153756766771E-2</v>
      </c>
      <c r="J16" cm="1">
        <f t="array" ref="J16">(_xlfn.XLOOKUP(1, (prices!$A:$A=$A16)*(prices!$C:$C=DATEVALUE("2024-09-30")), prices!$B:$B)/_xlfn.XLOOKUP(1, (prices!$A:$A=$A16)*(prices!$C:$C=DATEVALUE("2024-08-31")), prices!$B:$B))-1</f>
        <v>0.15692210246597571</v>
      </c>
      <c r="K16" cm="1">
        <f t="array" ref="K16">(_xlfn.XLOOKUP(1, (prices!$A:$A=$A16)*(prices!$C:$C=DATEVALUE("2024-10-31")), prices!$B:$B)/_xlfn.XLOOKUP(1, (prices!$A:$A=$A16)*(prices!$C:$C=DATEVALUE("2024-09-30")), prices!$B:$B))-1</f>
        <v>2.1494406117457121E-2</v>
      </c>
      <c r="L16" cm="1">
        <f t="array" ref="L16">(_xlfn.XLOOKUP(1, (prices!$A:$A=$A16)*(prices!$C:$C=DATEVALUE("2024-11-30")), prices!$B:$B)/_xlfn.XLOOKUP(1, (prices!$A:$A=$A16)*(prices!$C:$C=DATEVALUE("2024-10-31")), prices!$B:$B))-1</f>
        <v>4.7467115941093763E-2</v>
      </c>
      <c r="M16" cm="1">
        <f t="array" ref="M16">(_xlfn.XLOOKUP(1, (prices!$A:$A=$A16)*(prices!$C:$C=DATEVALUE("2024-12-31")), prices!$B:$B)/_xlfn.XLOOKUP(1, (prices!$A:$A=$A16)*(prices!$C:$C=DATEVALUE("2024-11-30")), prices!$B:$B))-1</f>
        <v>-3.2393223108872493E-2</v>
      </c>
    </row>
    <row r="17" spans="1:13">
      <c r="A17" t="str">
        <f>funds_20231231!A18</f>
        <v>ZATRU</v>
      </c>
      <c r="B17" cm="1">
        <f t="array" ref="B17">(_xlfn.XLOOKUP(1, (prices!$A:$A=$A17)*(prices!$C:$C=DATEVALUE("2024-01-31")), prices!$B:$B)/_xlfn.XLOOKUP(1, (prices!$A:$A=$A17)*(prices!$C:$C=DATE(2023,12,31)), prices!$B:$B))-1</f>
        <v>3.2461316640104432E-2</v>
      </c>
      <c r="C17" cm="1">
        <f t="array" ref="C17">(_xlfn.XLOOKUP(1, (prices!$A:$A=$A17)*(prices!$C:$C=DATEVALUE("2024-02-29")), prices!$B:$B)/_xlfn.XLOOKUP(1, (prices!$A:$A=$A17)*(prices!$C:$C=DATEVALUE("2024-01-31")), prices!$B:$B))-1</f>
        <v>-0.10748871487654499</v>
      </c>
      <c r="D17" cm="1">
        <f t="array" ref="D17">(_xlfn.XLOOKUP(1, (prices!$A:$A=$A17)*(prices!$C:$C=DATEVALUE("2024-03-31")), prices!$B:$B)/_xlfn.XLOOKUP(1, (prices!$A:$A=$A17)*(prices!$C:$C=DATEVALUE("2024-02-29")), prices!$B:$B))-1</f>
        <v>7.5937749398409693E-2</v>
      </c>
      <c r="E17" cm="1">
        <f t="array" ref="E17">(_xlfn.XLOOKUP(1, (prices!$A:$A=$A17)*(prices!$C:$C=DATEVALUE("2024-04-30")), prices!$B:$B)/_xlfn.XLOOKUP(1, (prices!$A:$A=$A17)*(prices!$C:$C=DATEVALUE("2024-03-31")), prices!$B:$B))-1</f>
        <v>-5.7226876113256608E-3</v>
      </c>
      <c r="F17" cm="1">
        <f t="array" ref="F17">(_xlfn.XLOOKUP(1, (prices!$A:$A=$A17)*(prices!$C:$C=DATEVALUE("2024-05-31")), prices!$B:$B)/_xlfn.XLOOKUP(1, (prices!$A:$A=$A17)*(prices!$C:$C=DATEVALUE("2024-04-30")), prices!$B:$B))-1</f>
        <v>1.0902369735287021E-2</v>
      </c>
      <c r="G17" cm="1">
        <f t="array" ref="G17">(_xlfn.XLOOKUP(1, (prices!$A:$A=$A17)*(prices!$C:$C=DATEVALUE("2024-06-30")), prices!$B:$B)/_xlfn.XLOOKUP(1, (prices!$A:$A=$A17)*(prices!$C:$C=DATEVALUE("2024-05-31")), prices!$B:$B))-1</f>
        <v>0.26086832910491164</v>
      </c>
      <c r="H17" cm="1">
        <f t="array" ref="H17">(_xlfn.XLOOKUP(1, (prices!$A:$A=$A17)*(prices!$C:$C=DATEVALUE("2024-07-31")), prices!$B:$B)/_xlfn.XLOOKUP(1, (prices!$A:$A=$A17)*(prices!$C:$C=DATEVALUE("2024-06-30")), prices!$B:$B))-1</f>
        <v>-2.6351306676082209E-2</v>
      </c>
      <c r="I17" cm="1">
        <f t="array" ref="I17">(_xlfn.XLOOKUP(1, (prices!$A:$A=$A17)*(prices!$C:$C=DATEVALUE("2024-08-31")), prices!$B:$B)/_xlfn.XLOOKUP(1, (prices!$A:$A=$A17)*(prices!$C:$C=DATEVALUE("2024-07-31")), prices!$B:$B))-1</f>
        <v>0.10281747603978886</v>
      </c>
      <c r="J17" cm="1">
        <f t="array" ref="J17">(_xlfn.XLOOKUP(1, (prices!$A:$A=$A17)*(prices!$C:$C=DATEVALUE("2024-09-30")), prices!$B:$B)/_xlfn.XLOOKUP(1, (prices!$A:$A=$A17)*(prices!$C:$C=DATEVALUE("2024-08-31")), prices!$B:$B))-1</f>
        <v>0.15314659665135899</v>
      </c>
      <c r="K17" cm="1">
        <f t="array" ref="K17">(_xlfn.XLOOKUP(1, (prices!$A:$A=$A17)*(prices!$C:$C=DATEVALUE("2024-10-31")), prices!$B:$B)/_xlfn.XLOOKUP(1, (prices!$A:$A=$A17)*(prices!$C:$C=DATEVALUE("2024-09-30")), prices!$B:$B))-1</f>
        <v>-7.2031061672384045E-4</v>
      </c>
      <c r="L17" cm="1">
        <f t="array" ref="L17">(_xlfn.XLOOKUP(1, (prices!$A:$A=$A17)*(prices!$C:$C=DATEVALUE("2024-11-30")), prices!$B:$B)/_xlfn.XLOOKUP(1, (prices!$A:$A=$A17)*(prices!$C:$C=DATEVALUE("2024-10-31")), prices!$B:$B))-1</f>
        <v>-0.10611349902826039</v>
      </c>
      <c r="M17" cm="1">
        <f t="array" ref="M17">(_xlfn.XLOOKUP(1, (prices!$A:$A=$A17)*(prices!$C:$C=DATEVALUE("2024-12-31")), prices!$B:$B)/_xlfn.XLOOKUP(1, (prices!$A:$A=$A17)*(prices!$C:$C=DATEVALUE("2024-11-30")), prices!$B:$B))-1</f>
        <v>-2.8188299576021869E-2</v>
      </c>
    </row>
    <row r="18" spans="1:13">
      <c r="A18" t="str">
        <f>funds_20231231!A19</f>
        <v>ZANTC</v>
      </c>
      <c r="B18" cm="1">
        <f t="array" ref="B18">(_xlfn.XLOOKUP(1, (prices!$A:$A=$A18)*(prices!$C:$C=DATEVALUE("2024-01-31")), prices!$B:$B)/_xlfn.XLOOKUP(1, (prices!$A:$A=$A18)*(prices!$C:$C=DATE(2023,12,31)), prices!$B:$B))-1</f>
        <v>-1.673499561685976E-2</v>
      </c>
      <c r="C18" cm="1">
        <f t="array" ref="C18">(_xlfn.XLOOKUP(1, (prices!$A:$A=$A18)*(prices!$C:$C=DATEVALUE("2024-02-29")), prices!$B:$B)/_xlfn.XLOOKUP(1, (prices!$A:$A=$A18)*(prices!$C:$C=DATEVALUE("2024-01-31")), prices!$B:$B))-1</f>
        <v>-7.6791167337471156E-2</v>
      </c>
      <c r="D18" cm="1">
        <f t="array" ref="D18">(_xlfn.XLOOKUP(1, (prices!$A:$A=$A18)*(prices!$C:$C=DATEVALUE("2024-03-31")), prices!$B:$B)/_xlfn.XLOOKUP(1, (prices!$A:$A=$A18)*(prices!$C:$C=DATEVALUE("2024-02-29")), prices!$B:$B))-1</f>
        <v>-0.11169584682008238</v>
      </c>
      <c r="E18" cm="1">
        <f t="array" ref="E18">(_xlfn.XLOOKUP(1, (prices!$A:$A=$A18)*(prices!$C:$C=DATEVALUE("2024-04-30")), prices!$B:$B)/_xlfn.XLOOKUP(1, (prices!$A:$A=$A18)*(prices!$C:$C=DATEVALUE("2024-03-31")), prices!$B:$B))-1</f>
        <v>-3.017152772831444E-2</v>
      </c>
      <c r="F18" cm="1">
        <f t="array" ref="F18">(_xlfn.XLOOKUP(1, (prices!$A:$A=$A18)*(prices!$C:$C=DATEVALUE("2024-05-31")), prices!$B:$B)/_xlfn.XLOOKUP(1, (prices!$A:$A=$A18)*(prices!$C:$C=DATEVALUE("2024-04-30")), prices!$B:$B))-1</f>
        <v>-1.7883679162774224E-2</v>
      </c>
      <c r="G18" cm="1">
        <f t="array" ref="G18">(_xlfn.XLOOKUP(1, (prices!$A:$A=$A18)*(prices!$C:$C=DATEVALUE("2024-06-30")), prices!$B:$B)/_xlfn.XLOOKUP(1, (prices!$A:$A=$A18)*(prices!$C:$C=DATEVALUE("2024-05-31")), prices!$B:$B))-1</f>
        <v>0.16660254776021755</v>
      </c>
      <c r="H18" cm="1">
        <f t="array" ref="H18">(_xlfn.XLOOKUP(1, (prices!$A:$A=$A18)*(prices!$C:$C=DATEVALUE("2024-07-31")), prices!$B:$B)/_xlfn.XLOOKUP(1, (prices!$A:$A=$A18)*(prices!$C:$C=DATEVALUE("2024-06-30")), prices!$B:$B))-1</f>
        <v>2.4264581114498807E-2</v>
      </c>
      <c r="I18" cm="1">
        <f t="array" ref="I18">(_xlfn.XLOOKUP(1, (prices!$A:$A=$A18)*(prices!$C:$C=DATEVALUE("2024-08-31")), prices!$B:$B)/_xlfn.XLOOKUP(1, (prices!$A:$A=$A18)*(prices!$C:$C=DATEVALUE("2024-07-31")), prices!$B:$B))-1</f>
        <v>7.0282152370443773E-2</v>
      </c>
      <c r="J18" cm="1">
        <f t="array" ref="J18">(_xlfn.XLOOKUP(1, (prices!$A:$A=$A18)*(prices!$C:$C=DATEVALUE("2024-09-30")), prices!$B:$B)/_xlfn.XLOOKUP(1, (prices!$A:$A=$A18)*(prices!$C:$C=DATEVALUE("2024-08-31")), prices!$B:$B))-1</f>
        <v>0.16916352569737403</v>
      </c>
      <c r="K18" cm="1">
        <f t="array" ref="K18">(_xlfn.XLOOKUP(1, (prices!$A:$A=$A18)*(prices!$C:$C=DATEVALUE("2024-10-31")), prices!$B:$B)/_xlfn.XLOOKUP(1, (prices!$A:$A=$A18)*(prices!$C:$C=DATEVALUE("2024-09-30")), prices!$B:$B))-1</f>
        <v>-6.5158848192509611E-2</v>
      </c>
      <c r="L18" cm="1">
        <f t="array" ref="L18">(_xlfn.XLOOKUP(1, (prices!$A:$A=$A18)*(prices!$C:$C=DATEVALUE("2024-11-30")), prices!$B:$B)/_xlfn.XLOOKUP(1, (prices!$A:$A=$A18)*(prices!$C:$C=DATEVALUE("2024-10-31")), prices!$B:$B))-1</f>
        <v>-1.9919771809545961E-2</v>
      </c>
      <c r="M18" cm="1">
        <f t="array" ref="M18">(_xlfn.XLOOKUP(1, (prices!$A:$A=$A18)*(prices!$C:$C=DATEVALUE("2024-12-31")), prices!$B:$B)/_xlfn.XLOOKUP(1, (prices!$A:$A=$A18)*(prices!$C:$C=DATEVALUE("2024-11-30")), prices!$B:$B))-1</f>
        <v>-3.4964873468172897E-2</v>
      </c>
    </row>
    <row r="19" spans="1:13">
      <c r="A19" t="str">
        <f>funds_20231231!A20</f>
        <v>ZASAC</v>
      </c>
      <c r="B19" cm="1">
        <f t="array" ref="B19">(_xlfn.XLOOKUP(1, (prices!$A:$A=$A19)*(prices!$C:$C=DATEVALUE("2024-01-31")), prices!$B:$B)/_xlfn.XLOOKUP(1, (prices!$A:$A=$A19)*(prices!$C:$C=DATE(2023,12,31)), prices!$B:$B))-1</f>
        <v>8.0743862576296399E-2</v>
      </c>
      <c r="C19" cm="1">
        <f t="array" ref="C19">(_xlfn.XLOOKUP(1, (prices!$A:$A=$A19)*(prices!$C:$C=DATEVALUE("2024-02-29")), prices!$B:$B)/_xlfn.XLOOKUP(1, (prices!$A:$A=$A19)*(prices!$C:$C=DATEVALUE("2024-01-31")), prices!$B:$B))-1</f>
        <v>-6.4712398296562723E-2</v>
      </c>
      <c r="D19" cm="1">
        <f t="array" ref="D19">(_xlfn.XLOOKUP(1, (prices!$A:$A=$A19)*(prices!$C:$C=DATEVALUE("2024-03-31")), prices!$B:$B)/_xlfn.XLOOKUP(1, (prices!$A:$A=$A19)*(prices!$C:$C=DATEVALUE("2024-02-29")), prices!$B:$B))-1</f>
        <v>1.71883410697522E-2</v>
      </c>
      <c r="E19" cm="1">
        <f t="array" ref="E19">(_xlfn.XLOOKUP(1, (prices!$A:$A=$A19)*(prices!$C:$C=DATEVALUE("2024-04-30")), prices!$B:$B)/_xlfn.XLOOKUP(1, (prices!$A:$A=$A19)*(prices!$C:$C=DATEVALUE("2024-03-31")), prices!$B:$B))-1</f>
        <v>4.604299813093049E-2</v>
      </c>
      <c r="F19" cm="1">
        <f t="array" ref="F19">(_xlfn.XLOOKUP(1, (prices!$A:$A=$A19)*(prices!$C:$C=DATEVALUE("2024-05-31")), prices!$B:$B)/_xlfn.XLOOKUP(1, (prices!$A:$A=$A19)*(prices!$C:$C=DATEVALUE("2024-04-30")), prices!$B:$B))-1</f>
        <v>-2.292353214756726E-2</v>
      </c>
      <c r="G19" cm="1">
        <f t="array" ref="G19">(_xlfn.XLOOKUP(1, (prices!$A:$A=$A19)*(prices!$C:$C=DATEVALUE("2024-06-30")), prices!$B:$B)/_xlfn.XLOOKUP(1, (prices!$A:$A=$A19)*(prices!$C:$C=DATEVALUE("2024-05-31")), prices!$B:$B))-1</f>
        <v>6.3941932156791337E-2</v>
      </c>
      <c r="H19" cm="1">
        <f t="array" ref="H19">(_xlfn.XLOOKUP(1, (prices!$A:$A=$A19)*(prices!$C:$C=DATEVALUE("2024-07-31")), prices!$B:$B)/_xlfn.XLOOKUP(1, (prices!$A:$A=$A19)*(prices!$C:$C=DATEVALUE("2024-06-30")), prices!$B:$B))-1</f>
        <v>4.2535246615460043E-2</v>
      </c>
      <c r="I19" cm="1">
        <f t="array" ref="I19">(_xlfn.XLOOKUP(1, (prices!$A:$A=$A19)*(prices!$C:$C=DATEVALUE("2024-08-31")), prices!$B:$B)/_xlfn.XLOOKUP(1, (prices!$A:$A=$A19)*(prices!$C:$C=DATEVALUE("2024-07-31")), prices!$B:$B))-1</f>
        <v>4.3614605653273353E-2</v>
      </c>
      <c r="J19" cm="1">
        <f t="array" ref="J19">(_xlfn.XLOOKUP(1, (prices!$A:$A=$A19)*(prices!$C:$C=DATEVALUE("2024-09-30")), prices!$B:$B)/_xlfn.XLOOKUP(1, (prices!$A:$A=$A19)*(prices!$C:$C=DATEVALUE("2024-08-31")), prices!$B:$B))-1</f>
        <v>0.15441032423819356</v>
      </c>
      <c r="K19" cm="1">
        <f t="array" ref="K19">(_xlfn.XLOOKUP(1, (prices!$A:$A=$A19)*(prices!$C:$C=DATEVALUE("2024-10-31")), prices!$B:$B)/_xlfn.XLOOKUP(1, (prices!$A:$A=$A19)*(prices!$C:$C=DATEVALUE("2024-09-30")), prices!$B:$B))-1</f>
        <v>-0.10150826491759823</v>
      </c>
      <c r="L19" cm="1">
        <f t="array" ref="L19">(_xlfn.XLOOKUP(1, (prices!$A:$A=$A19)*(prices!$C:$C=DATEVALUE("2024-11-30")), prices!$B:$B)/_xlfn.XLOOKUP(1, (prices!$A:$A=$A19)*(prices!$C:$C=DATEVALUE("2024-10-31")), prices!$B:$B))-1</f>
        <v>2.9653027576044266E-3</v>
      </c>
      <c r="M19" cm="1">
        <f t="array" ref="M19">(_xlfn.XLOOKUP(1, (prices!$A:$A=$A19)*(prices!$C:$C=DATEVALUE("2024-12-31")), prices!$B:$B)/_xlfn.XLOOKUP(1, (prices!$A:$A=$A19)*(prices!$C:$C=DATEVALUE("2024-11-30")), prices!$B:$B))-1</f>
        <v>-3.6124664227617731E-2</v>
      </c>
    </row>
    <row r="20" spans="1:13">
      <c r="A20" t="str">
        <f>funds_20231231!A21</f>
        <v>ZAGRT</v>
      </c>
      <c r="B20" cm="1">
        <f t="array" ref="B20">(_xlfn.XLOOKUP(1, (prices!$A:$A=$A20)*(prices!$C:$C=DATEVALUE("2024-01-31")), prices!$B:$B)/_xlfn.XLOOKUP(1, (prices!$A:$A=$A20)*(prices!$C:$C=DATE(2023,12,31)), prices!$B:$B))-1</f>
        <v>-2.4237755188176724E-3</v>
      </c>
      <c r="C20" cm="1">
        <f t="array" ref="C20">(_xlfn.XLOOKUP(1, (prices!$A:$A=$A20)*(prices!$C:$C=DATEVALUE("2024-02-29")), prices!$B:$B)/_xlfn.XLOOKUP(1, (prices!$A:$A=$A20)*(prices!$C:$C=DATEVALUE("2024-01-31")), prices!$B:$B))-1</f>
        <v>-4.1948631928047542E-2</v>
      </c>
      <c r="D20" cm="1">
        <f t="array" ref="D20">(_xlfn.XLOOKUP(1, (prices!$A:$A=$A20)*(prices!$C:$C=DATEVALUE("2024-03-31")), prices!$B:$B)/_xlfn.XLOOKUP(1, (prices!$A:$A=$A20)*(prices!$C:$C=DATEVALUE("2024-02-29")), prices!$B:$B))-1</f>
        <v>-2.5860793318430386E-2</v>
      </c>
      <c r="E20" cm="1">
        <f t="array" ref="E20">(_xlfn.XLOOKUP(1, (prices!$A:$A=$A20)*(prices!$C:$C=DATEVALUE("2024-04-30")), prices!$B:$B)/_xlfn.XLOOKUP(1, (prices!$A:$A=$A20)*(prices!$C:$C=DATEVALUE("2024-03-31")), prices!$B:$B))-1</f>
        <v>-2.3230032037432347E-2</v>
      </c>
      <c r="F20" cm="1">
        <f t="array" ref="F20">(_xlfn.XLOOKUP(1, (prices!$A:$A=$A20)*(prices!$C:$C=DATEVALUE("2024-05-31")), prices!$B:$B)/_xlfn.XLOOKUP(1, (prices!$A:$A=$A20)*(prices!$C:$C=DATEVALUE("2024-04-30")), prices!$B:$B))-1</f>
        <v>5.0052397708861829E-3</v>
      </c>
      <c r="G20" cm="1">
        <f t="array" ref="G20">(_xlfn.XLOOKUP(1, (prices!$A:$A=$A20)*(prices!$C:$C=DATEVALUE("2024-06-30")), prices!$B:$B)/_xlfn.XLOOKUP(1, (prices!$A:$A=$A20)*(prices!$C:$C=DATEVALUE("2024-05-31")), prices!$B:$B))-1</f>
        <v>0.14272434264602407</v>
      </c>
      <c r="H20" cm="1">
        <f t="array" ref="H20">(_xlfn.XLOOKUP(1, (prices!$A:$A=$A20)*(prices!$C:$C=DATEVALUE("2024-07-31")), prices!$B:$B)/_xlfn.XLOOKUP(1, (prices!$A:$A=$A20)*(prices!$C:$C=DATEVALUE("2024-06-30")), prices!$B:$B))-1</f>
        <v>1.6965224329546391E-2</v>
      </c>
      <c r="I20" cm="1">
        <f t="array" ref="I20">(_xlfn.XLOOKUP(1, (prices!$A:$A=$A20)*(prices!$C:$C=DATEVALUE("2024-08-31")), prices!$B:$B)/_xlfn.XLOOKUP(1, (prices!$A:$A=$A20)*(prices!$C:$C=DATEVALUE("2024-07-31")), prices!$B:$B))-1</f>
        <v>0.17070053998695722</v>
      </c>
      <c r="J20" cm="1">
        <f t="array" ref="J20">(_xlfn.XLOOKUP(1, (prices!$A:$A=$A20)*(prices!$C:$C=DATEVALUE("2024-09-30")), prices!$B:$B)/_xlfn.XLOOKUP(1, (prices!$A:$A=$A20)*(prices!$C:$C=DATEVALUE("2024-08-31")), prices!$B:$B))-1</f>
        <v>2.5205548234561892E-2</v>
      </c>
      <c r="K20" cm="1">
        <f t="array" ref="K20">(_xlfn.XLOOKUP(1, (prices!$A:$A=$A20)*(prices!$C:$C=DATEVALUE("2024-10-31")), prices!$B:$B)/_xlfn.XLOOKUP(1, (prices!$A:$A=$A20)*(prices!$C:$C=DATEVALUE("2024-09-30")), prices!$B:$B))-1</f>
        <v>-9.3393419238582021E-2</v>
      </c>
      <c r="L20" cm="1">
        <f t="array" ref="L20">(_xlfn.XLOOKUP(1, (prices!$A:$A=$A20)*(prices!$C:$C=DATEVALUE("2024-11-30")), prices!$B:$B)/_xlfn.XLOOKUP(1, (prices!$A:$A=$A20)*(prices!$C:$C=DATEVALUE("2024-10-31")), prices!$B:$B))-1</f>
        <v>-2.5744231196089373E-2</v>
      </c>
      <c r="M20" cm="1">
        <f t="array" ref="M20">(_xlfn.XLOOKUP(1, (prices!$A:$A=$A20)*(prices!$C:$C=DATEVALUE("2024-12-31")), prices!$B:$B)/_xlfn.XLOOKUP(1, (prices!$A:$A=$A20)*(prices!$C:$C=DATEVALUE("2024-11-30")), prices!$B:$B))-1</f>
        <v>-6.1886757708536688E-2</v>
      </c>
    </row>
    <row r="21" spans="1:13">
      <c r="A21" t="str">
        <f>funds_20231231!A22</f>
        <v>ZAWBO</v>
      </c>
      <c r="B21" cm="1">
        <f t="array" ref="B21">(_xlfn.XLOOKUP(1, (prices!$A:$A=$A21)*(prices!$C:$C=DATEVALUE("2024-01-31")), prices!$B:$B)/_xlfn.XLOOKUP(1, (prices!$A:$A=$A21)*(prices!$C:$C=DATE(2023,12,31)), prices!$B:$B))-1</f>
        <v>-1.4542570188049053E-2</v>
      </c>
      <c r="C21" cm="1">
        <f t="array" ref="C21">(_xlfn.XLOOKUP(1, (prices!$A:$A=$A21)*(prices!$C:$C=DATEVALUE("2024-02-29")), prices!$B:$B)/_xlfn.XLOOKUP(1, (prices!$A:$A=$A21)*(prices!$C:$C=DATEVALUE("2024-01-31")), prices!$B:$B))-1</f>
        <v>-3.2725872077032814E-2</v>
      </c>
      <c r="D21" cm="1">
        <f t="array" ref="D21">(_xlfn.XLOOKUP(1, (prices!$A:$A=$A21)*(prices!$C:$C=DATEVALUE("2024-03-31")), prices!$B:$B)/_xlfn.XLOOKUP(1, (prices!$A:$A=$A21)*(prices!$C:$C=DATEVALUE("2024-02-29")), prices!$B:$B))-1</f>
        <v>5.8640800117031322E-2</v>
      </c>
      <c r="E21" cm="1">
        <f t="array" ref="E21">(_xlfn.XLOOKUP(1, (prices!$A:$A=$A21)*(prices!$C:$C=DATEVALUE("2024-04-30")), prices!$B:$B)/_xlfn.XLOOKUP(1, (prices!$A:$A=$A21)*(prices!$C:$C=DATEVALUE("2024-03-31")), prices!$B:$B))-1</f>
        <v>3.3525990883988888E-2</v>
      </c>
      <c r="F21" cm="1">
        <f t="array" ref="F21">(_xlfn.XLOOKUP(1, (prices!$A:$A=$A21)*(prices!$C:$C=DATEVALUE("2024-05-31")), prices!$B:$B)/_xlfn.XLOOKUP(1, (prices!$A:$A=$A21)*(prices!$C:$C=DATEVALUE("2024-04-30")), prices!$B:$B))-1</f>
        <v>7.9129873527952865E-2</v>
      </c>
      <c r="G21" cm="1">
        <f t="array" ref="G21">(_xlfn.XLOOKUP(1, (prices!$A:$A=$A21)*(prices!$C:$C=DATEVALUE("2024-06-30")), prices!$B:$B)/_xlfn.XLOOKUP(1, (prices!$A:$A=$A21)*(prices!$C:$C=DATEVALUE("2024-05-31")), prices!$B:$B))-1</f>
        <v>9.5256164909039098E-2</v>
      </c>
      <c r="H21" cm="1">
        <f t="array" ref="H21">(_xlfn.XLOOKUP(1, (prices!$A:$A=$A21)*(prices!$C:$C=DATEVALUE("2024-07-31")), prices!$B:$B)/_xlfn.XLOOKUP(1, (prices!$A:$A=$A21)*(prices!$C:$C=DATEVALUE("2024-06-30")), prices!$B:$B))-1</f>
        <v>0.1286873570002347</v>
      </c>
      <c r="I21" cm="1">
        <f t="array" ref="I21">(_xlfn.XLOOKUP(1, (prices!$A:$A=$A21)*(prices!$C:$C=DATEVALUE("2024-08-31")), prices!$B:$B)/_xlfn.XLOOKUP(1, (prices!$A:$A=$A21)*(prices!$C:$C=DATEVALUE("2024-07-31")), prices!$B:$B))-1</f>
        <v>0.15878928470563514</v>
      </c>
      <c r="J21" cm="1">
        <f t="array" ref="J21">(_xlfn.XLOOKUP(1, (prices!$A:$A=$A21)*(prices!$C:$C=DATEVALUE("2024-09-30")), prices!$B:$B)/_xlfn.XLOOKUP(1, (prices!$A:$A=$A21)*(prices!$C:$C=DATEVALUE("2024-08-31")), prices!$B:$B))-1</f>
        <v>0.1708142798969865</v>
      </c>
      <c r="K21" cm="1">
        <f t="array" ref="K21">(_xlfn.XLOOKUP(1, (prices!$A:$A=$A21)*(prices!$C:$C=DATEVALUE("2024-10-31")), prices!$B:$B)/_xlfn.XLOOKUP(1, (prices!$A:$A=$A21)*(prices!$C:$C=DATEVALUE("2024-09-30")), prices!$B:$B))-1</f>
        <v>-9.3186241175193474E-2</v>
      </c>
      <c r="L21" cm="1">
        <f t="array" ref="L21">(_xlfn.XLOOKUP(1, (prices!$A:$A=$A21)*(prices!$C:$C=DATEVALUE("2024-11-30")), prices!$B:$B)/_xlfn.XLOOKUP(1, (prices!$A:$A=$A21)*(prices!$C:$C=DATEVALUE("2024-10-31")), prices!$B:$B))-1</f>
        <v>-7.1857743570709065E-2</v>
      </c>
      <c r="M21" cm="1">
        <f t="array" ref="M21">(_xlfn.XLOOKUP(1, (prices!$A:$A=$A21)*(prices!$C:$C=DATEVALUE("2024-12-31")), prices!$B:$B)/_xlfn.XLOOKUP(1, (prices!$A:$A=$A21)*(prices!$C:$C=DATEVALUE("2024-11-30")), prices!$B:$B))-1</f>
        <v>9.4087102698289238E-2</v>
      </c>
    </row>
    <row r="22" spans="1:13">
      <c r="A22" t="str">
        <f>funds_20231231!A23</f>
        <v>ZAHYP</v>
      </c>
      <c r="B22" cm="1">
        <f t="array" ref="B22">(_xlfn.XLOOKUP(1, (prices!$A:$A=$A22)*(prices!$C:$C=DATEVALUE("2024-01-31")), prices!$B:$B)/_xlfn.XLOOKUP(1, (prices!$A:$A=$A22)*(prices!$C:$C=DATE(2023,12,31)), prices!$B:$B))-1</f>
        <v>1.5187140494582474E-2</v>
      </c>
      <c r="C22" cm="1">
        <f t="array" ref="C22">(_xlfn.XLOOKUP(1, (prices!$A:$A=$A22)*(prices!$C:$C=DATEVALUE("2024-02-29")), prices!$B:$B)/_xlfn.XLOOKUP(1, (prices!$A:$A=$A22)*(prices!$C:$C=DATEVALUE("2024-01-31")), prices!$B:$B))-1</f>
        <v>-5.313245088459051E-2</v>
      </c>
      <c r="D22" cm="1">
        <f t="array" ref="D22">(_xlfn.XLOOKUP(1, (prices!$A:$A=$A22)*(prices!$C:$C=DATEVALUE("2024-03-31")), prices!$B:$B)/_xlfn.XLOOKUP(1, (prices!$A:$A=$A22)*(prices!$C:$C=DATEVALUE("2024-02-29")), prices!$B:$B))-1</f>
        <v>-5.1518301479948403E-2</v>
      </c>
      <c r="E22" cm="1">
        <f t="array" ref="E22">(_xlfn.XLOOKUP(1, (prices!$A:$A=$A22)*(prices!$C:$C=DATEVALUE("2024-04-30")), prices!$B:$B)/_xlfn.XLOOKUP(1, (prices!$A:$A=$A22)*(prices!$C:$C=DATEVALUE("2024-03-31")), prices!$B:$B))-1</f>
        <v>-8.0088415478499764E-3</v>
      </c>
      <c r="F22" cm="1">
        <f t="array" ref="F22">(_xlfn.XLOOKUP(1, (prices!$A:$A=$A22)*(prices!$C:$C=DATEVALUE("2024-05-31")), prices!$B:$B)/_xlfn.XLOOKUP(1, (prices!$A:$A=$A22)*(prices!$C:$C=DATEVALUE("2024-04-30")), prices!$B:$B))-1</f>
        <v>-5.5491941793380239E-2</v>
      </c>
      <c r="G22" cm="1">
        <f t="array" ref="G22">(_xlfn.XLOOKUP(1, (prices!$A:$A=$A22)*(prices!$C:$C=DATEVALUE("2024-06-30")), prices!$B:$B)/_xlfn.XLOOKUP(1, (prices!$A:$A=$A22)*(prices!$C:$C=DATEVALUE("2024-05-31")), prices!$B:$B))-1</f>
        <v>0.18332880965088272</v>
      </c>
      <c r="H22" cm="1">
        <f t="array" ref="H22">(_xlfn.XLOOKUP(1, (prices!$A:$A=$A22)*(prices!$C:$C=DATEVALUE("2024-07-31")), prices!$B:$B)/_xlfn.XLOOKUP(1, (prices!$A:$A=$A22)*(prices!$C:$C=DATEVALUE("2024-06-30")), prices!$B:$B))-1</f>
        <v>3.2230358525586755E-2</v>
      </c>
      <c r="I22" cm="1">
        <f t="array" ref="I22">(_xlfn.XLOOKUP(1, (prices!$A:$A=$A22)*(prices!$C:$C=DATEVALUE("2024-08-31")), prices!$B:$B)/_xlfn.XLOOKUP(1, (prices!$A:$A=$A22)*(prices!$C:$C=DATEVALUE("2024-07-31")), prices!$B:$B))-1</f>
        <v>0.2130483703389987</v>
      </c>
      <c r="J22" cm="1">
        <f t="array" ref="J22">(_xlfn.XLOOKUP(1, (prices!$A:$A=$A22)*(prices!$C:$C=DATEVALUE("2024-09-30")), prices!$B:$B)/_xlfn.XLOOKUP(1, (prices!$A:$A=$A22)*(prices!$C:$C=DATEVALUE("2024-08-31")), prices!$B:$B))-1</f>
        <v>0.2402656214422294</v>
      </c>
      <c r="K22" cm="1">
        <f t="array" ref="K22">(_xlfn.XLOOKUP(1, (prices!$A:$A=$A22)*(prices!$C:$C=DATEVALUE("2024-10-31")), prices!$B:$B)/_xlfn.XLOOKUP(1, (prices!$A:$A=$A22)*(prices!$C:$C=DATEVALUE("2024-09-30")), prices!$B:$B))-1</f>
        <v>-0.11596012013072488</v>
      </c>
      <c r="L22" cm="1">
        <f t="array" ref="L22">(_xlfn.XLOOKUP(1, (prices!$A:$A=$A22)*(prices!$C:$C=DATEVALUE("2024-11-30")), prices!$B:$B)/_xlfn.XLOOKUP(1, (prices!$A:$A=$A22)*(prices!$C:$C=DATEVALUE("2024-10-31")), prices!$B:$B))-1</f>
        <v>4.7929959239217723E-2</v>
      </c>
      <c r="M22" cm="1">
        <f t="array" ref="M22">(_xlfn.XLOOKUP(1, (prices!$A:$A=$A22)*(prices!$C:$C=DATEVALUE("2024-12-31")), prices!$B:$B)/_xlfn.XLOOKUP(1, (prices!$A:$A=$A22)*(prices!$C:$C=DATEVALUE("2024-11-30")), prices!$B:$B))-1</f>
        <v>-4.5984064139407144E-3</v>
      </c>
    </row>
    <row r="23" spans="1:13">
      <c r="A23" t="str">
        <f>funds_20231231!A24</f>
        <v>ZAAPN</v>
      </c>
      <c r="B23" cm="1">
        <f t="array" ref="B23">(_xlfn.XLOOKUP(1, (prices!$A:$A=$A23)*(prices!$C:$C=DATEVALUE("2024-01-31")), prices!$B:$B)/_xlfn.XLOOKUP(1, (prices!$A:$A=$A23)*(prices!$C:$C=DATE(2023,12,31)), prices!$B:$B))-1</f>
        <v>-6.2250260193222884E-2</v>
      </c>
      <c r="C23" cm="1">
        <f t="array" ref="C23">(_xlfn.XLOOKUP(1, (prices!$A:$A=$A23)*(prices!$C:$C=DATEVALUE("2024-02-29")), prices!$B:$B)/_xlfn.XLOOKUP(1, (prices!$A:$A=$A23)*(prices!$C:$C=DATEVALUE("2024-01-31")), prices!$B:$B))-1</f>
        <v>-2.0953362837687117E-2</v>
      </c>
      <c r="D23" cm="1">
        <f t="array" ref="D23">(_xlfn.XLOOKUP(1, (prices!$A:$A=$A23)*(prices!$C:$C=DATEVALUE("2024-03-31")), prices!$B:$B)/_xlfn.XLOOKUP(1, (prices!$A:$A=$A23)*(prices!$C:$C=DATEVALUE("2024-02-29")), prices!$B:$B))-1</f>
        <v>0.13397282421281709</v>
      </c>
      <c r="E23" cm="1">
        <f t="array" ref="E23">(_xlfn.XLOOKUP(1, (prices!$A:$A=$A23)*(prices!$C:$C=DATEVALUE("2024-04-30")), prices!$B:$B)/_xlfn.XLOOKUP(1, (prices!$A:$A=$A23)*(prices!$C:$C=DATEVALUE("2024-03-31")), prices!$B:$B))-1</f>
        <v>2.7750076145497848E-2</v>
      </c>
      <c r="F23" cm="1">
        <f t="array" ref="F23">(_xlfn.XLOOKUP(1, (prices!$A:$A=$A23)*(prices!$C:$C=DATEVALUE("2024-05-31")), prices!$B:$B)/_xlfn.XLOOKUP(1, (prices!$A:$A=$A23)*(prices!$C:$C=DATEVALUE("2024-04-30")), prices!$B:$B))-1</f>
        <v>3.6521083526765086E-2</v>
      </c>
      <c r="G23" cm="1">
        <f t="array" ref="G23">(_xlfn.XLOOKUP(1, (prices!$A:$A=$A23)*(prices!$C:$C=DATEVALUE("2024-06-30")), prices!$B:$B)/_xlfn.XLOOKUP(1, (prices!$A:$A=$A23)*(prices!$C:$C=DATEVALUE("2024-05-31")), prices!$B:$B))-1</f>
        <v>3.529440968757358E-2</v>
      </c>
      <c r="H23" cm="1">
        <f t="array" ref="H23">(_xlfn.XLOOKUP(1, (prices!$A:$A=$A23)*(prices!$C:$C=DATEVALUE("2024-07-31")), prices!$B:$B)/_xlfn.XLOOKUP(1, (prices!$A:$A=$A23)*(prices!$C:$C=DATEVALUE("2024-06-30")), prices!$B:$B))-1</f>
        <v>8.3587723850274021E-2</v>
      </c>
      <c r="I23" cm="1">
        <f t="array" ref="I23">(_xlfn.XLOOKUP(1, (prices!$A:$A=$A23)*(prices!$C:$C=DATEVALUE("2024-08-31")), prices!$B:$B)/_xlfn.XLOOKUP(1, (prices!$A:$A=$A23)*(prices!$C:$C=DATEVALUE("2024-07-31")), prices!$B:$B))-1</f>
        <v>-2.3716808004127232E-2</v>
      </c>
      <c r="J23" cm="1">
        <f t="array" ref="J23">(_xlfn.XLOOKUP(1, (prices!$A:$A=$A23)*(prices!$C:$C=DATEVALUE("2024-09-30")), prices!$B:$B)/_xlfn.XLOOKUP(1, (prices!$A:$A=$A23)*(prices!$C:$C=DATEVALUE("2024-08-31")), prices!$B:$B))-1</f>
        <v>-0.16282961811727104</v>
      </c>
      <c r="K23" cm="1">
        <f t="array" ref="K23">(_xlfn.XLOOKUP(1, (prices!$A:$A=$A23)*(prices!$C:$C=DATEVALUE("2024-10-31")), prices!$B:$B)/_xlfn.XLOOKUP(1, (prices!$A:$A=$A23)*(prices!$C:$C=DATEVALUE("2024-09-30")), prices!$B:$B))-1</f>
        <v>-0.10783474735849718</v>
      </c>
      <c r="L23" cm="1">
        <f t="array" ref="L23">(_xlfn.XLOOKUP(1, (prices!$A:$A=$A23)*(prices!$C:$C=DATEVALUE("2024-11-30")), prices!$B:$B)/_xlfn.XLOOKUP(1, (prices!$A:$A=$A23)*(prices!$C:$C=DATEVALUE("2024-10-31")), prices!$B:$B))-1</f>
        <v>-9.165276757108709E-2</v>
      </c>
      <c r="M23" cm="1">
        <f t="array" ref="M23">(_xlfn.XLOOKUP(1, (prices!$A:$A=$A23)*(prices!$C:$C=DATEVALUE("2024-12-31")), prices!$B:$B)/_xlfn.XLOOKUP(1, (prices!$A:$A=$A23)*(prices!$C:$C=DATEVALUE("2024-11-30")), prices!$B:$B))-1</f>
        <v>-4.7349663641313433E-2</v>
      </c>
    </row>
    <row r="24" spans="1:13">
      <c r="A24" t="str">
        <f>funds_20231231!A25</f>
        <v>ZAHAR</v>
      </c>
      <c r="B24" cm="1">
        <f t="array" ref="B24">(_xlfn.XLOOKUP(1, (prices!$A:$A=$A24)*(prices!$C:$C=DATEVALUE("2024-01-31")), prices!$B:$B)/_xlfn.XLOOKUP(1, (prices!$A:$A=$A24)*(prices!$C:$C=DATE(2023,12,31)), prices!$B:$B))-1</f>
        <v>-3.4741102813105829E-2</v>
      </c>
      <c r="C24" cm="1">
        <f t="array" ref="C24">(_xlfn.XLOOKUP(1, (prices!$A:$A=$A24)*(prices!$C:$C=DATEVALUE("2024-02-29")), prices!$B:$B)/_xlfn.XLOOKUP(1, (prices!$A:$A=$A24)*(prices!$C:$C=DATEVALUE("2024-01-31")), prices!$B:$B))-1</f>
        <v>-7.0711692912134749E-2</v>
      </c>
      <c r="D24" cm="1">
        <f t="array" ref="D24">(_xlfn.XLOOKUP(1, (prices!$A:$A=$A24)*(prices!$C:$C=DATEVALUE("2024-03-31")), prices!$B:$B)/_xlfn.XLOOKUP(1, (prices!$A:$A=$A24)*(prices!$C:$C=DATEVALUE("2024-02-29")), prices!$B:$B))-1</f>
        <v>0.42251148588062226</v>
      </c>
      <c r="E24" cm="1">
        <f t="array" ref="E24">(_xlfn.XLOOKUP(1, (prices!$A:$A=$A24)*(prices!$C:$C=DATEVALUE("2024-04-30")), prices!$B:$B)/_xlfn.XLOOKUP(1, (prices!$A:$A=$A24)*(prices!$C:$C=DATEVALUE("2024-03-31")), prices!$B:$B))-1</f>
        <v>4.9242286861557183E-2</v>
      </c>
      <c r="F24" cm="1">
        <f t="array" ref="F24">(_xlfn.XLOOKUP(1, (prices!$A:$A=$A24)*(prices!$C:$C=DATEVALUE("2024-05-31")), prices!$B:$B)/_xlfn.XLOOKUP(1, (prices!$A:$A=$A24)*(prices!$C:$C=DATEVALUE("2024-04-30")), prices!$B:$B))-1</f>
        <v>3.683210893035116E-2</v>
      </c>
      <c r="G24" cm="1">
        <f t="array" ref="G24">(_xlfn.XLOOKUP(1, (prices!$A:$A=$A24)*(prices!$C:$C=DATEVALUE("2024-06-30")), prices!$B:$B)/_xlfn.XLOOKUP(1, (prices!$A:$A=$A24)*(prices!$C:$C=DATEVALUE("2024-05-31")), prices!$B:$B))-1</f>
        <v>1.3824835136102109E-2</v>
      </c>
      <c r="H24" cm="1">
        <f t="array" ref="H24">(_xlfn.XLOOKUP(1, (prices!$A:$A=$A24)*(prices!$C:$C=DATEVALUE("2024-07-31")), prices!$B:$B)/_xlfn.XLOOKUP(1, (prices!$A:$A=$A24)*(prices!$C:$C=DATEVALUE("2024-06-30")), prices!$B:$B))-1</f>
        <v>6.3331086673032111E-2</v>
      </c>
      <c r="I24" cm="1">
        <f t="array" ref="I24">(_xlfn.XLOOKUP(1, (prices!$A:$A=$A24)*(prices!$C:$C=DATEVALUE("2024-08-31")), prices!$B:$B)/_xlfn.XLOOKUP(1, (prices!$A:$A=$A24)*(prices!$C:$C=DATEVALUE("2024-07-31")), prices!$B:$B))-1</f>
        <v>2.6009385411019048E-2</v>
      </c>
      <c r="J24" cm="1">
        <f t="array" ref="J24">(_xlfn.XLOOKUP(1, (prices!$A:$A=$A24)*(prices!$C:$C=DATEVALUE("2024-09-30")), prices!$B:$B)/_xlfn.XLOOKUP(1, (prices!$A:$A=$A24)*(prices!$C:$C=DATEVALUE("2024-08-31")), prices!$B:$B))-1</f>
        <v>2.9569273445581024E-2</v>
      </c>
      <c r="K24" cm="1">
        <f t="array" ref="K24">(_xlfn.XLOOKUP(1, (prices!$A:$A=$A24)*(prices!$C:$C=DATEVALUE("2024-10-31")), prices!$B:$B)/_xlfn.XLOOKUP(1, (prices!$A:$A=$A24)*(prices!$C:$C=DATEVALUE("2024-09-30")), prices!$B:$B))-1</f>
        <v>3.2795999843801438E-2</v>
      </c>
      <c r="L24" cm="1">
        <f t="array" ref="L24">(_xlfn.XLOOKUP(1, (prices!$A:$A=$A24)*(prices!$C:$C=DATEVALUE("2024-11-30")), prices!$B:$B)/_xlfn.XLOOKUP(1, (prices!$A:$A=$A24)*(prices!$C:$C=DATEVALUE("2024-10-31")), prices!$B:$B))-1</f>
        <v>-0.14444423474679779</v>
      </c>
      <c r="M24" cm="1">
        <f t="array" ref="M24">(_xlfn.XLOOKUP(1, (prices!$A:$A=$A24)*(prices!$C:$C=DATEVALUE("2024-12-31")), prices!$B:$B)/_xlfn.XLOOKUP(1, (prices!$A:$A=$A24)*(prices!$C:$C=DATEVALUE("2024-11-30")), prices!$B:$B))-1</f>
        <v>-0.12580628222679646</v>
      </c>
    </row>
    <row r="25" spans="1:13">
      <c r="A25" t="str">
        <f>funds_20231231!A26</f>
        <v>ZATFG</v>
      </c>
      <c r="B25" cm="1">
        <f t="array" ref="B25">(_xlfn.XLOOKUP(1, (prices!$A:$A=$A25)*(prices!$C:$C=DATEVALUE("2024-01-31")), prices!$B:$B)/_xlfn.XLOOKUP(1, (prices!$A:$A=$A25)*(prices!$C:$C=DATE(2023,12,31)), prices!$B:$B))-1</f>
        <v>7.9884124782101384E-3</v>
      </c>
      <c r="C25" cm="1">
        <f t="array" ref="C25">(_xlfn.XLOOKUP(1, (prices!$A:$A=$A25)*(prices!$C:$C=DATEVALUE("2024-02-29")), prices!$B:$B)/_xlfn.XLOOKUP(1, (prices!$A:$A=$A25)*(prices!$C:$C=DATEVALUE("2024-01-31")), prices!$B:$B))-1</f>
        <v>-0.10848115071077358</v>
      </c>
      <c r="D25" cm="1">
        <f t="array" ref="D25">(_xlfn.XLOOKUP(1, (prices!$A:$A=$A25)*(prices!$C:$C=DATEVALUE("2024-03-31")), prices!$B:$B)/_xlfn.XLOOKUP(1, (prices!$A:$A=$A25)*(prices!$C:$C=DATEVALUE("2024-02-29")), prices!$B:$B))-1</f>
        <v>-3.5840005846080825E-2</v>
      </c>
      <c r="E25" cm="1">
        <f t="array" ref="E25">(_xlfn.XLOOKUP(1, (prices!$A:$A=$A25)*(prices!$C:$C=DATEVALUE("2024-04-30")), prices!$B:$B)/_xlfn.XLOOKUP(1, (prices!$A:$A=$A25)*(prices!$C:$C=DATEVALUE("2024-03-31")), prices!$B:$B))-1</f>
        <v>5.6439015729492503E-3</v>
      </c>
      <c r="F25" cm="1">
        <f t="array" ref="F25">(_xlfn.XLOOKUP(1, (prices!$A:$A=$A25)*(prices!$C:$C=DATEVALUE("2024-05-31")), prices!$B:$B)/_xlfn.XLOOKUP(1, (prices!$A:$A=$A25)*(prices!$C:$C=DATEVALUE("2024-04-30")), prices!$B:$B))-1</f>
        <v>-4.558020328338086E-2</v>
      </c>
      <c r="G25" cm="1">
        <f t="array" ref="G25">(_xlfn.XLOOKUP(1, (prices!$A:$A=$A25)*(prices!$C:$C=DATEVALUE("2024-06-30")), prices!$B:$B)/_xlfn.XLOOKUP(1, (prices!$A:$A=$A25)*(prices!$C:$C=DATEVALUE("2024-05-31")), prices!$B:$B))-1</f>
        <v>0.38392490055262107</v>
      </c>
      <c r="H25" cm="1">
        <f t="array" ref="H25">(_xlfn.XLOOKUP(1, (prices!$A:$A=$A25)*(prices!$C:$C=DATEVALUE("2024-07-31")), prices!$B:$B)/_xlfn.XLOOKUP(1, (prices!$A:$A=$A25)*(prices!$C:$C=DATEVALUE("2024-06-30")), prices!$B:$B))-1</f>
        <v>5.8175924190594586E-2</v>
      </c>
      <c r="I25" cm="1">
        <f t="array" ref="I25">(_xlfn.XLOOKUP(1, (prices!$A:$A=$A25)*(prices!$C:$C=DATEVALUE("2024-08-31")), prices!$B:$B)/_xlfn.XLOOKUP(1, (prices!$A:$A=$A25)*(prices!$C:$C=DATEVALUE("2024-07-31")), prices!$B:$B))-1</f>
        <v>0.1043745428405749</v>
      </c>
      <c r="J25" cm="1">
        <f t="array" ref="J25">(_xlfn.XLOOKUP(1, (prices!$A:$A=$A25)*(prices!$C:$C=DATEVALUE("2024-09-30")), prices!$B:$B)/_xlfn.XLOOKUP(1, (prices!$A:$A=$A25)*(prices!$C:$C=DATEVALUE("2024-08-31")), prices!$B:$B))-1</f>
        <v>0.11081774648079668</v>
      </c>
      <c r="K25" cm="1">
        <f t="array" ref="K25">(_xlfn.XLOOKUP(1, (prices!$A:$A=$A25)*(prices!$C:$C=DATEVALUE("2024-10-31")), prices!$B:$B)/_xlfn.XLOOKUP(1, (prices!$A:$A=$A25)*(prices!$C:$C=DATEVALUE("2024-09-30")), prices!$B:$B))-1</f>
        <v>-4.259479566827018E-2</v>
      </c>
      <c r="L25" cm="1">
        <f t="array" ref="L25">(_xlfn.XLOOKUP(1, (prices!$A:$A=$A25)*(prices!$C:$C=DATEVALUE("2024-11-30")), prices!$B:$B)/_xlfn.XLOOKUP(1, (prices!$A:$A=$A25)*(prices!$C:$C=DATEVALUE("2024-10-31")), prices!$B:$B))-1</f>
        <v>8.7322164314054929E-2</v>
      </c>
      <c r="M25" cm="1">
        <f t="array" ref="M25">(_xlfn.XLOOKUP(1, (prices!$A:$A=$A25)*(prices!$C:$C=DATEVALUE("2024-12-31")), prices!$B:$B)/_xlfn.XLOOKUP(1, (prices!$A:$A=$A25)*(prices!$C:$C=DATEVALUE("2024-11-30")), prices!$B:$B))-1</f>
        <v>-5.6541478440479631E-2</v>
      </c>
    </row>
    <row r="26" spans="1:13">
      <c r="A26" t="str">
        <f>funds_20231231!A27</f>
        <v>ZAKIO</v>
      </c>
      <c r="B26" cm="1">
        <f t="array" ref="B26">(_xlfn.XLOOKUP(1, (prices!$A:$A=$A26)*(prices!$C:$C=DATEVALUE("2024-01-31")), prices!$B:$B)/_xlfn.XLOOKUP(1, (prices!$A:$A=$A26)*(prices!$C:$C=DATE(2023,12,31)), prices!$B:$B))-1</f>
        <v>-0.11552851414502929</v>
      </c>
      <c r="C26" cm="1">
        <f t="array" ref="C26">(_xlfn.XLOOKUP(1, (prices!$A:$A=$A26)*(prices!$C:$C=DATEVALUE("2024-02-29")), prices!$B:$B)/_xlfn.XLOOKUP(1, (prices!$A:$A=$A26)*(prices!$C:$C=DATEVALUE("2024-01-31")), prices!$B:$B))-1</f>
        <v>-5.8650030863328761E-2</v>
      </c>
      <c r="D26" cm="1">
        <f t="array" ref="D26">(_xlfn.XLOOKUP(1, (prices!$A:$A=$A26)*(prices!$C:$C=DATEVALUE("2024-03-31")), prices!$B:$B)/_xlfn.XLOOKUP(1, (prices!$A:$A=$A26)*(prices!$C:$C=DATEVALUE("2024-02-29")), prices!$B:$B))-1</f>
        <v>-0.12782950493831113</v>
      </c>
      <c r="E26" cm="1">
        <f t="array" ref="E26">(_xlfn.XLOOKUP(1, (prices!$A:$A=$A26)*(prices!$C:$C=DATEVALUE("2024-04-30")), prices!$B:$B)/_xlfn.XLOOKUP(1, (prices!$A:$A=$A26)*(prices!$C:$C=DATEVALUE("2024-03-31")), prices!$B:$B))-1</f>
        <v>8.0594255090804534E-3</v>
      </c>
      <c r="F26" cm="1">
        <f t="array" ref="F26">(_xlfn.XLOOKUP(1, (prices!$A:$A=$A26)*(prices!$C:$C=DATEVALUE("2024-05-31")), prices!$B:$B)/_xlfn.XLOOKUP(1, (prices!$A:$A=$A26)*(prices!$C:$C=DATEVALUE("2024-04-30")), prices!$B:$B))-1</f>
        <v>5.8146838313296589E-2</v>
      </c>
      <c r="G26" cm="1">
        <f t="array" ref="G26">(_xlfn.XLOOKUP(1, (prices!$A:$A=$A26)*(prices!$C:$C=DATEVALUE("2024-06-30")), prices!$B:$B)/_xlfn.XLOOKUP(1, (prices!$A:$A=$A26)*(prices!$C:$C=DATEVALUE("2024-05-31")), prices!$B:$B))-1</f>
        <v>-7.5402440308203533E-2</v>
      </c>
      <c r="H26" cm="1">
        <f t="array" ref="H26">(_xlfn.XLOOKUP(1, (prices!$A:$A=$A26)*(prices!$C:$C=DATEVALUE("2024-07-31")), prices!$B:$B)/_xlfn.XLOOKUP(1, (prices!$A:$A=$A26)*(prices!$C:$C=DATEVALUE("2024-06-30")), prices!$B:$B))-1</f>
        <v>-9.2892946517845409E-2</v>
      </c>
      <c r="I26" cm="1">
        <f t="array" ref="I26">(_xlfn.XLOOKUP(1, (prices!$A:$A=$A26)*(prices!$C:$C=DATEVALUE("2024-08-31")), prices!$B:$B)/_xlfn.XLOOKUP(1, (prices!$A:$A=$A26)*(prices!$C:$C=DATEVALUE("2024-07-31")), prices!$B:$B))-1</f>
        <v>-8.9906756265247134E-2</v>
      </c>
      <c r="J26" cm="1">
        <f t="array" ref="J26">(_xlfn.XLOOKUP(1, (prices!$A:$A=$A26)*(prices!$C:$C=DATEVALUE("2024-09-30")), prices!$B:$B)/_xlfn.XLOOKUP(1, (prices!$A:$A=$A26)*(prices!$C:$C=DATEVALUE("2024-08-31")), prices!$B:$B))-1</f>
        <v>0.17075252667148555</v>
      </c>
      <c r="K26" cm="1">
        <f t="array" ref="K26">(_xlfn.XLOOKUP(1, (prices!$A:$A=$A26)*(prices!$C:$C=DATEVALUE("2024-10-31")), prices!$B:$B)/_xlfn.XLOOKUP(1, (prices!$A:$A=$A26)*(prices!$C:$C=DATEVALUE("2024-09-30")), prices!$B:$B))-1</f>
        <v>-0.19302563726250022</v>
      </c>
      <c r="L26" cm="1">
        <f t="array" ref="L26">(_xlfn.XLOOKUP(1, (prices!$A:$A=$A26)*(prices!$C:$C=DATEVALUE("2024-11-30")), prices!$B:$B)/_xlfn.XLOOKUP(1, (prices!$A:$A=$A26)*(prices!$C:$C=DATEVALUE("2024-10-31")), prices!$B:$B))-1</f>
        <v>-1.9563810564180995E-2</v>
      </c>
      <c r="M26" cm="1">
        <f t="array" ref="M26">(_xlfn.XLOOKUP(1, (prices!$A:$A=$A26)*(prices!$C:$C=DATEVALUE("2024-12-31")), prices!$B:$B)/_xlfn.XLOOKUP(1, (prices!$A:$A=$A26)*(prices!$C:$C=DATEVALUE("2024-11-30")), prices!$B:$B))-1</f>
        <v>-6.0918113379320293E-2</v>
      </c>
    </row>
    <row r="27" spans="1:13">
      <c r="A27" t="str">
        <f>funds_20231231!A28</f>
        <v>ZAREM</v>
      </c>
      <c r="B27" cm="1">
        <f t="array" ref="B27">(_xlfn.XLOOKUP(1, (prices!$A:$A=$A27)*(prices!$C:$C=DATEVALUE("2024-01-31")), prices!$B:$B)/_xlfn.XLOOKUP(1, (prices!$A:$A=$A27)*(prices!$C:$C=DATE(2023,12,31)), prices!$B:$B))-1</f>
        <v>-4.5661674106221017E-2</v>
      </c>
      <c r="C27" cm="1">
        <f t="array" ref="C27">(_xlfn.XLOOKUP(1, (prices!$A:$A=$A27)*(prices!$C:$C=DATEVALUE("2024-02-29")), prices!$B:$B)/_xlfn.XLOOKUP(1, (prices!$A:$A=$A27)*(prices!$C:$C=DATEVALUE("2024-01-31")), prices!$B:$B))-1</f>
        <v>-0.10574342791797731</v>
      </c>
      <c r="D27" cm="1">
        <f t="array" ref="D27">(_xlfn.XLOOKUP(1, (prices!$A:$A=$A27)*(prices!$C:$C=DATEVALUE("2024-03-31")), prices!$B:$B)/_xlfn.XLOOKUP(1, (prices!$A:$A=$A27)*(prices!$C:$C=DATEVALUE("2024-02-29")), prices!$B:$B))-1</f>
        <v>-0.14955315264836899</v>
      </c>
      <c r="E27" cm="1">
        <f t="array" ref="E27">(_xlfn.XLOOKUP(1, (prices!$A:$A=$A27)*(prices!$C:$C=DATEVALUE("2024-04-30")), prices!$B:$B)/_xlfn.XLOOKUP(1, (prices!$A:$A=$A27)*(prices!$C:$C=DATEVALUE("2024-03-31")), prices!$B:$B))-1</f>
        <v>1.1927396914479083E-2</v>
      </c>
      <c r="F27" cm="1">
        <f t="array" ref="F27">(_xlfn.XLOOKUP(1, (prices!$A:$A=$A27)*(prices!$C:$C=DATEVALUE("2024-05-31")), prices!$B:$B)/_xlfn.XLOOKUP(1, (prices!$A:$A=$A27)*(prices!$C:$C=DATEVALUE("2024-04-30")), prices!$B:$B))-1</f>
        <v>-1.7555542207190911E-2</v>
      </c>
      <c r="G27" cm="1">
        <f t="array" ref="G27">(_xlfn.XLOOKUP(1, (prices!$A:$A=$A27)*(prices!$C:$C=DATEVALUE("2024-06-30")), prices!$B:$B)/_xlfn.XLOOKUP(1, (prices!$A:$A=$A27)*(prices!$C:$C=DATEVALUE("2024-05-31")), prices!$B:$B))-1</f>
        <v>0.16254782252662014</v>
      </c>
      <c r="H27" cm="1">
        <f t="array" ref="H27">(_xlfn.XLOOKUP(1, (prices!$A:$A=$A27)*(prices!$C:$C=DATEVALUE("2024-07-31")), prices!$B:$B)/_xlfn.XLOOKUP(1, (prices!$A:$A=$A27)*(prices!$C:$C=DATEVALUE("2024-06-30")), prices!$B:$B))-1</f>
        <v>3.2545100565907203E-2</v>
      </c>
      <c r="I27" cm="1">
        <f t="array" ref="I27">(_xlfn.XLOOKUP(1, (prices!$A:$A=$A27)*(prices!$C:$C=DATEVALUE("2024-08-31")), prices!$B:$B)/_xlfn.XLOOKUP(1, (prices!$A:$A=$A27)*(prices!$C:$C=DATEVALUE("2024-07-31")), prices!$B:$B))-1</f>
        <v>5.7651898293431758E-2</v>
      </c>
      <c r="J27" cm="1">
        <f t="array" ref="J27">(_xlfn.XLOOKUP(1, (prices!$A:$A=$A27)*(prices!$C:$C=DATEVALUE("2024-09-30")), prices!$B:$B)/_xlfn.XLOOKUP(1, (prices!$A:$A=$A27)*(prices!$C:$C=DATEVALUE("2024-08-31")), prices!$B:$B))-1</f>
        <v>0.12172404938436898</v>
      </c>
      <c r="K27" cm="1">
        <f t="array" ref="K27">(_xlfn.XLOOKUP(1, (prices!$A:$A=$A27)*(prices!$C:$C=DATEVALUE("2024-10-31")), prices!$B:$B)/_xlfn.XLOOKUP(1, (prices!$A:$A=$A27)*(prices!$C:$C=DATEVALUE("2024-09-30")), prices!$B:$B))-1</f>
        <v>-4.8666944394945677E-2</v>
      </c>
      <c r="L27" cm="1">
        <f t="array" ref="L27">(_xlfn.XLOOKUP(1, (prices!$A:$A=$A27)*(prices!$C:$C=DATEVALUE("2024-11-30")), prices!$B:$B)/_xlfn.XLOOKUP(1, (prices!$A:$A=$A27)*(prices!$C:$C=DATEVALUE("2024-10-31")), prices!$B:$B))-1</f>
        <v>-3.9600656040934101E-2</v>
      </c>
      <c r="M27" cm="1">
        <f t="array" ref="M27">(_xlfn.XLOOKUP(1, (prices!$A:$A=$A27)*(prices!$C:$C=DATEVALUE("2024-12-31")), prices!$B:$B)/_xlfn.XLOOKUP(1, (prices!$A:$A=$A27)*(prices!$C:$C=DATEVALUE("2024-11-30")), prices!$B:$B))-1</f>
        <v>-1.4646190063811515E-2</v>
      </c>
    </row>
    <row r="28" spans="1:13">
      <c r="A28" t="str">
        <f>funds_20231231!A29</f>
        <v>ZASLM</v>
      </c>
      <c r="B28" cm="1">
        <f t="array" ref="B28">(_xlfn.XLOOKUP(1, (prices!$A:$A=$A28)*(prices!$C:$C=DATEVALUE("2024-01-31")), prices!$B:$B)/_xlfn.XLOOKUP(1, (prices!$A:$A=$A28)*(prices!$C:$C=DATE(2023,12,31)), prices!$B:$B))-1</f>
        <v>-3.5238746386157871E-2</v>
      </c>
      <c r="C28" cm="1">
        <f t="array" ref="C28">(_xlfn.XLOOKUP(1, (prices!$A:$A=$A28)*(prices!$C:$C=DATEVALUE("2024-02-29")), prices!$B:$B)/_xlfn.XLOOKUP(1, (prices!$A:$A=$A28)*(prices!$C:$C=DATEVALUE("2024-01-31")), prices!$B:$B))-1</f>
        <v>-1.72021321411997E-3</v>
      </c>
      <c r="D28" cm="1">
        <f t="array" ref="D28">(_xlfn.XLOOKUP(1, (prices!$A:$A=$A28)*(prices!$C:$C=DATEVALUE("2024-03-31")), prices!$B:$B)/_xlfn.XLOOKUP(1, (prices!$A:$A=$A28)*(prices!$C:$C=DATEVALUE("2024-02-29")), prices!$B:$B))-1</f>
        <v>-4.4229244433668602E-2</v>
      </c>
      <c r="E28" cm="1">
        <f t="array" ref="E28">(_xlfn.XLOOKUP(1, (prices!$A:$A=$A28)*(prices!$C:$C=DATEVALUE("2024-04-30")), prices!$B:$B)/_xlfn.XLOOKUP(1, (prices!$A:$A=$A28)*(prices!$C:$C=DATEVALUE("2024-03-31")), prices!$B:$B))-1</f>
        <v>-1.421822623110669E-2</v>
      </c>
      <c r="F28" cm="1">
        <f t="array" ref="F28">(_xlfn.XLOOKUP(1, (prices!$A:$A=$A28)*(prices!$C:$C=DATEVALUE("2024-05-31")), prices!$B:$B)/_xlfn.XLOOKUP(1, (prices!$A:$A=$A28)*(prices!$C:$C=DATEVALUE("2024-04-30")), prices!$B:$B))-1</f>
        <v>4.1602954703548134E-2</v>
      </c>
      <c r="G28" cm="1">
        <f t="array" ref="G28">(_xlfn.XLOOKUP(1, (prices!$A:$A=$A28)*(prices!$C:$C=DATEVALUE("2024-06-30")), prices!$B:$B)/_xlfn.XLOOKUP(1, (prices!$A:$A=$A28)*(prices!$C:$C=DATEVALUE("2024-05-31")), prices!$B:$B))-1</f>
        <v>0.17779363951838012</v>
      </c>
      <c r="H28" cm="1">
        <f t="array" ref="H28">(_xlfn.XLOOKUP(1, (prices!$A:$A=$A28)*(prices!$C:$C=DATEVALUE("2024-07-31")), prices!$B:$B)/_xlfn.XLOOKUP(1, (prices!$A:$A=$A28)*(prices!$C:$C=DATEVALUE("2024-06-30")), prices!$B:$B))-1</f>
        <v>1.1594180154345546E-2</v>
      </c>
      <c r="I28" cm="1">
        <f t="array" ref="I28">(_xlfn.XLOOKUP(1, (prices!$A:$A=$A28)*(prices!$C:$C=DATEVALUE("2024-08-31")), prices!$B:$B)/_xlfn.XLOOKUP(1, (prices!$A:$A=$A28)*(prices!$C:$C=DATEVALUE("2024-07-31")), prices!$B:$B))-1</f>
        <v>0.11678817427684129</v>
      </c>
      <c r="J28" cm="1">
        <f t="array" ref="J28">(_xlfn.XLOOKUP(1, (prices!$A:$A=$A28)*(prices!$C:$C=DATEVALUE("2024-09-30")), prices!$B:$B)/_xlfn.XLOOKUP(1, (prices!$A:$A=$A28)*(prices!$C:$C=DATEVALUE("2024-08-31")), prices!$B:$B))-1</f>
        <v>2.0004658908709505E-2</v>
      </c>
      <c r="K28" cm="1">
        <f t="array" ref="K28">(_xlfn.XLOOKUP(1, (prices!$A:$A=$A28)*(prices!$C:$C=DATEVALUE("2024-10-31")), prices!$B:$B)/_xlfn.XLOOKUP(1, (prices!$A:$A=$A28)*(prices!$C:$C=DATEVALUE("2024-09-30")), prices!$B:$B))-1</f>
        <v>-2.8301608775082698E-2</v>
      </c>
      <c r="L28" cm="1">
        <f t="array" ref="L28">(_xlfn.XLOOKUP(1, (prices!$A:$A=$A28)*(prices!$C:$C=DATEVALUE("2024-11-30")), prices!$B:$B)/_xlfn.XLOOKUP(1, (prices!$A:$A=$A28)*(prices!$C:$C=DATEVALUE("2024-10-31")), prices!$B:$B))-1</f>
        <v>-1.7116316207515081E-2</v>
      </c>
      <c r="M28" cm="1">
        <f t="array" ref="M28">(_xlfn.XLOOKUP(1, (prices!$A:$A=$A28)*(prices!$C:$C=DATEVALUE("2024-12-31")), prices!$B:$B)/_xlfn.XLOOKUP(1, (prices!$A:$A=$A28)*(prices!$C:$C=DATEVALUE("2024-11-30")), prices!$B:$B))-1</f>
        <v>-5.5982777204751644E-2</v>
      </c>
    </row>
    <row r="29" spans="1:13">
      <c r="A29" t="str">
        <f>funds_20231231!A30</f>
        <v>ZANPN</v>
      </c>
      <c r="B29" cm="1">
        <f t="array" ref="B29">(_xlfn.XLOOKUP(1, (prices!$A:$A=$A29)*(prices!$C:$C=DATEVALUE("2024-01-31")), prices!$B:$B)/_xlfn.XLOOKUP(1, (prices!$A:$A=$A29)*(prices!$C:$C=DATE(2023,12,31)), prices!$B:$B))-1</f>
        <v>-1.3830466000332331E-2</v>
      </c>
      <c r="C29" cm="1">
        <f t="array" ref="C29">(_xlfn.XLOOKUP(1, (prices!$A:$A=$A29)*(prices!$C:$C=DATEVALUE("2024-02-29")), prices!$B:$B)/_xlfn.XLOOKUP(1, (prices!$A:$A=$A29)*(prices!$C:$C=DATEVALUE("2024-01-31")), prices!$B:$B))-1</f>
        <v>-2.4962898453857907E-2</v>
      </c>
      <c r="D29" cm="1">
        <f t="array" ref="D29">(_xlfn.XLOOKUP(1, (prices!$A:$A=$A29)*(prices!$C:$C=DATEVALUE("2024-03-31")), prices!$B:$B)/_xlfn.XLOOKUP(1, (prices!$A:$A=$A29)*(prices!$C:$C=DATEVALUE("2024-02-29")), prices!$B:$B))-1</f>
        <v>7.8061115545761117E-2</v>
      </c>
      <c r="E29" cm="1">
        <f t="array" ref="E29">(_xlfn.XLOOKUP(1, (prices!$A:$A=$A29)*(prices!$C:$C=DATEVALUE("2024-04-30")), prices!$B:$B)/_xlfn.XLOOKUP(1, (prices!$A:$A=$A29)*(prices!$C:$C=DATEVALUE("2024-03-31")), prices!$B:$B))-1</f>
        <v>8.0143775105829151E-2</v>
      </c>
      <c r="F29" cm="1">
        <f t="array" ref="F29">(_xlfn.XLOOKUP(1, (prices!$A:$A=$A29)*(prices!$C:$C=DATEVALUE("2024-05-31")), prices!$B:$B)/_xlfn.XLOOKUP(1, (prices!$A:$A=$A29)*(prices!$C:$C=DATEVALUE("2024-04-30")), prices!$B:$B))-1</f>
        <v>3.3978746276464022E-2</v>
      </c>
      <c r="G29" cm="1">
        <f t="array" ref="G29">(_xlfn.XLOOKUP(1, (prices!$A:$A=$A29)*(prices!$C:$C=DATEVALUE("2024-06-30")), prices!$B:$B)/_xlfn.XLOOKUP(1, (prices!$A:$A=$A29)*(prices!$C:$C=DATEVALUE("2024-05-31")), prices!$B:$B))-1</f>
        <v>-1.3476507134388083E-2</v>
      </c>
      <c r="H29" cm="1">
        <f t="array" ref="H29">(_xlfn.XLOOKUP(1, (prices!$A:$A=$A29)*(prices!$C:$C=DATEVALUE("2024-07-31")), prices!$B:$B)/_xlfn.XLOOKUP(1, (prices!$A:$A=$A29)*(prices!$C:$C=DATEVALUE("2024-06-30")), prices!$B:$B))-1</f>
        <v>-8.886064991126319E-3</v>
      </c>
      <c r="I29" cm="1">
        <f t="array" ref="I29">(_xlfn.XLOOKUP(1, (prices!$A:$A=$A29)*(prices!$C:$C=DATEVALUE("2024-08-31")), prices!$B:$B)/_xlfn.XLOOKUP(1, (prices!$A:$A=$A29)*(prices!$C:$C=DATEVALUE("2024-07-31")), prices!$B:$B))-1</f>
        <v>6.981534785840382E-2</v>
      </c>
      <c r="J29" cm="1">
        <f t="array" ref="J29">(_xlfn.XLOOKUP(1, (prices!$A:$A=$A29)*(prices!$C:$C=DATEVALUE("2024-09-30")), prices!$B:$B)/_xlfn.XLOOKUP(1, (prices!$A:$A=$A29)*(prices!$C:$C=DATEVALUE("2024-08-31")), prices!$B:$B))-1</f>
        <v>0.17520004033961545</v>
      </c>
      <c r="K29" cm="1">
        <f t="array" ref="K29">(_xlfn.XLOOKUP(1, (prices!$A:$A=$A29)*(prices!$C:$C=DATEVALUE("2024-10-31")), prices!$B:$B)/_xlfn.XLOOKUP(1, (prices!$A:$A=$A29)*(prices!$C:$C=DATEVALUE("2024-09-30")), prices!$B:$B))-1</f>
        <v>-3.7098248622633001E-2</v>
      </c>
      <c r="L29" cm="1">
        <f t="array" ref="L29">(_xlfn.XLOOKUP(1, (prices!$A:$A=$A29)*(prices!$C:$C=DATEVALUE("2024-11-30")), prices!$B:$B)/_xlfn.XLOOKUP(1, (prices!$A:$A=$A29)*(prices!$C:$C=DATEVALUE("2024-10-31")), prices!$B:$B))-1</f>
        <v>-3.9233772772543585E-2</v>
      </c>
      <c r="M29" cm="1">
        <f t="array" ref="M29">(_xlfn.XLOOKUP(1, (prices!$A:$A=$A29)*(prices!$C:$C=DATEVALUE("2024-12-31")), prices!$B:$B)/_xlfn.XLOOKUP(1, (prices!$A:$A=$A29)*(prices!$C:$C=DATEVALUE("2024-11-30")), prices!$B:$B))-1</f>
        <v>-1.7966394631936833E-2</v>
      </c>
    </row>
    <row r="30" spans="1:13">
      <c r="A30" t="str">
        <f>funds_20231231!A31</f>
        <v>ZAMTN</v>
      </c>
      <c r="B30" cm="1">
        <f t="array" ref="B30">(_xlfn.XLOOKUP(1, (prices!$A:$A=$A30)*(prices!$C:$C=DATEVALUE("2024-01-31")), prices!$B:$B)/_xlfn.XLOOKUP(1, (prices!$A:$A=$A30)*(prices!$C:$C=DATE(2023,12,31)), prices!$B:$B))-1</f>
        <v>-0.1866568093613401</v>
      </c>
      <c r="C30" cm="1">
        <f t="array" ref="C30">(_xlfn.XLOOKUP(1, (prices!$A:$A=$A30)*(prices!$C:$C=DATEVALUE("2024-02-29")), prices!$B:$B)/_xlfn.XLOOKUP(1, (prices!$A:$A=$A30)*(prices!$C:$C=DATEVALUE("2024-01-31")), prices!$B:$B))-1</f>
        <v>-0.1526721341220707</v>
      </c>
      <c r="D30" cm="1">
        <f t="array" ref="D30">(_xlfn.XLOOKUP(1, (prices!$A:$A=$A30)*(prices!$C:$C=DATEVALUE("2024-03-31")), prices!$B:$B)/_xlfn.XLOOKUP(1, (prices!$A:$A=$A30)*(prices!$C:$C=DATEVALUE("2024-02-29")), prices!$B:$B))-1</f>
        <v>0.1373077569202692</v>
      </c>
      <c r="E30" cm="1">
        <f t="array" ref="E30">(_xlfn.XLOOKUP(1, (prices!$A:$A=$A30)*(prices!$C:$C=DATEVALUE("2024-04-30")), prices!$B:$B)/_xlfn.XLOOKUP(1, (prices!$A:$A=$A30)*(prices!$C:$C=DATEVALUE("2024-03-31")), prices!$B:$B))-1</f>
        <v>-2.854937083352227E-2</v>
      </c>
      <c r="F30" cm="1">
        <f t="array" ref="F30">(_xlfn.XLOOKUP(1, (prices!$A:$A=$A30)*(prices!$C:$C=DATEVALUE("2024-05-31")), prices!$B:$B)/_xlfn.XLOOKUP(1, (prices!$A:$A=$A30)*(prices!$C:$C=DATEVALUE("2024-04-30")), prices!$B:$B))-1</f>
        <v>-9.366833823212084E-2</v>
      </c>
      <c r="G30" cm="1">
        <f t="array" ref="G30">(_xlfn.XLOOKUP(1, (prices!$A:$A=$A30)*(prices!$C:$C=DATEVALUE("2024-06-30")), prices!$B:$B)/_xlfn.XLOOKUP(1, (prices!$A:$A=$A30)*(prices!$C:$C=DATEVALUE("2024-05-31")), prices!$B:$B))-1</f>
        <v>6.7265884039399593E-2</v>
      </c>
      <c r="H30" cm="1">
        <f t="array" ref="H30">(_xlfn.XLOOKUP(1, (prices!$A:$A=$A30)*(prices!$C:$C=DATEVALUE("2024-07-31")), prices!$B:$B)/_xlfn.XLOOKUP(1, (prices!$A:$A=$A30)*(prices!$C:$C=DATEVALUE("2024-06-30")), prices!$B:$B))-1</f>
        <v>-6.5116793127753203E-2</v>
      </c>
      <c r="I30" cm="1">
        <f t="array" ref="I30">(_xlfn.XLOOKUP(1, (prices!$A:$A=$A30)*(prices!$C:$C=DATEVALUE("2024-08-31")), prices!$B:$B)/_xlfn.XLOOKUP(1, (prices!$A:$A=$A30)*(prices!$C:$C=DATEVALUE("2024-07-31")), prices!$B:$B))-1</f>
        <v>0.15084488049514855</v>
      </c>
      <c r="J30" cm="1">
        <f t="array" ref="J30">(_xlfn.XLOOKUP(1, (prices!$A:$A=$A30)*(prices!$C:$C=DATEVALUE("2024-09-30")), prices!$B:$B)/_xlfn.XLOOKUP(1, (prices!$A:$A=$A30)*(prices!$C:$C=DATEVALUE("2024-08-31")), prices!$B:$B))-1</f>
        <v>6.4757394624101128E-2</v>
      </c>
      <c r="K30" cm="1">
        <f t="array" ref="K30">(_xlfn.XLOOKUP(1, (prices!$A:$A=$A30)*(prices!$C:$C=DATEVALUE("2024-10-31")), prices!$B:$B)/_xlfn.XLOOKUP(1, (prices!$A:$A=$A30)*(prices!$C:$C=DATEVALUE("2024-09-30")), prices!$B:$B))-1</f>
        <v>-7.0951533867071315E-2</v>
      </c>
      <c r="L30" cm="1">
        <f t="array" ref="L30">(_xlfn.XLOOKUP(1, (prices!$A:$A=$A30)*(prices!$C:$C=DATEVALUE("2024-11-30")), prices!$B:$B)/_xlfn.XLOOKUP(1, (prices!$A:$A=$A30)*(prices!$C:$C=DATEVALUE("2024-10-31")), prices!$B:$B))-1</f>
        <v>-9.7169622705298386E-2</v>
      </c>
      <c r="M30" cm="1">
        <f t="array" ref="M30">(_xlfn.XLOOKUP(1, (prices!$A:$A=$A30)*(prices!$C:$C=DATEVALUE("2024-12-31")), prices!$B:$B)/_xlfn.XLOOKUP(1, (prices!$A:$A=$A30)*(prices!$C:$C=DATEVALUE("2024-11-30")), prices!$B:$B))-1</f>
        <v>9.0656238014692025E-2</v>
      </c>
    </row>
    <row r="31" spans="1:13">
      <c r="A31" t="str">
        <f>funds_20231231!A32</f>
        <v>ZAFSR</v>
      </c>
      <c r="B31" cm="1">
        <f t="array" ref="B31">(_xlfn.XLOOKUP(1, (prices!$A:$A=$A31)*(prices!$C:$C=DATEVALUE("2024-01-31")), prices!$B:$B)/_xlfn.XLOOKUP(1, (prices!$A:$A=$A31)*(prices!$C:$C=DATE(2023,12,31)), prices!$B:$B))-1</f>
        <v>-9.1506473980371483E-2</v>
      </c>
      <c r="C31" cm="1">
        <f t="array" ref="C31">(_xlfn.XLOOKUP(1, (prices!$A:$A=$A31)*(prices!$C:$C=DATEVALUE("2024-02-29")), prices!$B:$B)/_xlfn.XLOOKUP(1, (prices!$A:$A=$A31)*(prices!$C:$C=DATEVALUE("2024-01-31")), prices!$B:$B))-1</f>
        <v>-7.5315629352388114E-2</v>
      </c>
      <c r="D31" cm="1">
        <f t="array" ref="D31">(_xlfn.XLOOKUP(1, (prices!$A:$A=$A31)*(prices!$C:$C=DATEVALUE("2024-03-31")), prices!$B:$B)/_xlfn.XLOOKUP(1, (prices!$A:$A=$A31)*(prices!$C:$C=DATEVALUE("2024-02-29")), prices!$B:$B))-1</f>
        <v>-3.4627638586032572E-2</v>
      </c>
      <c r="E31" cm="1">
        <f t="array" ref="E31">(_xlfn.XLOOKUP(1, (prices!$A:$A=$A31)*(prices!$C:$C=DATEVALUE("2024-04-30")), prices!$B:$B)/_xlfn.XLOOKUP(1, (prices!$A:$A=$A31)*(prices!$C:$C=DATEVALUE("2024-03-31")), prices!$B:$B))-1</f>
        <v>6.1202257999296794E-2</v>
      </c>
      <c r="F31" cm="1">
        <f t="array" ref="F31">(_xlfn.XLOOKUP(1, (prices!$A:$A=$A31)*(prices!$C:$C=DATEVALUE("2024-05-31")), prices!$B:$B)/_xlfn.XLOOKUP(1, (prices!$A:$A=$A31)*(prices!$C:$C=DATEVALUE("2024-04-30")), prices!$B:$B))-1</f>
        <v>-2.0236796537017598E-3</v>
      </c>
      <c r="G31" cm="1">
        <f t="array" ref="G31">(_xlfn.XLOOKUP(1, (prices!$A:$A=$A31)*(prices!$C:$C=DATEVALUE("2024-06-30")), prices!$B:$B)/_xlfn.XLOOKUP(1, (prices!$A:$A=$A31)*(prices!$C:$C=DATEVALUE("2024-05-31")), prices!$B:$B))-1</f>
        <v>0.21984560619525251</v>
      </c>
      <c r="H31" cm="1">
        <f t="array" ref="H31">(_xlfn.XLOOKUP(1, (prices!$A:$A=$A31)*(prices!$C:$C=DATEVALUE("2024-07-31")), prices!$B:$B)/_xlfn.XLOOKUP(1, (prices!$A:$A=$A31)*(prices!$C:$C=DATEVALUE("2024-06-30")), prices!$B:$B))-1</f>
        <v>6.6433913543737955E-2</v>
      </c>
      <c r="I31" cm="1">
        <f t="array" ref="I31">(_xlfn.XLOOKUP(1, (prices!$A:$A=$A31)*(prices!$C:$C=DATEVALUE("2024-08-31")), prices!$B:$B)/_xlfn.XLOOKUP(1, (prices!$A:$A=$A31)*(prices!$C:$C=DATEVALUE("2024-07-31")), prices!$B:$B))-1</f>
        <v>7.8244496091469218E-2</v>
      </c>
      <c r="J31" cm="1">
        <f t="array" ref="J31">(_xlfn.XLOOKUP(1, (prices!$A:$A=$A31)*(prices!$C:$C=DATEVALUE("2024-09-30")), prices!$B:$B)/_xlfn.XLOOKUP(1, (prices!$A:$A=$A31)*(prices!$C:$C=DATEVALUE("2024-08-31")), prices!$B:$B))-1</f>
        <v>-4.6705013757660785E-3</v>
      </c>
      <c r="K31" cm="1">
        <f t="array" ref="K31">(_xlfn.XLOOKUP(1, (prices!$A:$A=$A31)*(prices!$C:$C=DATEVALUE("2024-10-31")), prices!$B:$B)/_xlfn.XLOOKUP(1, (prices!$A:$A=$A31)*(prices!$C:$C=DATEVALUE("2024-09-30")), prices!$B:$B))-1</f>
        <v>-9.5250237519133085E-2</v>
      </c>
      <c r="L31" cm="1">
        <f t="array" ref="L31">(_xlfn.XLOOKUP(1, (prices!$A:$A=$A31)*(prices!$C:$C=DATEVALUE("2024-11-30")), prices!$B:$B)/_xlfn.XLOOKUP(1, (prices!$A:$A=$A31)*(prices!$C:$C=DATEVALUE("2024-10-31")), prices!$B:$B))-1</f>
        <v>-2.3275344981884438E-2</v>
      </c>
      <c r="M31" cm="1">
        <f t="array" ref="M31">(_xlfn.XLOOKUP(1, (prices!$A:$A=$A31)*(prices!$C:$C=DATEVALUE("2024-12-31")), prices!$B:$B)/_xlfn.XLOOKUP(1, (prices!$A:$A=$A31)*(prices!$C:$C=DATEVALUE("2024-11-30")), prices!$B:$B))-1</f>
        <v>-5.4919531385052456E-2</v>
      </c>
    </row>
    <row r="32" spans="1:13">
      <c r="A32" t="str">
        <f>funds_20231231!A33</f>
        <v>ZASPG</v>
      </c>
      <c r="B32" cm="1">
        <f t="array" ref="B32">(_xlfn.XLOOKUP(1, (prices!$A:$A=$A32)*(prices!$C:$C=DATEVALUE("2024-01-31")), prices!$B:$B)/_xlfn.XLOOKUP(1, (prices!$A:$A=$A32)*(prices!$C:$C=DATE(2023,12,31)), prices!$B:$B))-1</f>
        <v>-7.4574113521750474E-2</v>
      </c>
      <c r="C32" cm="1">
        <f t="array" ref="C32">(_xlfn.XLOOKUP(1, (prices!$A:$A=$A32)*(prices!$C:$C=DATEVALUE("2024-02-29")), prices!$B:$B)/_xlfn.XLOOKUP(1, (prices!$A:$A=$A32)*(prices!$C:$C=DATEVALUE("2024-01-31")), prices!$B:$B))-1</f>
        <v>-8.5548618169006496E-2</v>
      </c>
      <c r="D32" cm="1">
        <f t="array" ref="D32">(_xlfn.XLOOKUP(1, (prices!$A:$A=$A32)*(prices!$C:$C=DATEVALUE("2024-03-31")), prices!$B:$B)/_xlfn.XLOOKUP(1, (prices!$A:$A=$A32)*(prices!$C:$C=DATEVALUE("2024-02-29")), prices!$B:$B))-1</f>
        <v>-1.4164961758261096E-2</v>
      </c>
      <c r="E32" cm="1">
        <f t="array" ref="E32">(_xlfn.XLOOKUP(1, (prices!$A:$A=$A32)*(prices!$C:$C=DATEVALUE("2024-04-30")), prices!$B:$B)/_xlfn.XLOOKUP(1, (prices!$A:$A=$A32)*(prices!$C:$C=DATEVALUE("2024-03-31")), prices!$B:$B))-1</f>
        <v>9.3748348991200769E-2</v>
      </c>
      <c r="F32" cm="1">
        <f t="array" ref="F32">(_xlfn.XLOOKUP(1, (prices!$A:$A=$A32)*(prices!$C:$C=DATEVALUE("2024-05-31")), prices!$B:$B)/_xlfn.XLOOKUP(1, (prices!$A:$A=$A32)*(prices!$C:$C=DATEVALUE("2024-04-30")), prices!$B:$B))-1</f>
        <v>-2.998085452549315E-2</v>
      </c>
      <c r="G32" cm="1">
        <f t="array" ref="G32">(_xlfn.XLOOKUP(1, (prices!$A:$A=$A32)*(prices!$C:$C=DATEVALUE("2024-06-30")), prices!$B:$B)/_xlfn.XLOOKUP(1, (prices!$A:$A=$A32)*(prices!$C:$C=DATEVALUE("2024-05-31")), prices!$B:$B))-1</f>
        <v>7.5197321927416905E-2</v>
      </c>
      <c r="H32" cm="1">
        <f t="array" ref="H32">(_xlfn.XLOOKUP(1, (prices!$A:$A=$A32)*(prices!$C:$C=DATEVALUE("2024-07-31")), prices!$B:$B)/_xlfn.XLOOKUP(1, (prices!$A:$A=$A32)*(prices!$C:$C=DATEVALUE("2024-06-30")), prices!$B:$B))-1</f>
        <v>7.940892821235046E-2</v>
      </c>
      <c r="I32" cm="1">
        <f t="array" ref="I32">(_xlfn.XLOOKUP(1, (prices!$A:$A=$A32)*(prices!$C:$C=DATEVALUE("2024-08-31")), prices!$B:$B)/_xlfn.XLOOKUP(1, (prices!$A:$A=$A32)*(prices!$C:$C=DATEVALUE("2024-07-31")), prices!$B:$B))-1</f>
        <v>-6.4742349266438737E-2</v>
      </c>
      <c r="J32" cm="1">
        <f t="array" ref="J32">(_xlfn.XLOOKUP(1, (prices!$A:$A=$A32)*(prices!$C:$C=DATEVALUE("2024-09-30")), prices!$B:$B)/_xlfn.XLOOKUP(1, (prices!$A:$A=$A32)*(prices!$C:$C=DATEVALUE("2024-08-31")), prices!$B:$B))-1</f>
        <v>-0.10297131310796581</v>
      </c>
      <c r="K32" cm="1">
        <f t="array" ref="K32">(_xlfn.XLOOKUP(1, (prices!$A:$A=$A32)*(prices!$C:$C=DATEVALUE("2024-10-31")), prices!$B:$B)/_xlfn.XLOOKUP(1, (prices!$A:$A=$A32)*(prices!$C:$C=DATEVALUE("2024-09-30")), prices!$B:$B))-1</f>
        <v>-9.671834498689591E-2</v>
      </c>
      <c r="L32" cm="1">
        <f t="array" ref="L32">(_xlfn.XLOOKUP(1, (prices!$A:$A=$A32)*(prices!$C:$C=DATEVALUE("2024-11-30")), prices!$B:$B)/_xlfn.XLOOKUP(1, (prices!$A:$A=$A32)*(prices!$C:$C=DATEVALUE("2024-10-31")), prices!$B:$B))-1</f>
        <v>0.24409959528795055</v>
      </c>
      <c r="M32" cm="1">
        <f t="array" ref="M32">(_xlfn.XLOOKUP(1, (prices!$A:$A=$A32)*(prices!$C:$C=DATEVALUE("2024-12-31")), prices!$B:$B)/_xlfn.XLOOKUP(1, (prices!$A:$A=$A32)*(prices!$C:$C=DATEVALUE("2024-11-30")), prices!$B:$B))-1</f>
        <v>-7.7453699096148299E-3</v>
      </c>
    </row>
    <row r="33" spans="1:13">
      <c r="A33" t="str">
        <f>funds_20231231!A34</f>
        <v>ZASHP</v>
      </c>
      <c r="B33" cm="1">
        <f t="array" ref="B33">(_xlfn.XLOOKUP(1, (prices!$A:$A=$A33)*(prices!$C:$C=DATEVALUE("2024-01-31")), prices!$B:$B)/_xlfn.XLOOKUP(1, (prices!$A:$A=$A33)*(prices!$C:$C=DATE(2023,12,31)), prices!$B:$B))-1</f>
        <v>-2.9461494128415699E-2</v>
      </c>
      <c r="C33" cm="1">
        <f t="array" ref="C33">(_xlfn.XLOOKUP(1, (prices!$A:$A=$A33)*(prices!$C:$C=DATEVALUE("2024-02-29")), prices!$B:$B)/_xlfn.XLOOKUP(1, (prices!$A:$A=$A33)*(prices!$C:$C=DATEVALUE("2024-01-31")), prices!$B:$B))-1</f>
        <v>-7.7882445317209004E-2</v>
      </c>
      <c r="D33" cm="1">
        <f t="array" ref="D33">(_xlfn.XLOOKUP(1, (prices!$A:$A=$A33)*(prices!$C:$C=DATEVALUE("2024-03-31")), prices!$B:$B)/_xlfn.XLOOKUP(1, (prices!$A:$A=$A33)*(prices!$C:$C=DATEVALUE("2024-02-29")), prices!$B:$B))-1</f>
        <v>-2.9222822485454714E-2</v>
      </c>
      <c r="E33" cm="1">
        <f t="array" ref="E33">(_xlfn.XLOOKUP(1, (prices!$A:$A=$A33)*(prices!$C:$C=DATEVALUE("2024-04-30")), prices!$B:$B)/_xlfn.XLOOKUP(1, (prices!$A:$A=$A33)*(prices!$C:$C=DATEVALUE("2024-03-31")), prices!$B:$B))-1</f>
        <v>2.2852330361372353E-2</v>
      </c>
      <c r="F33" cm="1">
        <f t="array" ref="F33">(_xlfn.XLOOKUP(1, (prices!$A:$A=$A33)*(prices!$C:$C=DATEVALUE("2024-05-31")), prices!$B:$B)/_xlfn.XLOOKUP(1, (prices!$A:$A=$A33)*(prices!$C:$C=DATEVALUE("2024-04-30")), prices!$B:$B))-1</f>
        <v>-7.7533856261049472E-3</v>
      </c>
      <c r="G33" cm="1">
        <f t="array" ref="G33">(_xlfn.XLOOKUP(1, (prices!$A:$A=$A33)*(prices!$C:$C=DATEVALUE("2024-06-30")), prices!$B:$B)/_xlfn.XLOOKUP(1, (prices!$A:$A=$A33)*(prices!$C:$C=DATEVALUE("2024-05-31")), prices!$B:$B))-1</f>
        <v>0.17288369121514457</v>
      </c>
      <c r="H33" cm="1">
        <f t="array" ref="H33">(_xlfn.XLOOKUP(1, (prices!$A:$A=$A33)*(prices!$C:$C=DATEVALUE("2024-07-31")), prices!$B:$B)/_xlfn.XLOOKUP(1, (prices!$A:$A=$A33)*(prices!$C:$C=DATEVALUE("2024-06-30")), prices!$B:$B))-1</f>
        <v>7.6227535926001844E-2</v>
      </c>
      <c r="I33" cm="1">
        <f t="array" ref="I33">(_xlfn.XLOOKUP(1, (prices!$A:$A=$A33)*(prices!$C:$C=DATEVALUE("2024-08-31")), prices!$B:$B)/_xlfn.XLOOKUP(1, (prices!$A:$A=$A33)*(prices!$C:$C=DATEVALUE("2024-07-31")), prices!$B:$B))-1</f>
        <v>4.3243142319110195E-2</v>
      </c>
      <c r="J33" cm="1">
        <f t="array" ref="J33">(_xlfn.XLOOKUP(1, (prices!$A:$A=$A33)*(prices!$C:$C=DATEVALUE("2024-09-30")), prices!$B:$B)/_xlfn.XLOOKUP(1, (prices!$A:$A=$A33)*(prices!$C:$C=DATEVALUE("2024-08-31")), prices!$B:$B))-1</f>
        <v>-1.7194815726136459E-2</v>
      </c>
      <c r="K33" cm="1">
        <f t="array" ref="K33">(_xlfn.XLOOKUP(1, (prices!$A:$A=$A33)*(prices!$C:$C=DATEVALUE("2024-10-31")), prices!$B:$B)/_xlfn.XLOOKUP(1, (prices!$A:$A=$A33)*(prices!$C:$C=DATEVALUE("2024-09-30")), prices!$B:$B))-1</f>
        <v>-1.0575515624765552E-3</v>
      </c>
      <c r="L33" cm="1">
        <f t="array" ref="L33">(_xlfn.XLOOKUP(1, (prices!$A:$A=$A33)*(prices!$C:$C=DATEVALUE("2024-11-30")), prices!$B:$B)/_xlfn.XLOOKUP(1, (prices!$A:$A=$A33)*(prices!$C:$C=DATEVALUE("2024-10-31")), prices!$B:$B))-1</f>
        <v>-4.4975335699502184E-2</v>
      </c>
      <c r="M33" cm="1">
        <f t="array" ref="M33">(_xlfn.XLOOKUP(1, (prices!$A:$A=$A33)*(prices!$C:$C=DATEVALUE("2024-12-31")), prices!$B:$B)/_xlfn.XLOOKUP(1, (prices!$A:$A=$A33)*(prices!$C:$C=DATEVALUE("2024-11-30")), prices!$B:$B))-1</f>
        <v>-4.6901413168905726E-2</v>
      </c>
    </row>
    <row r="34" spans="1:13">
      <c r="A34" t="str">
        <f>funds_20231231!A35</f>
        <v>ZABVT</v>
      </c>
      <c r="B34" cm="1">
        <f t="array" ref="B34">(_xlfn.XLOOKUP(1, (prices!$A:$A=$A34)*(prices!$C:$C=DATEVALUE("2024-01-31")), prices!$B:$B)/_xlfn.XLOOKUP(1, (prices!$A:$A=$A34)*(prices!$C:$C=DATE(2023,12,31)), prices!$B:$B))-1</f>
        <v>-3.8014582298582344E-2</v>
      </c>
      <c r="C34" cm="1">
        <f t="array" ref="C34">(_xlfn.XLOOKUP(1, (prices!$A:$A=$A34)*(prices!$C:$C=DATEVALUE("2024-02-29")), prices!$B:$B)/_xlfn.XLOOKUP(1, (prices!$A:$A=$A34)*(prices!$C:$C=DATEVALUE("2024-01-31")), prices!$B:$B))-1</f>
        <v>-8.2224035591192401E-2</v>
      </c>
      <c r="D34" cm="1">
        <f t="array" ref="D34">(_xlfn.XLOOKUP(1, (prices!$A:$A=$A34)*(prices!$C:$C=DATEVALUE("2024-03-31")), prices!$B:$B)/_xlfn.XLOOKUP(1, (prices!$A:$A=$A34)*(prices!$C:$C=DATEVALUE("2024-02-29")), prices!$B:$B))-1</f>
        <v>5.1440755120420789E-2</v>
      </c>
      <c r="E34" cm="1">
        <f t="array" ref="E34">(_xlfn.XLOOKUP(1, (prices!$A:$A=$A34)*(prices!$C:$C=DATEVALUE("2024-04-30")), prices!$B:$B)/_xlfn.XLOOKUP(1, (prices!$A:$A=$A34)*(prices!$C:$C=DATEVALUE("2024-03-31")), prices!$B:$B))-1</f>
        <v>2.08038929015395E-2</v>
      </c>
      <c r="F34" cm="1">
        <f t="array" ref="F34">(_xlfn.XLOOKUP(1, (prices!$A:$A=$A34)*(prices!$C:$C=DATEVALUE("2024-05-31")), prices!$B:$B)/_xlfn.XLOOKUP(1, (prices!$A:$A=$A34)*(prices!$C:$C=DATEVALUE("2024-04-30")), prices!$B:$B))-1</f>
        <v>-2.0860812319887234E-3</v>
      </c>
      <c r="G34" cm="1">
        <f t="array" ref="G34">(_xlfn.XLOOKUP(1, (prices!$A:$A=$A34)*(prices!$C:$C=DATEVALUE("2024-06-30")), prices!$B:$B)/_xlfn.XLOOKUP(1, (prices!$A:$A=$A34)*(prices!$C:$C=DATEVALUE("2024-05-31")), prices!$B:$B))-1</f>
        <v>0.19403986317269761</v>
      </c>
      <c r="H34" cm="1">
        <f t="array" ref="H34">(_xlfn.XLOOKUP(1, (prices!$A:$A=$A34)*(prices!$C:$C=DATEVALUE("2024-07-31")), prices!$B:$B)/_xlfn.XLOOKUP(1, (prices!$A:$A=$A34)*(prices!$C:$C=DATEVALUE("2024-06-30")), prices!$B:$B))-1</f>
        <v>-3.5356951263201153E-2</v>
      </c>
      <c r="I34" cm="1">
        <f t="array" ref="I34">(_xlfn.XLOOKUP(1, (prices!$A:$A=$A34)*(prices!$C:$C=DATEVALUE("2024-08-31")), prices!$B:$B)/_xlfn.XLOOKUP(1, (prices!$A:$A=$A34)*(prices!$C:$C=DATEVALUE("2024-07-31")), prices!$B:$B))-1</f>
        <v>9.1475918306347603E-2</v>
      </c>
      <c r="J34" cm="1">
        <f t="array" ref="J34">(_xlfn.XLOOKUP(1, (prices!$A:$A=$A34)*(prices!$C:$C=DATEVALUE("2024-09-30")), prices!$B:$B)/_xlfn.XLOOKUP(1, (prices!$A:$A=$A34)*(prices!$C:$C=DATEVALUE("2024-08-31")), prices!$B:$B))-1</f>
        <v>3.5946335509735139E-2</v>
      </c>
      <c r="K34" cm="1">
        <f t="array" ref="K34">(_xlfn.XLOOKUP(1, (prices!$A:$A=$A34)*(prices!$C:$C=DATEVALUE("2024-10-31")), prices!$B:$B)/_xlfn.XLOOKUP(1, (prices!$A:$A=$A34)*(prices!$C:$C=DATEVALUE("2024-09-30")), prices!$B:$B))-1</f>
        <v>-5.5737865144237397E-2</v>
      </c>
      <c r="L34" cm="1">
        <f t="array" ref="L34">(_xlfn.XLOOKUP(1, (prices!$A:$A=$A34)*(prices!$C:$C=DATEVALUE("2024-11-30")), prices!$B:$B)/_xlfn.XLOOKUP(1, (prices!$A:$A=$A34)*(prices!$C:$C=DATEVALUE("2024-10-31")), prices!$B:$B))-1</f>
        <v>-4.7330556792895662E-2</v>
      </c>
      <c r="M34" cm="1">
        <f t="array" ref="M34">(_xlfn.XLOOKUP(1, (prices!$A:$A=$A34)*(prices!$C:$C=DATEVALUE("2024-12-31")), prices!$B:$B)/_xlfn.XLOOKUP(1, (prices!$A:$A=$A34)*(prices!$C:$C=DATEVALUE("2024-11-30")), prices!$B:$B))-1</f>
        <v>-8.5789812966734824E-2</v>
      </c>
    </row>
    <row r="35" spans="1:13">
      <c r="A35" t="str">
        <f>funds_20231231!A36</f>
        <v>ZACLS</v>
      </c>
      <c r="B35" cm="1">
        <f t="array" ref="B35">(_xlfn.XLOOKUP(1, (prices!$A:$A=$A35)*(prices!$C:$C=DATEVALUE("2024-01-31")), prices!$B:$B)/_xlfn.XLOOKUP(1, (prices!$A:$A=$A35)*(prices!$C:$C=DATE(2023,12,31)), prices!$B:$B))-1</f>
        <v>-9.1511558076010413E-2</v>
      </c>
      <c r="C35" cm="1">
        <f t="array" ref="C35">(_xlfn.XLOOKUP(1, (prices!$A:$A=$A35)*(prices!$C:$C=DATEVALUE("2024-02-29")), prices!$B:$B)/_xlfn.XLOOKUP(1, (prices!$A:$A=$A35)*(prices!$C:$C=DATEVALUE("2024-01-31")), prices!$B:$B))-1</f>
        <v>-3.3232911122762721E-2</v>
      </c>
      <c r="D35" cm="1">
        <f t="array" ref="D35">(_xlfn.XLOOKUP(1, (prices!$A:$A=$A35)*(prices!$C:$C=DATEVALUE("2024-03-31")), prices!$B:$B)/_xlfn.XLOOKUP(1, (prices!$A:$A=$A35)*(prices!$C:$C=DATEVALUE("2024-02-29")), prices!$B:$B))-1</f>
        <v>-3.6586379222203202E-4</v>
      </c>
      <c r="E35" cm="1">
        <f t="array" ref="E35">(_xlfn.XLOOKUP(1, (prices!$A:$A=$A35)*(prices!$C:$C=DATEVALUE("2024-04-30")), prices!$B:$B)/_xlfn.XLOOKUP(1, (prices!$A:$A=$A35)*(prices!$C:$C=DATEVALUE("2024-03-31")), prices!$B:$B))-1</f>
        <v>-1.0208898528980215E-2</v>
      </c>
      <c r="F35" cm="1">
        <f t="array" ref="F35">(_xlfn.XLOOKUP(1, (prices!$A:$A=$A35)*(prices!$C:$C=DATEVALUE("2024-05-31")), prices!$B:$B)/_xlfn.XLOOKUP(1, (prices!$A:$A=$A35)*(prices!$C:$C=DATEVALUE("2024-04-30")), prices!$B:$B))-1</f>
        <v>1.4948814298377799E-2</v>
      </c>
      <c r="G35" cm="1">
        <f t="array" ref="G35">(_xlfn.XLOOKUP(1, (prices!$A:$A=$A35)*(prices!$C:$C=DATEVALUE("2024-06-30")), prices!$B:$B)/_xlfn.XLOOKUP(1, (prices!$A:$A=$A35)*(prices!$C:$C=DATEVALUE("2024-05-31")), prices!$B:$B))-1</f>
        <v>0.20050823822423736</v>
      </c>
      <c r="H35" cm="1">
        <f t="array" ref="H35">(_xlfn.XLOOKUP(1, (prices!$A:$A=$A35)*(prices!$C:$C=DATEVALUE("2024-07-31")), prices!$B:$B)/_xlfn.XLOOKUP(1, (prices!$A:$A=$A35)*(prices!$C:$C=DATEVALUE("2024-06-30")), prices!$B:$B))-1</f>
        <v>3.1879046579867287E-2</v>
      </c>
      <c r="I35" cm="1">
        <f t="array" ref="I35">(_xlfn.XLOOKUP(1, (prices!$A:$A=$A35)*(prices!$C:$C=DATEVALUE("2024-08-31")), prices!$B:$B)/_xlfn.XLOOKUP(1, (prices!$A:$A=$A35)*(prices!$C:$C=DATEVALUE("2024-07-31")), prices!$B:$B))-1</f>
        <v>8.1558662155009731E-2</v>
      </c>
      <c r="J35" cm="1">
        <f t="array" ref="J35">(_xlfn.XLOOKUP(1, (prices!$A:$A=$A35)*(prices!$C:$C=DATEVALUE("2024-09-30")), prices!$B:$B)/_xlfn.XLOOKUP(1, (prices!$A:$A=$A35)*(prices!$C:$C=DATEVALUE("2024-08-31")), prices!$B:$B))-1</f>
        <v>9.4507143845014463E-2</v>
      </c>
      <c r="K35" cm="1">
        <f t="array" ref="K35">(_xlfn.XLOOKUP(1, (prices!$A:$A=$A35)*(prices!$C:$C=DATEVALUE("2024-10-31")), prices!$B:$B)/_xlfn.XLOOKUP(1, (prices!$A:$A=$A35)*(prices!$C:$C=DATEVALUE("2024-09-30")), prices!$B:$B))-1</f>
        <v>-7.5964365302675141E-2</v>
      </c>
      <c r="L35" cm="1">
        <f t="array" ref="L35">(_xlfn.XLOOKUP(1, (prices!$A:$A=$A35)*(prices!$C:$C=DATEVALUE("2024-11-30")), prices!$B:$B)/_xlfn.XLOOKUP(1, (prices!$A:$A=$A35)*(prices!$C:$C=DATEVALUE("2024-10-31")), prices!$B:$B))-1</f>
        <v>2.1823755200537365E-2</v>
      </c>
      <c r="M35" cm="1">
        <f t="array" ref="M35">(_xlfn.XLOOKUP(1, (prices!$A:$A=$A35)*(prices!$C:$C=DATEVALUE("2024-12-31")), prices!$B:$B)/_xlfn.XLOOKUP(1, (prices!$A:$A=$A35)*(prices!$C:$C=DATEVALUE("2024-11-30")), prices!$B:$B))-1</f>
        <v>-9.0967869275217494E-2</v>
      </c>
    </row>
    <row r="36" spans="1:13">
      <c r="A36" t="str">
        <f>funds_20231231!A37</f>
        <v>ZAINL</v>
      </c>
      <c r="B36" cm="1">
        <f t="array" ref="B36">(_xlfn.XLOOKUP(1, (prices!$A:$A=$A36)*(prices!$C:$C=DATEVALUE("2024-01-31")), prices!$B:$B)/_xlfn.XLOOKUP(1, (prices!$A:$A=$A36)*(prices!$C:$C=DATE(2023,12,31)), prices!$B:$B))-1</f>
        <v>-2.9966286781821228E-2</v>
      </c>
      <c r="C36" cm="1">
        <f t="array" ref="C36">(_xlfn.XLOOKUP(1, (prices!$A:$A=$A36)*(prices!$C:$C=DATEVALUE("2024-02-29")), prices!$B:$B)/_xlfn.XLOOKUP(1, (prices!$A:$A=$A36)*(prices!$C:$C=DATEVALUE("2024-01-31")), prices!$B:$B))-1</f>
        <v>-5.6160239966846714E-2</v>
      </c>
      <c r="D36" cm="1">
        <f t="array" ref="D36">(_xlfn.XLOOKUP(1, (prices!$A:$A=$A36)*(prices!$C:$C=DATEVALUE("2024-03-31")), prices!$B:$B)/_xlfn.XLOOKUP(1, (prices!$A:$A=$A36)*(prices!$C:$C=DATEVALUE("2024-02-29")), prices!$B:$B))-1</f>
        <v>4.9269244687255576E-2</v>
      </c>
      <c r="E36" cm="1">
        <f t="array" ref="E36">(_xlfn.XLOOKUP(1, (prices!$A:$A=$A36)*(prices!$C:$C=DATEVALUE("2024-04-30")), prices!$B:$B)/_xlfn.XLOOKUP(1, (prices!$A:$A=$A36)*(prices!$C:$C=DATEVALUE("2024-03-31")), prices!$B:$B))-1</f>
        <v>-3.4653816727896913E-2</v>
      </c>
      <c r="F36" cm="1">
        <f t="array" ref="F36">(_xlfn.XLOOKUP(1, (prices!$A:$A=$A36)*(prices!$C:$C=DATEVALUE("2024-05-31")), prices!$B:$B)/_xlfn.XLOOKUP(1, (prices!$A:$A=$A36)*(prices!$C:$C=DATEVALUE("2024-04-30")), prices!$B:$B))-1</f>
        <v>2.6119216743330398E-2</v>
      </c>
      <c r="G36" cm="1">
        <f t="array" ref="G36">(_xlfn.XLOOKUP(1, (prices!$A:$A=$A36)*(prices!$C:$C=DATEVALUE("2024-06-30")), prices!$B:$B)/_xlfn.XLOOKUP(1, (prices!$A:$A=$A36)*(prices!$C:$C=DATEVALUE("2024-05-31")), prices!$B:$B))-1</f>
        <v>0.10851033581729141</v>
      </c>
      <c r="H36" cm="1">
        <f t="array" ref="H36">(_xlfn.XLOOKUP(1, (prices!$A:$A=$A36)*(prices!$C:$C=DATEVALUE("2024-07-31")), prices!$B:$B)/_xlfn.XLOOKUP(1, (prices!$A:$A=$A36)*(prices!$C:$C=DATEVALUE("2024-06-30")), prices!$B:$B))-1</f>
        <v>7.9055147911945012E-2</v>
      </c>
      <c r="I36" cm="1">
        <f t="array" ref="I36">(_xlfn.XLOOKUP(1, (prices!$A:$A=$A36)*(prices!$C:$C=DATEVALUE("2024-08-31")), prices!$B:$B)/_xlfn.XLOOKUP(1, (prices!$A:$A=$A36)*(prices!$C:$C=DATEVALUE("2024-07-31")), prices!$B:$B))-1</f>
        <v>-2.2839260827520746E-2</v>
      </c>
      <c r="J36" cm="1">
        <f t="array" ref="J36">(_xlfn.XLOOKUP(1, (prices!$A:$A=$A36)*(prices!$C:$C=DATEVALUE("2024-09-30")), prices!$B:$B)/_xlfn.XLOOKUP(1, (prices!$A:$A=$A36)*(prices!$C:$C=DATEVALUE("2024-08-31")), prices!$B:$B))-1</f>
        <v>-3.3346003734914254E-3</v>
      </c>
      <c r="K36" cm="1">
        <f t="array" ref="K36">(_xlfn.XLOOKUP(1, (prices!$A:$A=$A36)*(prices!$C:$C=DATEVALUE("2024-10-31")), prices!$B:$B)/_xlfn.XLOOKUP(1, (prices!$A:$A=$A36)*(prices!$C:$C=DATEVALUE("2024-09-30")), prices!$B:$B))-1</f>
        <v>2.156967512029917E-2</v>
      </c>
      <c r="L36" cm="1">
        <f t="array" ref="L36">(_xlfn.XLOOKUP(1, (prices!$A:$A=$A36)*(prices!$C:$C=DATEVALUE("2024-11-30")), prices!$B:$B)/_xlfn.XLOOKUP(1, (prices!$A:$A=$A36)*(prices!$C:$C=DATEVALUE("2024-10-31")), prices!$B:$B))-1</f>
        <v>-8.5094673533494758E-2</v>
      </c>
      <c r="M36" cm="1">
        <f t="array" ref="M36">(_xlfn.XLOOKUP(1, (prices!$A:$A=$A36)*(prices!$C:$C=DATEVALUE("2024-12-31")), prices!$B:$B)/_xlfn.XLOOKUP(1, (prices!$A:$A=$A36)*(prices!$C:$C=DATEVALUE("2024-11-30")), prices!$B:$B))-1</f>
        <v>-6.8719581600697133E-2</v>
      </c>
    </row>
    <row r="37" spans="1:13">
      <c r="A37" t="str">
        <f>funds_20231231!A38</f>
        <v>ZARLO</v>
      </c>
      <c r="B37" cm="1">
        <f t="array" ref="B37">(_xlfn.XLOOKUP(1, (prices!$A:$A=$A37)*(prices!$C:$C=DATEVALUE("2024-01-31")), prices!$B:$B)/_xlfn.XLOOKUP(1, (prices!$A:$A=$A37)*(prices!$C:$C=DATE(2023,12,31)), prices!$B:$B))-1</f>
        <v>-1.3126081686858138E-2</v>
      </c>
      <c r="C37" cm="1">
        <f t="array" ref="C37">(_xlfn.XLOOKUP(1, (prices!$A:$A=$A37)*(prices!$C:$C=DATEVALUE("2024-02-29")), prices!$B:$B)/_xlfn.XLOOKUP(1, (prices!$A:$A=$A37)*(prices!$C:$C=DATEVALUE("2024-01-31")), prices!$B:$B))-1</f>
        <v>5.0404997185868661E-2</v>
      </c>
      <c r="D37" cm="1">
        <f t="array" ref="D37">(_xlfn.XLOOKUP(1, (prices!$A:$A=$A37)*(prices!$C:$C=DATEVALUE("2024-03-31")), prices!$B:$B)/_xlfn.XLOOKUP(1, (prices!$A:$A=$A37)*(prices!$C:$C=DATEVALUE("2024-02-29")), prices!$B:$B))-1</f>
        <v>2.5815145701067133E-2</v>
      </c>
      <c r="E37" cm="1">
        <f t="array" ref="E37">(_xlfn.XLOOKUP(1, (prices!$A:$A=$A37)*(prices!$C:$C=DATEVALUE("2024-04-30")), prices!$B:$B)/_xlfn.XLOOKUP(1, (prices!$A:$A=$A37)*(prices!$C:$C=DATEVALUE("2024-03-31")), prices!$B:$B))-1</f>
        <v>9.9106674738786982E-3</v>
      </c>
      <c r="F37" cm="1">
        <f t="array" ref="F37">(_xlfn.XLOOKUP(1, (prices!$A:$A=$A37)*(prices!$C:$C=DATEVALUE("2024-05-31")), prices!$B:$B)/_xlfn.XLOOKUP(1, (prices!$A:$A=$A37)*(prices!$C:$C=DATEVALUE("2024-04-30")), prices!$B:$B))-1</f>
        <v>3.2120796637550741E-2</v>
      </c>
      <c r="G37" cm="1">
        <f t="array" ref="G37">(_xlfn.XLOOKUP(1, (prices!$A:$A=$A37)*(prices!$C:$C=DATEVALUE("2024-06-30")), prices!$B:$B)/_xlfn.XLOOKUP(1, (prices!$A:$A=$A37)*(prices!$C:$C=DATEVALUE("2024-05-31")), prices!$B:$B))-1</f>
        <v>5.8815485221373143E-2</v>
      </c>
      <c r="H37" cm="1">
        <f t="array" ref="H37">(_xlfn.XLOOKUP(1, (prices!$A:$A=$A37)*(prices!$C:$C=DATEVALUE("2024-07-31")), prices!$B:$B)/_xlfn.XLOOKUP(1, (prices!$A:$A=$A37)*(prices!$C:$C=DATEVALUE("2024-06-30")), prices!$B:$B))-1</f>
        <v>2.6072793074325196E-2</v>
      </c>
      <c r="I37" cm="1">
        <f t="array" ref="I37">(_xlfn.XLOOKUP(1, (prices!$A:$A=$A37)*(prices!$C:$C=DATEVALUE("2024-08-31")), prices!$B:$B)/_xlfn.XLOOKUP(1, (prices!$A:$A=$A37)*(prices!$C:$C=DATEVALUE("2024-07-31")), prices!$B:$B))-1</f>
        <v>0.10234087027664462</v>
      </c>
      <c r="J37" cm="1">
        <f t="array" ref="J37">(_xlfn.XLOOKUP(1, (prices!$A:$A=$A37)*(prices!$C:$C=DATEVALUE("2024-09-30")), prices!$B:$B)/_xlfn.XLOOKUP(1, (prices!$A:$A=$A37)*(prices!$C:$C=DATEVALUE("2024-08-31")), prices!$B:$B))-1</f>
        <v>8.0336178958813065E-2</v>
      </c>
      <c r="K37" cm="1">
        <f t="array" ref="K37">(_xlfn.XLOOKUP(1, (prices!$A:$A=$A37)*(prices!$C:$C=DATEVALUE("2024-10-31")), prices!$B:$B)/_xlfn.XLOOKUP(1, (prices!$A:$A=$A37)*(prices!$C:$C=DATEVALUE("2024-09-30")), prices!$B:$B))-1</f>
        <v>-3.4335983322798191E-2</v>
      </c>
      <c r="L37" cm="1">
        <f t="array" ref="L37">(_xlfn.XLOOKUP(1, (prices!$A:$A=$A37)*(prices!$C:$C=DATEVALUE("2024-11-30")), prices!$B:$B)/_xlfn.XLOOKUP(1, (prices!$A:$A=$A37)*(prices!$C:$C=DATEVALUE("2024-10-31")), prices!$B:$B))-1</f>
        <v>-7.2712733607011026E-2</v>
      </c>
      <c r="M37" cm="1">
        <f t="array" ref="M37">(_xlfn.XLOOKUP(1, (prices!$A:$A=$A37)*(prices!$C:$C=DATEVALUE("2024-12-31")), prices!$B:$B)/_xlfn.XLOOKUP(1, (prices!$A:$A=$A37)*(prices!$C:$C=DATEVALUE("2024-11-30")), prices!$B:$B))-1</f>
        <v>-5.5695005348946891E-2</v>
      </c>
    </row>
    <row r="38" spans="1:13">
      <c r="A38" t="str">
        <f>funds_20231231!A39</f>
        <v>ZASAP</v>
      </c>
      <c r="B38" cm="1">
        <f t="array" ref="B38">(_xlfn.XLOOKUP(1, (prices!$A:$A=$A38)*(prices!$C:$C=DATEVALUE("2024-01-31")), prices!$B:$B)/_xlfn.XLOOKUP(1, (prices!$A:$A=$A38)*(prices!$C:$C=DATE(2023,12,31)), prices!$B:$B))-1</f>
        <v>-8.7265023684902632E-3</v>
      </c>
      <c r="C38" cm="1">
        <f t="array" ref="C38">(_xlfn.XLOOKUP(1, (prices!$A:$A=$A38)*(prices!$C:$C=DATEVALUE("2024-02-29")), prices!$B:$B)/_xlfn.XLOOKUP(1, (prices!$A:$A=$A38)*(prices!$C:$C=DATEVALUE("2024-01-31")), prices!$B:$B))-1</f>
        <v>4.5346993106181177E-3</v>
      </c>
      <c r="D38" cm="1">
        <f t="array" ref="D38">(_xlfn.XLOOKUP(1, (prices!$A:$A=$A38)*(prices!$C:$C=DATEVALUE("2024-03-31")), prices!$B:$B)/_xlfn.XLOOKUP(1, (prices!$A:$A=$A38)*(prices!$C:$C=DATEVALUE("2024-02-29")), prices!$B:$B))-1</f>
        <v>0.10347192617758094</v>
      </c>
      <c r="E38" cm="1">
        <f t="array" ref="E38">(_xlfn.XLOOKUP(1, (prices!$A:$A=$A38)*(prices!$C:$C=DATEVALUE("2024-04-30")), prices!$B:$B)/_xlfn.XLOOKUP(1, (prices!$A:$A=$A38)*(prices!$C:$C=DATEVALUE("2024-03-31")), prices!$B:$B))-1</f>
        <v>1.4736645628593781E-2</v>
      </c>
      <c r="F38" cm="1">
        <f t="array" ref="F38">(_xlfn.XLOOKUP(1, (prices!$A:$A=$A38)*(prices!$C:$C=DATEVALUE("2024-05-31")), prices!$B:$B)/_xlfn.XLOOKUP(1, (prices!$A:$A=$A38)*(prices!$C:$C=DATEVALUE("2024-04-30")), prices!$B:$B))-1</f>
        <v>5.5224118563307556E-2</v>
      </c>
      <c r="G38" cm="1">
        <f t="array" ref="G38">(_xlfn.XLOOKUP(1, (prices!$A:$A=$A38)*(prices!$C:$C=DATEVALUE("2024-06-30")), prices!$B:$B)/_xlfn.XLOOKUP(1, (prices!$A:$A=$A38)*(prices!$C:$C=DATEVALUE("2024-05-31")), prices!$B:$B))-1</f>
        <v>-6.5211656560356435E-2</v>
      </c>
      <c r="H38" cm="1">
        <f t="array" ref="H38">(_xlfn.XLOOKUP(1, (prices!$A:$A=$A38)*(prices!$C:$C=DATEVALUE("2024-07-31")), prices!$B:$B)/_xlfn.XLOOKUP(1, (prices!$A:$A=$A38)*(prices!$C:$C=DATEVALUE("2024-06-30")), prices!$B:$B))-1</f>
        <v>0.10014540999146093</v>
      </c>
      <c r="I38" cm="1">
        <f t="array" ref="I38">(_xlfn.XLOOKUP(1, (prices!$A:$A=$A38)*(prices!$C:$C=DATEVALUE("2024-08-31")), prices!$B:$B)/_xlfn.XLOOKUP(1, (prices!$A:$A=$A38)*(prices!$C:$C=DATEVALUE("2024-07-31")), prices!$B:$B))-1</f>
        <v>-0.12526326905908169</v>
      </c>
      <c r="J38" cm="1">
        <f t="array" ref="J38">(_xlfn.XLOOKUP(1, (prices!$A:$A=$A38)*(prices!$C:$C=DATEVALUE("2024-09-30")), prices!$B:$B)/_xlfn.XLOOKUP(1, (prices!$A:$A=$A38)*(prices!$C:$C=DATEVALUE("2024-08-31")), prices!$B:$B))-1</f>
        <v>9.9054024713193911E-2</v>
      </c>
      <c r="K38" cm="1">
        <f t="array" ref="K38">(_xlfn.XLOOKUP(1, (prices!$A:$A=$A38)*(prices!$C:$C=DATEVALUE("2024-10-31")), prices!$B:$B)/_xlfn.XLOOKUP(1, (prices!$A:$A=$A38)*(prices!$C:$C=DATEVALUE("2024-09-30")), prices!$B:$B))-1</f>
        <v>-4.1203846385191478E-2</v>
      </c>
      <c r="L38" cm="1">
        <f t="array" ref="L38">(_xlfn.XLOOKUP(1, (prices!$A:$A=$A38)*(prices!$C:$C=DATEVALUE("2024-11-30")), prices!$B:$B)/_xlfn.XLOOKUP(1, (prices!$A:$A=$A38)*(prices!$C:$C=DATEVALUE("2024-10-31")), prices!$B:$B))-1</f>
        <v>3.56410987101623E-2</v>
      </c>
      <c r="M38" cm="1">
        <f t="array" ref="M38">(_xlfn.XLOOKUP(1, (prices!$A:$A=$A38)*(prices!$C:$C=DATEVALUE("2024-12-31")), prices!$B:$B)/_xlfn.XLOOKUP(1, (prices!$A:$A=$A38)*(prices!$C:$C=DATEVALUE("2024-11-30")), prices!$B:$B))-1</f>
        <v>-6.4935749700331225E-2</v>
      </c>
    </row>
    <row r="39" spans="1:13">
      <c r="A39" t="str">
        <f>funds_20231231!A40</f>
        <v>ZASBK</v>
      </c>
      <c r="B39" cm="1">
        <f t="array" ref="B39">(_xlfn.XLOOKUP(1, (prices!$A:$A=$A39)*(prices!$C:$C=DATEVALUE("2024-01-31")), prices!$B:$B)/_xlfn.XLOOKUP(1, (prices!$A:$A=$A39)*(prices!$C:$C=DATE(2023,12,31)), prices!$B:$B))-1</f>
        <v>-5.6235694495492261E-2</v>
      </c>
      <c r="C39" cm="1">
        <f t="array" ref="C39">(_xlfn.XLOOKUP(1, (prices!$A:$A=$A39)*(prices!$C:$C=DATEVALUE("2024-02-29")), prices!$B:$B)/_xlfn.XLOOKUP(1, (prices!$A:$A=$A39)*(prices!$C:$C=DATEVALUE("2024-01-31")), prices!$B:$B))-1</f>
        <v>-2.0398577849871757E-2</v>
      </c>
      <c r="D39" cm="1">
        <f t="array" ref="D39">(_xlfn.XLOOKUP(1, (prices!$A:$A=$A39)*(prices!$C:$C=DATEVALUE("2024-03-31")), prices!$B:$B)/_xlfn.XLOOKUP(1, (prices!$A:$A=$A39)*(prices!$C:$C=DATEVALUE("2024-02-29")), prices!$B:$B))-1</f>
        <v>-7.0155989368376526E-2</v>
      </c>
      <c r="E39" cm="1">
        <f t="array" ref="E39">(_xlfn.XLOOKUP(1, (prices!$A:$A=$A39)*(prices!$C:$C=DATEVALUE("2024-04-30")), prices!$B:$B)/_xlfn.XLOOKUP(1, (prices!$A:$A=$A39)*(prices!$C:$C=DATEVALUE("2024-03-31")), prices!$B:$B))-1</f>
        <v>-3.8891025983441851E-2</v>
      </c>
      <c r="F39" cm="1">
        <f t="array" ref="F39">(_xlfn.XLOOKUP(1, (prices!$A:$A=$A39)*(prices!$C:$C=DATEVALUE("2024-05-31")), prices!$B:$B)/_xlfn.XLOOKUP(1, (prices!$A:$A=$A39)*(prices!$C:$C=DATEVALUE("2024-04-30")), prices!$B:$B))-1</f>
        <v>1.2239894856592715E-2</v>
      </c>
      <c r="G39" cm="1">
        <f t="array" ref="G39">(_xlfn.XLOOKUP(1, (prices!$A:$A=$A39)*(prices!$C:$C=DATEVALUE("2024-06-30")), prices!$B:$B)/_xlfn.XLOOKUP(1, (prices!$A:$A=$A39)*(prices!$C:$C=DATEVALUE("2024-05-31")), prices!$B:$B))-1</f>
        <v>0.21309149829727425</v>
      </c>
      <c r="H39" cm="1">
        <f t="array" ref="H39">(_xlfn.XLOOKUP(1, (prices!$A:$A=$A39)*(prices!$C:$C=DATEVALUE("2024-07-31")), prices!$B:$B)/_xlfn.XLOOKUP(1, (prices!$A:$A=$A39)*(prices!$C:$C=DATEVALUE("2024-06-30")), prices!$B:$B))-1</f>
        <v>5.6013333445199542E-2</v>
      </c>
      <c r="I39" cm="1">
        <f t="array" ref="I39">(_xlfn.XLOOKUP(1, (prices!$A:$A=$A39)*(prices!$C:$C=DATEVALUE("2024-08-31")), prices!$B:$B)/_xlfn.XLOOKUP(1, (prices!$A:$A=$A39)*(prices!$C:$C=DATEVALUE("2024-07-31")), prices!$B:$B))-1</f>
        <v>0.10874258473043819</v>
      </c>
      <c r="J39" cm="1">
        <f t="array" ref="J39">(_xlfn.XLOOKUP(1, (prices!$A:$A=$A39)*(prices!$C:$C=DATEVALUE("2024-09-30")), prices!$B:$B)/_xlfn.XLOOKUP(1, (prices!$A:$A=$A39)*(prices!$C:$C=DATEVALUE("2024-08-31")), prices!$B:$B))-1</f>
        <v>4.0409171141154943E-2</v>
      </c>
      <c r="K39" cm="1">
        <f t="array" ref="K39">(_xlfn.XLOOKUP(1, (prices!$A:$A=$A39)*(prices!$C:$C=DATEVALUE("2024-10-31")), prices!$B:$B)/_xlfn.XLOOKUP(1, (prices!$A:$A=$A39)*(prices!$C:$C=DATEVALUE("2024-09-30")), prices!$B:$B))-1</f>
        <v>-2.848832649918176E-2</v>
      </c>
      <c r="L39" cm="1">
        <f t="array" ref="L39">(_xlfn.XLOOKUP(1, (prices!$A:$A=$A39)*(prices!$C:$C=DATEVALUE("2024-11-30")), prices!$B:$B)/_xlfn.XLOOKUP(1, (prices!$A:$A=$A39)*(prices!$C:$C=DATEVALUE("2024-10-31")), prices!$B:$B))-1</f>
        <v>-4.0206686429395622E-2</v>
      </c>
      <c r="M39" cm="1">
        <f t="array" ref="M39">(_xlfn.XLOOKUP(1, (prices!$A:$A=$A39)*(prices!$C:$C=DATEVALUE("2024-12-31")), prices!$B:$B)/_xlfn.XLOOKUP(1, (prices!$A:$A=$A39)*(prices!$C:$C=DATEVALUE("2024-11-30")), prices!$B:$B))-1</f>
        <v>-0.10382911072168666</v>
      </c>
    </row>
    <row r="40" spans="1:13">
      <c r="A40" t="str">
        <f>funds_20231231!A41</f>
        <v>ZAAVI</v>
      </c>
      <c r="B40" cm="1">
        <f t="array" ref="B40">(_xlfn.XLOOKUP(1, (prices!$A:$A=$A40)*(prices!$C:$C=DATEVALUE("2024-01-31")), prices!$B:$B)/_xlfn.XLOOKUP(1, (prices!$A:$A=$A40)*(prices!$C:$C=DATE(2023,12,31)), prices!$B:$B))-1</f>
        <v>-2.1184084918757229E-3</v>
      </c>
      <c r="C40" cm="1">
        <f t="array" ref="C40">(_xlfn.XLOOKUP(1, (prices!$A:$A=$A40)*(prices!$C:$C=DATEVALUE("2024-02-29")), prices!$B:$B)/_xlfn.XLOOKUP(1, (prices!$A:$A=$A40)*(prices!$C:$C=DATEVALUE("2024-01-31")), prices!$B:$B))-1</f>
        <v>4.085936505528931E-2</v>
      </c>
      <c r="D40" cm="1">
        <f t="array" ref="D40">(_xlfn.XLOOKUP(1, (prices!$A:$A=$A40)*(prices!$C:$C=DATEVALUE("2024-03-31")), prices!$B:$B)/_xlfn.XLOOKUP(1, (prices!$A:$A=$A40)*(prices!$C:$C=DATEVALUE("2024-02-29")), prices!$B:$B))-1</f>
        <v>3.4935808514682698E-2</v>
      </c>
      <c r="E40" cm="1">
        <f t="array" ref="E40">(_xlfn.XLOOKUP(1, (prices!$A:$A=$A40)*(prices!$C:$C=DATEVALUE("2024-04-30")), prices!$B:$B)/_xlfn.XLOOKUP(1, (prices!$A:$A=$A40)*(prices!$C:$C=DATEVALUE("2024-03-31")), prices!$B:$B))-1</f>
        <v>-4.3632979378423031E-2</v>
      </c>
      <c r="F40" cm="1">
        <f t="array" ref="F40">(_xlfn.XLOOKUP(1, (prices!$A:$A=$A40)*(prices!$C:$C=DATEVALUE("2024-05-31")), prices!$B:$B)/_xlfn.XLOOKUP(1, (prices!$A:$A=$A40)*(prices!$C:$C=DATEVALUE("2024-04-30")), prices!$B:$B))-1</f>
        <v>-2.3397917221513076E-2</v>
      </c>
      <c r="G40" cm="1">
        <f t="array" ref="G40">(_xlfn.XLOOKUP(1, (prices!$A:$A=$A40)*(prices!$C:$C=DATEVALUE("2024-06-30")), prices!$B:$B)/_xlfn.XLOOKUP(1, (prices!$A:$A=$A40)*(prices!$C:$C=DATEVALUE("2024-05-31")), prices!$B:$B))-1</f>
        <v>0.14970823354818852</v>
      </c>
      <c r="H40" cm="1">
        <f t="array" ref="H40">(_xlfn.XLOOKUP(1, (prices!$A:$A=$A40)*(prices!$C:$C=DATEVALUE("2024-07-31")), prices!$B:$B)/_xlfn.XLOOKUP(1, (prices!$A:$A=$A40)*(prices!$C:$C=DATEVALUE("2024-06-30")), prices!$B:$B))-1</f>
        <v>3.7843477242182288E-2</v>
      </c>
      <c r="I40" cm="1">
        <f t="array" ref="I40">(_xlfn.XLOOKUP(1, (prices!$A:$A=$A40)*(prices!$C:$C=DATEVALUE("2024-08-31")), prices!$B:$B)/_xlfn.XLOOKUP(1, (prices!$A:$A=$A40)*(prices!$C:$C=DATEVALUE("2024-07-31")), prices!$B:$B))-1</f>
        <v>6.584669832650869E-2</v>
      </c>
      <c r="J40" cm="1">
        <f t="array" ref="J40">(_xlfn.XLOOKUP(1, (prices!$A:$A=$A40)*(prices!$C:$C=DATEVALUE("2024-09-30")), prices!$B:$B)/_xlfn.XLOOKUP(1, (prices!$A:$A=$A40)*(prices!$C:$C=DATEVALUE("2024-08-31")), prices!$B:$B))-1</f>
        <v>0.11396960549433843</v>
      </c>
      <c r="K40" cm="1">
        <f t="array" ref="K40">(_xlfn.XLOOKUP(1, (prices!$A:$A=$A40)*(prices!$C:$C=DATEVALUE("2024-10-31")), prices!$B:$B)/_xlfn.XLOOKUP(1, (prices!$A:$A=$A40)*(prices!$C:$C=DATEVALUE("2024-09-30")), prices!$B:$B))-1</f>
        <v>-2.504526172139554E-2</v>
      </c>
      <c r="L40" cm="1">
        <f t="array" ref="L40">(_xlfn.XLOOKUP(1, (prices!$A:$A=$A40)*(prices!$C:$C=DATEVALUE("2024-11-30")), prices!$B:$B)/_xlfn.XLOOKUP(1, (prices!$A:$A=$A40)*(prices!$C:$C=DATEVALUE("2024-10-31")), prices!$B:$B))-1</f>
        <v>-2.2578507643293722E-2</v>
      </c>
      <c r="M40" cm="1">
        <f t="array" ref="M40">(_xlfn.XLOOKUP(1, (prices!$A:$A=$A40)*(prices!$C:$C=DATEVALUE("2024-12-31")), prices!$B:$B)/_xlfn.XLOOKUP(1, (prices!$A:$A=$A40)*(prices!$C:$C=DATEVALUE("2024-11-30")), prices!$B:$B))-1</f>
        <v>-4.4120468472634067E-2</v>
      </c>
    </row>
    <row r="41" spans="1:13">
      <c r="A41" t="str">
        <f>funds_20231231!A42</f>
        <v>ZAANG</v>
      </c>
      <c r="B41" cm="1">
        <f t="array" ref="B41">(_xlfn.XLOOKUP(1, (prices!$A:$A=$A41)*(prices!$C:$C=DATEVALUE("2024-01-31")), prices!$B:$B)/_xlfn.XLOOKUP(1, (prices!$A:$A=$A41)*(prices!$C:$C=DATE(2023,12,31)), prices!$B:$B))-1</f>
        <v>-5.9525566815786135E-2</v>
      </c>
      <c r="C41" cm="1">
        <f t="array" ref="C41">(_xlfn.XLOOKUP(1, (prices!$A:$A=$A41)*(prices!$C:$C=DATEVALUE("2024-02-29")), prices!$B:$B)/_xlfn.XLOOKUP(1, (prices!$A:$A=$A41)*(prices!$C:$C=DATEVALUE("2024-01-31")), prices!$B:$B))-1</f>
        <v>3.5414487411326023E-2</v>
      </c>
      <c r="D41" cm="1">
        <f t="array" ref="D41">(_xlfn.XLOOKUP(1, (prices!$A:$A=$A41)*(prices!$C:$C=DATEVALUE("2024-03-31")), prices!$B:$B)/_xlfn.XLOOKUP(1, (prices!$A:$A=$A41)*(prices!$C:$C=DATEVALUE("2024-02-29")), prices!$B:$B))-1</f>
        <v>0.18615725328575583</v>
      </c>
      <c r="E41" cm="1">
        <f t="array" ref="E41">(_xlfn.XLOOKUP(1, (prices!$A:$A=$A41)*(prices!$C:$C=DATEVALUE("2024-04-30")), prices!$B:$B)/_xlfn.XLOOKUP(1, (prices!$A:$A=$A41)*(prices!$C:$C=DATEVALUE("2024-03-31")), prices!$B:$B))-1</f>
        <v>3.8448759241414443E-2</v>
      </c>
      <c r="F41" cm="1">
        <f t="array" ref="F41">(_xlfn.XLOOKUP(1, (prices!$A:$A=$A41)*(prices!$C:$C=DATEVALUE("2024-05-31")), prices!$B:$B)/_xlfn.XLOOKUP(1, (prices!$A:$A=$A41)*(prices!$C:$C=DATEVALUE("2024-04-30")), prices!$B:$B))-1</f>
        <v>2.5156705910973853E-2</v>
      </c>
      <c r="G41" cm="1">
        <f t="array" ref="G41">(_xlfn.XLOOKUP(1, (prices!$A:$A=$A41)*(prices!$C:$C=DATEVALUE("2024-06-30")), prices!$B:$B)/_xlfn.XLOOKUP(1, (prices!$A:$A=$A41)*(prices!$C:$C=DATEVALUE("2024-05-31")), prices!$B:$B))-1</f>
        <v>5.9586785589835989E-2</v>
      </c>
      <c r="H41" cm="1">
        <f t="array" ref="H41">(_xlfn.XLOOKUP(1, (prices!$A:$A=$A41)*(prices!$C:$C=DATEVALUE("2024-07-31")), prices!$B:$B)/_xlfn.XLOOKUP(1, (prices!$A:$A=$A41)*(prices!$C:$C=DATEVALUE("2024-06-30")), prices!$B:$B))-1</f>
        <v>0.14095103353552596</v>
      </c>
      <c r="I41" cm="1">
        <f t="array" ref="I41">(_xlfn.XLOOKUP(1, (prices!$A:$A=$A41)*(prices!$C:$C=DATEVALUE("2024-08-31")), prices!$B:$B)/_xlfn.XLOOKUP(1, (prices!$A:$A=$A41)*(prices!$C:$C=DATEVALUE("2024-07-31")), prices!$B:$B))-1</f>
        <v>3.694145841164409E-2</v>
      </c>
      <c r="J41" cm="1">
        <f t="array" ref="J41">(_xlfn.XLOOKUP(1, (prices!$A:$A=$A41)*(prices!$C:$C=DATEVALUE("2024-09-30")), prices!$B:$B)/_xlfn.XLOOKUP(1, (prices!$A:$A=$A41)*(prices!$C:$C=DATEVALUE("2024-08-31")), prices!$B:$B))-1</f>
        <v>-0.10588406509034098</v>
      </c>
      <c r="K41" cm="1">
        <f t="array" ref="K41">(_xlfn.XLOOKUP(1, (prices!$A:$A=$A41)*(prices!$C:$C=DATEVALUE("2024-10-31")), prices!$B:$B)/_xlfn.XLOOKUP(1, (prices!$A:$A=$A41)*(prices!$C:$C=DATEVALUE("2024-09-30")), prices!$B:$B))-1</f>
        <v>4.0285420607609757E-2</v>
      </c>
      <c r="L41" cm="1">
        <f t="array" ref="L41">(_xlfn.XLOOKUP(1, (prices!$A:$A=$A41)*(prices!$C:$C=DATEVALUE("2024-11-30")), prices!$B:$B)/_xlfn.XLOOKUP(1, (prices!$A:$A=$A41)*(prices!$C:$C=DATEVALUE("2024-10-31")), prices!$B:$B))-1</f>
        <v>-9.6526964353851774E-2</v>
      </c>
      <c r="M41" cm="1">
        <f t="array" ref="M41">(_xlfn.XLOOKUP(1, (prices!$A:$A=$A41)*(prices!$C:$C=DATEVALUE("2024-12-31")), prices!$B:$B)/_xlfn.XLOOKUP(1, (prices!$A:$A=$A41)*(prices!$C:$C=DATEVALUE("2024-11-30")), prices!$B:$B))-1</f>
        <v>-0.10877460766806613</v>
      </c>
    </row>
    <row r="42" spans="1:13">
      <c r="A42" t="str">
        <f>funds_20231231!A43</f>
        <v>ZATBS</v>
      </c>
      <c r="B42" cm="1">
        <f t="array" ref="B42">(_xlfn.XLOOKUP(1, (prices!$A:$A=$A42)*(prices!$C:$C=DATEVALUE("2024-01-31")), prices!$B:$B)/_xlfn.XLOOKUP(1, (prices!$A:$A=$A42)*(prices!$C:$C=DATE(2023,12,31)), prices!$B:$B))-1</f>
        <v>2.5225590540681075E-2</v>
      </c>
      <c r="C42" cm="1">
        <f t="array" ref="C42">(_xlfn.XLOOKUP(1, (prices!$A:$A=$A42)*(prices!$C:$C=DATEVALUE("2024-02-29")), prices!$B:$B)/_xlfn.XLOOKUP(1, (prices!$A:$A=$A42)*(prices!$C:$C=DATEVALUE("2024-01-31")), prices!$B:$B))-1</f>
        <v>-7.8443227379286884E-2</v>
      </c>
      <c r="D42" cm="1">
        <f t="array" ref="D42">(_xlfn.XLOOKUP(1, (prices!$A:$A=$A42)*(prices!$C:$C=DATEVALUE("2024-03-31")), prices!$B:$B)/_xlfn.XLOOKUP(1, (prices!$A:$A=$A42)*(prices!$C:$C=DATEVALUE("2024-02-29")), prices!$B:$B))-1</f>
        <v>1.8605239748246127E-2</v>
      </c>
      <c r="E42" cm="1">
        <f t="array" ref="E42">(_xlfn.XLOOKUP(1, (prices!$A:$A=$A42)*(prices!$C:$C=DATEVALUE("2024-04-30")), prices!$B:$B)/_xlfn.XLOOKUP(1, (prices!$A:$A=$A42)*(prices!$C:$C=DATEVALUE("2024-03-31")), prices!$B:$B))-1</f>
        <v>3.0300295142301481E-2</v>
      </c>
      <c r="F42" cm="1">
        <f t="array" ref="F42">(_xlfn.XLOOKUP(1, (prices!$A:$A=$A42)*(prices!$C:$C=DATEVALUE("2024-05-31")), prices!$B:$B)/_xlfn.XLOOKUP(1, (prices!$A:$A=$A42)*(prices!$C:$C=DATEVALUE("2024-04-30")), prices!$B:$B))-1</f>
        <v>-5.1007388717744573E-2</v>
      </c>
      <c r="G42" cm="1">
        <f t="array" ref="G42">(_xlfn.XLOOKUP(1, (prices!$A:$A=$A42)*(prices!$C:$C=DATEVALUE("2024-06-30")), prices!$B:$B)/_xlfn.XLOOKUP(1, (prices!$A:$A=$A42)*(prices!$C:$C=DATEVALUE("2024-05-31")), prices!$B:$B))-1</f>
        <v>5.2070568984267762E-2</v>
      </c>
      <c r="H42" cm="1">
        <f t="array" ref="H42">(_xlfn.XLOOKUP(1, (prices!$A:$A=$A42)*(prices!$C:$C=DATEVALUE("2024-07-31")), prices!$B:$B)/_xlfn.XLOOKUP(1, (prices!$A:$A=$A42)*(prices!$C:$C=DATEVALUE("2024-06-30")), prices!$B:$B))-1</f>
        <v>0.12420051701484569</v>
      </c>
      <c r="I42" cm="1">
        <f t="array" ref="I42">(_xlfn.XLOOKUP(1, (prices!$A:$A=$A42)*(prices!$C:$C=DATEVALUE("2024-08-31")), prices!$B:$B)/_xlfn.XLOOKUP(1, (prices!$A:$A=$A42)*(prices!$C:$C=DATEVALUE("2024-07-31")), prices!$B:$B))-1</f>
        <v>8.3238287785354359E-2</v>
      </c>
      <c r="J42" cm="1">
        <f t="array" ref="J42">(_xlfn.XLOOKUP(1, (prices!$A:$A=$A42)*(prices!$C:$C=DATEVALUE("2024-09-30")), prices!$B:$B)/_xlfn.XLOOKUP(1, (prices!$A:$A=$A42)*(prices!$C:$C=DATEVALUE("2024-08-31")), prices!$B:$B))-1</f>
        <v>1.8950353660966091E-2</v>
      </c>
      <c r="K42" cm="1">
        <f t="array" ref="K42">(_xlfn.XLOOKUP(1, (prices!$A:$A=$A42)*(prices!$C:$C=DATEVALUE("2024-10-31")), prices!$B:$B)/_xlfn.XLOOKUP(1, (prices!$A:$A=$A42)*(prices!$C:$C=DATEVALUE("2024-09-30")), prices!$B:$B))-1</f>
        <v>-1.0962661184756084E-2</v>
      </c>
      <c r="L42" cm="1">
        <f t="array" ref="L42">(_xlfn.XLOOKUP(1, (prices!$A:$A=$A42)*(prices!$C:$C=DATEVALUE("2024-11-30")), prices!$B:$B)/_xlfn.XLOOKUP(1, (prices!$A:$A=$A42)*(prices!$C:$C=DATEVALUE("2024-10-31")), prices!$B:$B))-1</f>
        <v>4.5984971603713953E-2</v>
      </c>
      <c r="M42" cm="1">
        <f t="array" ref="M42">(_xlfn.XLOOKUP(1, (prices!$A:$A=$A42)*(prices!$C:$C=DATEVALUE("2024-12-31")), prices!$B:$B)/_xlfn.XLOOKUP(1, (prices!$A:$A=$A42)*(prices!$C:$C=DATEVALUE("2024-11-30")), prices!$B:$B))-1</f>
        <v>9.4990194693695962E-2</v>
      </c>
    </row>
    <row r="43" spans="1:13">
      <c r="A43" t="str">
        <f>funds_20231231!A44</f>
        <v>ZASOL</v>
      </c>
      <c r="B43" cm="1">
        <f t="array" ref="B43">(_xlfn.XLOOKUP(1, (prices!$A:$A=$A43)*(prices!$C:$C=DATEVALUE("2024-01-31")), prices!$B:$B)/_xlfn.XLOOKUP(1, (prices!$A:$A=$A43)*(prices!$C:$C=DATE(2023,12,31)), prices!$B:$B))-1</f>
        <v>-0.12859870273756679</v>
      </c>
      <c r="C43" cm="1">
        <f t="array" ref="C43">(_xlfn.XLOOKUP(1, (prices!$A:$A=$A43)*(prices!$C:$C=DATEVALUE("2024-02-29")), prices!$B:$B)/_xlfn.XLOOKUP(1, (prices!$A:$A=$A43)*(prices!$C:$C=DATEVALUE("2024-01-31")), prices!$B:$B))-1</f>
        <v>-0.14550561813800633</v>
      </c>
      <c r="D43" cm="1">
        <f t="array" ref="D43">(_xlfn.XLOOKUP(1, (prices!$A:$A=$A43)*(prices!$C:$C=DATEVALUE("2024-03-31")), prices!$B:$B)/_xlfn.XLOOKUP(1, (prices!$A:$A=$A43)*(prices!$C:$C=DATEVALUE("2024-02-29")), prices!$B:$B))-1</f>
        <v>2.4689712808898312E-2</v>
      </c>
      <c r="E43" cm="1">
        <f t="array" ref="E43">(_xlfn.XLOOKUP(1, (prices!$A:$A=$A43)*(prices!$C:$C=DATEVALUE("2024-04-30")), prices!$B:$B)/_xlfn.XLOOKUP(1, (prices!$A:$A=$A43)*(prices!$C:$C=DATEVALUE("2024-03-31")), prices!$B:$B))-1</f>
        <v>-8.4830021693578339E-2</v>
      </c>
      <c r="F43" cm="1">
        <f t="array" ref="F43">(_xlfn.XLOOKUP(1, (prices!$A:$A=$A43)*(prices!$C:$C=DATEVALUE("2024-05-31")), prices!$B:$B)/_xlfn.XLOOKUP(1, (prices!$A:$A=$A43)*(prices!$C:$C=DATEVALUE("2024-04-30")), prices!$B:$B))-1</f>
        <v>-6.8334683396226947E-2</v>
      </c>
      <c r="G43" cm="1">
        <f t="array" ref="G43">(_xlfn.XLOOKUP(1, (prices!$A:$A=$A43)*(prices!$C:$C=DATEVALUE("2024-06-30")), prices!$B:$B)/_xlfn.XLOOKUP(1, (prices!$A:$A=$A43)*(prices!$C:$C=DATEVALUE("2024-05-31")), prices!$B:$B))-1</f>
        <v>0.14739718524865841</v>
      </c>
      <c r="H43" cm="1">
        <f t="array" ref="H43">(_xlfn.XLOOKUP(1, (prices!$A:$A=$A43)*(prices!$C:$C=DATEVALUE("2024-07-31")), prices!$B:$B)/_xlfn.XLOOKUP(1, (prices!$A:$A=$A43)*(prices!$C:$C=DATEVALUE("2024-06-30")), prices!$B:$B))-1</f>
        <v>7.1012876949145376E-2</v>
      </c>
      <c r="I43" cm="1">
        <f t="array" ref="I43">(_xlfn.XLOOKUP(1, (prices!$A:$A=$A43)*(prices!$C:$C=DATEVALUE("2024-08-31")), prices!$B:$B)/_xlfn.XLOOKUP(1, (prices!$A:$A=$A43)*(prices!$C:$C=DATEVALUE("2024-07-31")), prices!$B:$B))-1</f>
        <v>-4.336331608008881E-2</v>
      </c>
      <c r="J43" cm="1">
        <f t="array" ref="J43">(_xlfn.XLOOKUP(1, (prices!$A:$A=$A43)*(prices!$C:$C=DATEVALUE("2024-09-30")), prices!$B:$B)/_xlfn.XLOOKUP(1, (prices!$A:$A=$A43)*(prices!$C:$C=DATEVALUE("2024-08-31")), prices!$B:$B))-1</f>
        <v>-0.13091505026560069</v>
      </c>
      <c r="K43" cm="1">
        <f t="array" ref="K43">(_xlfn.XLOOKUP(1, (prices!$A:$A=$A43)*(prices!$C:$C=DATEVALUE("2024-10-31")), prices!$B:$B)/_xlfn.XLOOKUP(1, (prices!$A:$A=$A43)*(prices!$C:$C=DATEVALUE("2024-09-30")), prices!$B:$B))-1</f>
        <v>-0.17539890065145058</v>
      </c>
      <c r="L43" cm="1">
        <f t="array" ref="L43">(_xlfn.XLOOKUP(1, (prices!$A:$A=$A43)*(prices!$C:$C=DATEVALUE("2024-11-30")), prices!$B:$B)/_xlfn.XLOOKUP(1, (prices!$A:$A=$A43)*(prices!$C:$C=DATEVALUE("2024-10-31")), prices!$B:$B))-1</f>
        <v>-0.12402452896556038</v>
      </c>
      <c r="M43" cm="1">
        <f t="array" ref="M43">(_xlfn.XLOOKUP(1, (prices!$A:$A=$A43)*(prices!$C:$C=DATEVALUE("2024-12-31")), prices!$B:$B)/_xlfn.XLOOKUP(1, (prices!$A:$A=$A43)*(prices!$C:$C=DATEVALUE("2024-11-30")), prices!$B:$B))-1</f>
        <v>-9.2839875110015457E-2</v>
      </c>
    </row>
    <row r="44" spans="1:13">
      <c r="A44" t="str">
        <f>funds_20231231!A45</f>
        <v>ZANED</v>
      </c>
      <c r="B44" cm="1">
        <f t="array" ref="B44">(_xlfn.XLOOKUP(1, (prices!$A:$A=$A44)*(prices!$C:$C=DATEVALUE("2024-01-31")), prices!$B:$B)/_xlfn.XLOOKUP(1, (prices!$A:$A=$A44)*(prices!$C:$C=DATE(2023,12,31)), prices!$B:$B))-1</f>
        <v>-1.0959910959007058E-2</v>
      </c>
      <c r="C44" cm="1">
        <f t="array" ref="C44">(_xlfn.XLOOKUP(1, (prices!$A:$A=$A44)*(prices!$C:$C=DATEVALUE("2024-02-29")), prices!$B:$B)/_xlfn.XLOOKUP(1, (prices!$A:$A=$A44)*(prices!$C:$C=DATEVALUE("2024-01-31")), prices!$B:$B))-1</f>
        <v>-2.2961390497506118E-2</v>
      </c>
      <c r="D44" cm="1">
        <f t="array" ref="D44">(_xlfn.XLOOKUP(1, (prices!$A:$A=$A44)*(prices!$C:$C=DATEVALUE("2024-03-31")), prices!$B:$B)/_xlfn.XLOOKUP(1, (prices!$A:$A=$A44)*(prices!$C:$C=DATEVALUE("2024-02-29")), prices!$B:$B))-1</f>
        <v>5.6885604696851333E-2</v>
      </c>
      <c r="E44" cm="1">
        <f t="array" ref="E44">(_xlfn.XLOOKUP(1, (prices!$A:$A=$A44)*(prices!$C:$C=DATEVALUE("2024-04-30")), prices!$B:$B)/_xlfn.XLOOKUP(1, (prices!$A:$A=$A44)*(prices!$C:$C=DATEVALUE("2024-03-31")), prices!$B:$B))-1</f>
        <v>5.6926535961927538E-3</v>
      </c>
      <c r="F44" cm="1">
        <f t="array" ref="F44">(_xlfn.XLOOKUP(1, (prices!$A:$A=$A44)*(prices!$C:$C=DATEVALUE("2024-05-31")), prices!$B:$B)/_xlfn.XLOOKUP(1, (prices!$A:$A=$A44)*(prices!$C:$C=DATEVALUE("2024-04-30")), prices!$B:$B))-1</f>
        <v>-7.4796136362109689E-4</v>
      </c>
      <c r="G44" cm="1">
        <f t="array" ref="G44">(_xlfn.XLOOKUP(1, (prices!$A:$A=$A44)*(prices!$C:$C=DATEVALUE("2024-06-30")), prices!$B:$B)/_xlfn.XLOOKUP(1, (prices!$A:$A=$A44)*(prices!$C:$C=DATEVALUE("2024-05-31")), prices!$B:$B))-1</f>
        <v>0.1571206701752379</v>
      </c>
      <c r="H44" cm="1">
        <f t="array" ref="H44">(_xlfn.XLOOKUP(1, (prices!$A:$A=$A44)*(prices!$C:$C=DATEVALUE("2024-07-31")), prices!$B:$B)/_xlfn.XLOOKUP(1, (prices!$A:$A=$A44)*(prices!$C:$C=DATEVALUE("2024-06-30")), prices!$B:$B))-1</f>
        <v>8.8533478554671641E-2</v>
      </c>
      <c r="I44" cm="1">
        <f t="array" ref="I44">(_xlfn.XLOOKUP(1, (prices!$A:$A=$A44)*(prices!$C:$C=DATEVALUE("2024-08-31")), prices!$B:$B)/_xlfn.XLOOKUP(1, (prices!$A:$A=$A44)*(prices!$C:$C=DATEVALUE("2024-07-31")), prices!$B:$B))-1</f>
        <v>9.321669622703288E-2</v>
      </c>
      <c r="J44" cm="1">
        <f t="array" ref="J44">(_xlfn.XLOOKUP(1, (prices!$A:$A=$A44)*(prices!$C:$C=DATEVALUE("2024-09-30")), prices!$B:$B)/_xlfn.XLOOKUP(1, (prices!$A:$A=$A44)*(prices!$C:$C=DATEVALUE("2024-08-31")), prices!$B:$B))-1</f>
        <v>3.8238411479547318E-2</v>
      </c>
      <c r="K44" cm="1">
        <f t="array" ref="K44">(_xlfn.XLOOKUP(1, (prices!$A:$A=$A44)*(prices!$C:$C=DATEVALUE("2024-10-31")), prices!$B:$B)/_xlfn.XLOOKUP(1, (prices!$A:$A=$A44)*(prices!$C:$C=DATEVALUE("2024-09-30")), prices!$B:$B))-1</f>
        <v>-3.163578909546072E-2</v>
      </c>
      <c r="L44" cm="1">
        <f t="array" ref="L44">(_xlfn.XLOOKUP(1, (prices!$A:$A=$A44)*(prices!$C:$C=DATEVALUE("2024-11-30")), prices!$B:$B)/_xlfn.XLOOKUP(1, (prices!$A:$A=$A44)*(prices!$C:$C=DATEVALUE("2024-10-31")), prices!$B:$B))-1</f>
        <v>-4.8429119584040281E-2</v>
      </c>
      <c r="M44" cm="1">
        <f t="array" ref="M44">(_xlfn.XLOOKUP(1, (prices!$A:$A=$A44)*(prices!$C:$C=DATEVALUE("2024-12-31")), prices!$B:$B)/_xlfn.XLOOKUP(1, (prices!$A:$A=$A44)*(prices!$C:$C=DATEVALUE("2024-11-30")), prices!$B:$B))-1</f>
        <v>-6.6162810532558014E-2</v>
      </c>
    </row>
    <row r="45" spans="1:13">
      <c r="A45" t="str">
        <f>funds_20231231!A46</f>
        <v>ZAIMP</v>
      </c>
      <c r="B45" cm="1">
        <f t="array" ref="B45">(_xlfn.XLOOKUP(1, (prices!$A:$A=$A45)*(prices!$C:$C=DATEVALUE("2024-01-31")), prices!$B:$B)/_xlfn.XLOOKUP(1, (prices!$A:$A=$A45)*(prices!$C:$C=DATE(2023,12,31)), prices!$B:$B))-1</f>
        <v>-0.21065161749586192</v>
      </c>
      <c r="C45" cm="1">
        <f t="array" ref="C45">(_xlfn.XLOOKUP(1, (prices!$A:$A=$A45)*(prices!$C:$C=DATEVALUE("2024-02-29")), prices!$B:$B)/_xlfn.XLOOKUP(1, (prices!$A:$A=$A45)*(prices!$C:$C=DATEVALUE("2024-01-31")), prices!$B:$B))-1</f>
        <v>-0.14283386850845092</v>
      </c>
      <c r="D45" cm="1">
        <f t="array" ref="D45">(_xlfn.XLOOKUP(1, (prices!$A:$A=$A45)*(prices!$C:$C=DATEVALUE("2024-03-31")), prices!$B:$B)/_xlfn.XLOOKUP(1, (prices!$A:$A=$A45)*(prices!$C:$C=DATEVALUE("2024-02-29")), prices!$B:$B))-1</f>
        <v>0.22466077470156787</v>
      </c>
      <c r="E45" cm="1">
        <f t="array" ref="E45">(_xlfn.XLOOKUP(1, (prices!$A:$A=$A45)*(prices!$C:$C=DATEVALUE("2024-04-30")), prices!$B:$B)/_xlfn.XLOOKUP(1, (prices!$A:$A=$A45)*(prices!$C:$C=DATEVALUE("2024-03-31")), prices!$B:$B))-1</f>
        <v>8.7889042422881758E-2</v>
      </c>
      <c r="F45" cm="1">
        <f t="array" ref="F45">(_xlfn.XLOOKUP(1, (prices!$A:$A=$A45)*(prices!$C:$C=DATEVALUE("2024-05-31")), prices!$B:$B)/_xlfn.XLOOKUP(1, (prices!$A:$A=$A45)*(prices!$C:$C=DATEVALUE("2024-04-30")), prices!$B:$B))-1</f>
        <v>0.13584667381102666</v>
      </c>
      <c r="G45" cm="1">
        <f t="array" ref="G45">(_xlfn.XLOOKUP(1, (prices!$A:$A=$A45)*(prices!$C:$C=DATEVALUE("2024-06-30")), prices!$B:$B)/_xlfn.XLOOKUP(1, (prices!$A:$A=$A45)*(prices!$C:$C=DATEVALUE("2024-05-31")), prices!$B:$B))-1</f>
        <v>-2.7221409382800155E-2</v>
      </c>
      <c r="H45" cm="1">
        <f t="array" ref="H45">(_xlfn.XLOOKUP(1, (prices!$A:$A=$A45)*(prices!$C:$C=DATEVALUE("2024-07-31")), prices!$B:$B)/_xlfn.XLOOKUP(1, (prices!$A:$A=$A45)*(prices!$C:$C=DATEVALUE("2024-06-30")), prices!$B:$B))-1</f>
        <v>3.0651424266540328E-2</v>
      </c>
      <c r="I45" cm="1">
        <f t="array" ref="I45">(_xlfn.XLOOKUP(1, (prices!$A:$A=$A45)*(prices!$C:$C=DATEVALUE("2024-08-31")), prices!$B:$B)/_xlfn.XLOOKUP(1, (prices!$A:$A=$A45)*(prices!$C:$C=DATEVALUE("2024-07-31")), prices!$B:$B))-1</f>
        <v>-0.15352004452804391</v>
      </c>
      <c r="J45" cm="1">
        <f t="array" ref="J45">(_xlfn.XLOOKUP(1, (prices!$A:$A=$A45)*(prices!$C:$C=DATEVALUE("2024-09-30")), prices!$B:$B)/_xlfn.XLOOKUP(1, (prices!$A:$A=$A45)*(prices!$C:$C=DATEVALUE("2024-08-31")), prices!$B:$B))-1</f>
        <v>0.29472497037441547</v>
      </c>
      <c r="K45" cm="1">
        <f t="array" ref="K45">(_xlfn.XLOOKUP(1, (prices!$A:$A=$A45)*(prices!$C:$C=DATEVALUE("2024-10-31")), prices!$B:$B)/_xlfn.XLOOKUP(1, (prices!$A:$A=$A45)*(prices!$C:$C=DATEVALUE("2024-09-30")), prices!$B:$B))-1</f>
        <v>0.16205160316683331</v>
      </c>
      <c r="L45" cm="1">
        <f t="array" ref="L45">(_xlfn.XLOOKUP(1, (prices!$A:$A=$A45)*(prices!$C:$C=DATEVALUE("2024-11-30")), prices!$B:$B)/_xlfn.XLOOKUP(1, (prices!$A:$A=$A45)*(prices!$C:$C=DATEVALUE("2024-10-31")), prices!$B:$B))-1</f>
        <v>-0.13468010074626746</v>
      </c>
      <c r="M45" cm="1">
        <f t="array" ref="M45">(_xlfn.XLOOKUP(1, (prices!$A:$A=$A45)*(prices!$C:$C=DATEVALUE("2024-12-31")), prices!$B:$B)/_xlfn.XLOOKUP(1, (prices!$A:$A=$A45)*(prices!$C:$C=DATEVALUE("2024-11-30")), prices!$B:$B))-1</f>
        <v>-0.17638253525165315</v>
      </c>
    </row>
    <row r="46" spans="1:13">
      <c r="A46" t="str">
        <f>funds_20231231!A47</f>
        <v>ZAGFI</v>
      </c>
      <c r="B46" cm="1">
        <f t="array" ref="B46">(_xlfn.XLOOKUP(1, (prices!$A:$A=$A46)*(prices!$C:$C=DATEVALUE("2024-01-31")), prices!$B:$B)/_xlfn.XLOOKUP(1, (prices!$A:$A=$A46)*(prices!$C:$C=DATE(2023,12,31)), prices!$B:$B))-1</f>
        <v>-1.669959835988144E-2</v>
      </c>
      <c r="C46" cm="1">
        <f t="array" ref="C46">(_xlfn.XLOOKUP(1, (prices!$A:$A=$A46)*(prices!$C:$C=DATEVALUE("2024-02-29")), prices!$B:$B)/_xlfn.XLOOKUP(1, (prices!$A:$A=$A46)*(prices!$C:$C=DATEVALUE("2024-01-31")), prices!$B:$B))-1</f>
        <v>-0.12120137517203766</v>
      </c>
      <c r="D46" cm="1">
        <f t="array" ref="D46">(_xlfn.XLOOKUP(1, (prices!$A:$A=$A46)*(prices!$C:$C=DATEVALUE("2024-03-31")), prices!$B:$B)/_xlfn.XLOOKUP(1, (prices!$A:$A=$A46)*(prices!$C:$C=DATEVALUE("2024-02-29")), prices!$B:$B))-1</f>
        <v>0.22268476789576663</v>
      </c>
      <c r="E46" cm="1">
        <f t="array" ref="E46">(_xlfn.XLOOKUP(1, (prices!$A:$A=$A46)*(prices!$C:$C=DATEVALUE("2024-04-30")), prices!$B:$B)/_xlfn.XLOOKUP(1, (prices!$A:$A=$A46)*(prices!$C:$C=DATEVALUE("2024-03-31")), prices!$B:$B))-1</f>
        <v>2.7836225069712173E-2</v>
      </c>
      <c r="F46" cm="1">
        <f t="array" ref="F46">(_xlfn.XLOOKUP(1, (prices!$A:$A=$A46)*(prices!$C:$C=DATEVALUE("2024-05-31")), prices!$B:$B)/_xlfn.XLOOKUP(1, (prices!$A:$A=$A46)*(prices!$C:$C=DATEVALUE("2024-04-30")), prices!$B:$B))-1</f>
        <v>-5.7590297489920395E-2</v>
      </c>
      <c r="G46" cm="1">
        <f t="array" ref="G46">(_xlfn.XLOOKUP(1, (prices!$A:$A=$A46)*(prices!$C:$C=DATEVALUE("2024-06-30")), prices!$B:$B)/_xlfn.XLOOKUP(1, (prices!$A:$A=$A46)*(prices!$C:$C=DATEVALUE("2024-05-31")), prices!$B:$B))-1</f>
        <v>-3.6771962056056928E-2</v>
      </c>
      <c r="H46" cm="1">
        <f t="array" ref="H46">(_xlfn.XLOOKUP(1, (prices!$A:$A=$A46)*(prices!$C:$C=DATEVALUE("2024-07-31")), prices!$B:$B)/_xlfn.XLOOKUP(1, (prices!$A:$A=$A46)*(prices!$C:$C=DATEVALUE("2024-06-30")), prices!$B:$B))-1</f>
        <v>0.17184678957615929</v>
      </c>
      <c r="I46" cm="1">
        <f t="array" ref="I46">(_xlfn.XLOOKUP(1, (prices!$A:$A=$A46)*(prices!$C:$C=DATEVALUE("2024-08-31")), prices!$B:$B)/_xlfn.XLOOKUP(1, (prices!$A:$A=$A46)*(prices!$C:$C=DATEVALUE("2024-07-31")), prices!$B:$B))-1</f>
        <v>-0.20416033660101751</v>
      </c>
      <c r="J46" cm="1">
        <f t="array" ref="J46">(_xlfn.XLOOKUP(1, (prices!$A:$A=$A46)*(prices!$C:$C=DATEVALUE("2024-09-30")), prices!$B:$B)/_xlfn.XLOOKUP(1, (prices!$A:$A=$A46)*(prices!$C:$C=DATEVALUE("2024-08-31")), prices!$B:$B))-1</f>
        <v>0.11712951101962732</v>
      </c>
      <c r="K46" cm="1">
        <f t="array" ref="K46">(_xlfn.XLOOKUP(1, (prices!$A:$A=$A46)*(prices!$C:$C=DATEVALUE("2024-10-31")), prices!$B:$B)/_xlfn.XLOOKUP(1, (prices!$A:$A=$A46)*(prices!$C:$C=DATEVALUE("2024-09-30")), prices!$B:$B))-1</f>
        <v>5.2060715634005383E-2</v>
      </c>
      <c r="L46" cm="1">
        <f t="array" ref="L46">(_xlfn.XLOOKUP(1, (prices!$A:$A=$A46)*(prices!$C:$C=DATEVALUE("2024-11-30")), prices!$B:$B)/_xlfn.XLOOKUP(1, (prices!$A:$A=$A46)*(prices!$C:$C=DATEVALUE("2024-10-31")), prices!$B:$B))-1</f>
        <v>-0.13602884706732365</v>
      </c>
      <c r="M46" cm="1">
        <f t="array" ref="M46">(_xlfn.XLOOKUP(1, (prices!$A:$A=$A46)*(prices!$C:$C=DATEVALUE("2024-12-31")), prices!$B:$B)/_xlfn.XLOOKUP(1, (prices!$A:$A=$A46)*(prices!$C:$C=DATEVALUE("2024-11-30")), prices!$B:$B))-1</f>
        <v>-7.6511792484615593E-2</v>
      </c>
    </row>
    <row r="47" spans="1:13">
      <c r="A47" t="str">
        <f>funds_20231231!A48</f>
        <v>ZAARI</v>
      </c>
      <c r="B47" cm="1">
        <f t="array" ref="B47">(_xlfn.XLOOKUP(1, (prices!$A:$A=$A47)*(prices!$C:$C=DATEVALUE("2024-01-31")), prices!$B:$B)/_xlfn.XLOOKUP(1, (prices!$A:$A=$A47)*(prices!$C:$C=DATE(2023,12,31)), prices!$B:$B))-1</f>
        <v>-8.8120034935075919E-2</v>
      </c>
      <c r="C47" cm="1">
        <f t="array" ref="C47">(_xlfn.XLOOKUP(1, (prices!$A:$A=$A47)*(prices!$C:$C=DATEVALUE("2024-02-29")), prices!$B:$B)/_xlfn.XLOOKUP(1, (prices!$A:$A=$A47)*(prices!$C:$C=DATEVALUE("2024-01-31")), prices!$B:$B))-1</f>
        <v>-0.11747197205623972</v>
      </c>
      <c r="D47" cm="1">
        <f t="array" ref="D47">(_xlfn.XLOOKUP(1, (prices!$A:$A=$A47)*(prices!$C:$C=DATEVALUE("2024-03-31")), prices!$B:$B)/_xlfn.XLOOKUP(1, (prices!$A:$A=$A47)*(prices!$C:$C=DATEVALUE("2024-02-29")), prices!$B:$B))-1</f>
        <v>-1.3090609430397526E-2</v>
      </c>
      <c r="E47" cm="1">
        <f t="array" ref="E47">(_xlfn.XLOOKUP(1, (prices!$A:$A=$A47)*(prices!$C:$C=DATEVALUE("2024-04-30")), prices!$B:$B)/_xlfn.XLOOKUP(1, (prices!$A:$A=$A47)*(prices!$C:$C=DATEVALUE("2024-03-31")), prices!$B:$B))-1</f>
        <v>0.19946562056304118</v>
      </c>
      <c r="F47" cm="1">
        <f t="array" ref="F47">(_xlfn.XLOOKUP(1, (prices!$A:$A=$A47)*(prices!$C:$C=DATEVALUE("2024-05-31")), prices!$B:$B)/_xlfn.XLOOKUP(1, (prices!$A:$A=$A47)*(prices!$C:$C=DATEVALUE("2024-04-30")), prices!$B:$B))-1</f>
        <v>0.15133388219334543</v>
      </c>
      <c r="G47" cm="1">
        <f t="array" ref="G47">(_xlfn.XLOOKUP(1, (prices!$A:$A=$A47)*(prices!$C:$C=DATEVALUE("2024-06-30")), prices!$B:$B)/_xlfn.XLOOKUP(1, (prices!$A:$A=$A47)*(prices!$C:$C=DATEVALUE("2024-05-31")), prices!$B:$B))-1</f>
        <v>3.6374873462494017E-2</v>
      </c>
      <c r="H47" cm="1">
        <f t="array" ref="H47">(_xlfn.XLOOKUP(1, (prices!$A:$A=$A47)*(prices!$C:$C=DATEVALUE("2024-07-31")), prices!$B:$B)/_xlfn.XLOOKUP(1, (prices!$A:$A=$A47)*(prices!$C:$C=DATEVALUE("2024-06-30")), prices!$B:$B))-1</f>
        <v>-4.4861997663801279E-2</v>
      </c>
      <c r="I47" cm="1">
        <f t="array" ref="I47">(_xlfn.XLOOKUP(1, (prices!$A:$A=$A47)*(prices!$C:$C=DATEVALUE("2024-08-31")), prices!$B:$B)/_xlfn.XLOOKUP(1, (prices!$A:$A=$A47)*(prices!$C:$C=DATEVALUE("2024-07-31")), prices!$B:$B))-1</f>
        <v>-0.17465150661991236</v>
      </c>
      <c r="J47" cm="1">
        <f t="array" ref="J47">(_xlfn.XLOOKUP(1, (prices!$A:$A=$A47)*(prices!$C:$C=DATEVALUE("2024-09-30")), prices!$B:$B)/_xlfn.XLOOKUP(1, (prices!$A:$A=$A47)*(prices!$C:$C=DATEVALUE("2024-08-31")), prices!$B:$B))-1</f>
        <v>0.12127305562510071</v>
      </c>
      <c r="K47" cm="1">
        <f t="array" ref="K47">(_xlfn.XLOOKUP(1, (prices!$A:$A=$A47)*(prices!$C:$C=DATEVALUE("2024-10-31")), prices!$B:$B)/_xlfn.XLOOKUP(1, (prices!$A:$A=$A47)*(prices!$C:$C=DATEVALUE("2024-09-30")), prices!$B:$B))-1</f>
        <v>-8.5894569906698304E-2</v>
      </c>
      <c r="L47" cm="1">
        <f t="array" ref="L47">(_xlfn.XLOOKUP(1, (prices!$A:$A=$A47)*(prices!$C:$C=DATEVALUE("2024-11-30")), prices!$B:$B)/_xlfn.XLOOKUP(1, (prices!$A:$A=$A47)*(prices!$C:$C=DATEVALUE("2024-10-31")), prices!$B:$B))-1</f>
        <v>-0.12358946679201865</v>
      </c>
      <c r="M47" cm="1">
        <f t="array" ref="M47">(_xlfn.XLOOKUP(1, (prices!$A:$A=$A47)*(prices!$C:$C=DATEVALUE("2024-12-31")), prices!$B:$B)/_xlfn.XLOOKUP(1, (prices!$A:$A=$A47)*(prices!$C:$C=DATEVALUE("2024-11-30")), prices!$B:$B))-1</f>
        <v>-9.4677687510349551E-2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3DE7-FFEB-4ABF-98F5-BE78B2D462F5}">
  <dimension ref="A1:M2"/>
  <sheetViews>
    <sheetView workbookViewId="0">
      <selection activeCell="F9" sqref="F9"/>
    </sheetView>
  </sheetViews>
  <sheetFormatPr defaultRowHeight="15"/>
  <cols>
    <col min="1" max="1" width="13.85546875" bestFit="1" customWidth="1"/>
    <col min="2" max="2" width="36.5703125" bestFit="1" customWidth="1"/>
    <col min="3" max="3" width="15.42578125" customWidth="1"/>
    <col min="4" max="4" width="17.5703125" customWidth="1"/>
    <col min="13" max="13" width="20" bestFit="1" customWidth="1"/>
    <col min="14" max="14" width="12.28515625" bestFit="1" customWidth="1"/>
    <col min="15" max="15" width="10.7109375" customWidth="1"/>
  </cols>
  <sheetData>
    <row r="1" spans="1:13">
      <c r="A1" t="s">
        <v>182</v>
      </c>
      <c r="B1" t="s">
        <v>183</v>
      </c>
      <c r="C1" t="s">
        <v>184</v>
      </c>
      <c r="D1" t="s">
        <v>185</v>
      </c>
    </row>
    <row r="2" spans="1:13">
      <c r="A2" t="s">
        <v>186</v>
      </c>
      <c r="B2" s="7">
        <f>SUMPRODUCT('1_marketValue'!E2:E47,'1_marketValue'!F2:F47)</f>
        <v>0.10309356276824987</v>
      </c>
      <c r="C2">
        <f>SUMPRODUCT(Table1[Weight],Table1[Return])</f>
        <v>8.1356345013695347E-2</v>
      </c>
      <c r="D2">
        <f>B2-C2</f>
        <v>2.1737217754554519E-2</v>
      </c>
      <c r="M2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3271-9FCE-4DFB-91A5-E16FEFB616DB}">
  <dimension ref="A1:G78"/>
  <sheetViews>
    <sheetView workbookViewId="0">
      <selection activeCell="J19" sqref="J19"/>
    </sheetView>
  </sheetViews>
  <sheetFormatPr defaultRowHeight="15"/>
  <cols>
    <col min="1" max="1" width="7.85546875" bestFit="1" customWidth="1"/>
    <col min="2" max="3" width="12.28515625" bestFit="1" customWidth="1"/>
    <col min="4" max="4" width="12.85546875" bestFit="1" customWidth="1"/>
    <col min="5" max="5" width="12.28515625" bestFit="1" customWidth="1"/>
    <col min="6" max="6" width="12.7109375" bestFit="1" customWidth="1"/>
    <col min="7" max="7" width="14.28515625" bestFit="1" customWidth="1"/>
  </cols>
  <sheetData>
    <row r="1" spans="1:7">
      <c r="A1" t="s">
        <v>187</v>
      </c>
      <c r="B1" t="s">
        <v>172</v>
      </c>
      <c r="C1" t="s">
        <v>174</v>
      </c>
      <c r="D1" t="s">
        <v>188</v>
      </c>
      <c r="E1" t="s">
        <v>178</v>
      </c>
      <c r="F1" t="s">
        <v>189</v>
      </c>
      <c r="G1" t="s">
        <v>190</v>
      </c>
    </row>
    <row r="2" spans="1:7">
      <c r="A2" t="s">
        <v>4</v>
      </c>
      <c r="B2">
        <v>283082049.5</v>
      </c>
      <c r="C2" cm="1">
        <f t="array" ref="C2">_xlfn.XLOOKUP(1, (prices!$A:$A=A2)*(prices!$C:$C=DATE(2023,12,31)), prices!$B:$B)</f>
        <v>0.22365003417505</v>
      </c>
      <c r="D2">
        <f t="shared" ref="D2:D33" si="0">B2*C2</f>
        <v>63311310.045018196</v>
      </c>
      <c r="E2">
        <f t="shared" ref="E2:E33" si="1">D2/$D$78</f>
        <v>1.5903823223721445E-4</v>
      </c>
      <c r="F2" cm="1">
        <f t="array" ref="F2">(_xlfn.XLOOKUP(1, (prices!$A:$A=A2)*(prices!$C:$C=DATE(2024,12,31)), prices!$B:$B)/_xlfn.XLOOKUP(1, (prices!$A:$A=A2)*(prices!$C:$C=DATE(2023,12,31)), prices!$B:$B))-1</f>
        <v>0.94063130439802434</v>
      </c>
      <c r="G2" t="str">
        <f>_xlfn.XLOOKUP(A2, attributes!A:A, attributes!C:C)</f>
        <v>Resources</v>
      </c>
    </row>
    <row r="3" spans="1:7">
      <c r="A3" t="s">
        <v>8</v>
      </c>
      <c r="B3">
        <v>157913546.15000001</v>
      </c>
      <c r="C3" cm="1">
        <f t="array" ref="C3">_xlfn.XLOOKUP(1, (prices!$A:$A=A3)*(prices!$C:$C=DATE(2023,12,31)), prices!$B:$B)</f>
        <v>19.849624060035001</v>
      </c>
      <c r="D3">
        <f t="shared" si="0"/>
        <v>3134524525.0644875</v>
      </c>
      <c r="E3">
        <f t="shared" si="1"/>
        <v>7.8739365686159371E-3</v>
      </c>
      <c r="F3" cm="1">
        <f t="array" ref="F3">(_xlfn.XLOOKUP(1, (prices!$A:$A=A3)*(prices!$C:$C=DATE(2024,12,31)), prices!$B:$B)/_xlfn.XLOOKUP(1, (prices!$A:$A=A3)*(prices!$C:$C=DATE(2023,12,31)), prices!$B:$B))-1</f>
        <v>-0.25913547236966816</v>
      </c>
      <c r="G3" t="str">
        <f>_xlfn.XLOOKUP(A3, attributes!A:A, attributes!C:C)</f>
        <v>Rand Sensitives</v>
      </c>
    </row>
    <row r="4" spans="1:7">
      <c r="A4" t="s">
        <v>11</v>
      </c>
      <c r="B4">
        <v>303894357.75</v>
      </c>
      <c r="C4" cm="1">
        <f t="array" ref="C4">_xlfn.XLOOKUP(1, (prices!$A:$A=A4)*(prices!$C:$C=DATE(2023,12,31)), prices!$B:$B)</f>
        <v>29.610936431816899</v>
      </c>
      <c r="D4">
        <f t="shared" si="0"/>
        <v>8998596509.3230724</v>
      </c>
      <c r="E4">
        <f t="shared" si="1"/>
        <v>2.2604505900147953E-2</v>
      </c>
      <c r="F4" cm="1">
        <f t="array" ref="F4">(_xlfn.XLOOKUP(1, (prices!$A:$A=A4)*(prices!$C:$C=DATE(2024,12,31)), prices!$B:$B)/_xlfn.XLOOKUP(1, (prices!$A:$A=A4)*(prices!$C:$C=DATE(2023,12,31)), prices!$B:$B))-1</f>
        <v>0.21084539535385827</v>
      </c>
      <c r="G4" t="str">
        <f>_xlfn.XLOOKUP(A4, attributes!A:A, attributes!C:C)</f>
        <v>Rand Sensitives</v>
      </c>
    </row>
    <row r="5" spans="1:7">
      <c r="A5" t="s">
        <v>14</v>
      </c>
      <c r="B5">
        <v>345043010.55000001</v>
      </c>
      <c r="C5" cm="1">
        <f t="array" ref="C5">_xlfn.XLOOKUP(1, (prices!$A:$A=A5)*(prices!$C:$C=DATE(2023,12,31)), prices!$B:$B)</f>
        <v>6.8872180450727498</v>
      </c>
      <c r="D5">
        <f t="shared" si="0"/>
        <v>2376386448.5861874</v>
      </c>
      <c r="E5">
        <f t="shared" si="1"/>
        <v>5.969491069239977E-3</v>
      </c>
      <c r="F5" cm="1">
        <f t="array" ref="F5">(_xlfn.XLOOKUP(1, (prices!$A:$A=A5)*(prices!$C:$C=DATE(2024,12,31)), prices!$B:$B)/_xlfn.XLOOKUP(1, (prices!$A:$A=A5)*(prices!$C:$C=DATE(2023,12,31)), prices!$B:$B))-1</f>
        <v>-2.5098178063596377E-2</v>
      </c>
      <c r="G5" t="str">
        <f>_xlfn.XLOOKUP(A5, attributes!A:A, attributes!C:C)</f>
        <v>Rand Sensitives</v>
      </c>
    </row>
    <row r="6" spans="1:7">
      <c r="A6" t="s">
        <v>17</v>
      </c>
      <c r="B6">
        <v>1148400000</v>
      </c>
      <c r="C6" cm="1">
        <f t="array" ref="C6">_xlfn.XLOOKUP(1, (prices!$A:$A=A6)*(prices!$C:$C=DATE(2023,12,31)), prices!$B:$B)</f>
        <v>140.40246069638101</v>
      </c>
      <c r="D6">
        <f t="shared" si="0"/>
        <v>161238185863.72397</v>
      </c>
      <c r="E6">
        <f t="shared" si="1"/>
        <v>0.40503088675101373</v>
      </c>
      <c r="F6" cm="1">
        <f t="array" ref="F6">(_xlfn.XLOOKUP(1, (prices!$A:$A=A6)*(prices!$C:$C=DATE(2024,12,31)), prices!$B:$B)/_xlfn.XLOOKUP(1, (prices!$A:$A=A6)*(prices!$C:$C=DATE(2023,12,31)), prices!$B:$B))-1</f>
        <v>4.7748861043592772E-2</v>
      </c>
      <c r="G6" t="str">
        <f>_xlfn.XLOOKUP(A6, attributes!A:A, attributes!C:C)</f>
        <v>Rand Sensitives</v>
      </c>
    </row>
    <row r="7" spans="1:7">
      <c r="A7" t="s">
        <v>20</v>
      </c>
      <c r="B7">
        <v>368817620.39999998</v>
      </c>
      <c r="C7" cm="1">
        <f t="array" ref="C7">_xlfn.XLOOKUP(1, (prices!$A:$A=A7)*(prices!$C:$C=DATE(2023,12,31)), prices!$B:$B)</f>
        <v>0.50416951469289994</v>
      </c>
      <c r="D7">
        <f t="shared" si="0"/>
        <v>185946600.68725818</v>
      </c>
      <c r="E7">
        <f t="shared" si="1"/>
        <v>4.6709851119480572E-4</v>
      </c>
      <c r="F7" cm="1">
        <f t="array" ref="F7">(_xlfn.XLOOKUP(1, (prices!$A:$A=A7)*(prices!$C:$C=DATE(2024,12,31)), prices!$B:$B)/_xlfn.XLOOKUP(1, (prices!$A:$A=A7)*(prices!$C:$C=DATE(2023,12,31)), prices!$B:$B))-1</f>
        <v>0.45790081583649789</v>
      </c>
      <c r="G7" t="str">
        <f>_xlfn.XLOOKUP(A7, attributes!A:A, attributes!C:C)</f>
        <v>Property</v>
      </c>
    </row>
    <row r="8" spans="1:7">
      <c r="A8" t="s">
        <v>24</v>
      </c>
      <c r="B8">
        <v>56010934.289999999</v>
      </c>
      <c r="C8" cm="1">
        <f t="array" ref="C8">_xlfn.XLOOKUP(1, (prices!$A:$A=A8)*(prices!$C:$C=DATE(2023,12,31)), prices!$B:$B)</f>
        <v>0.63704716335925005</v>
      </c>
      <c r="D8">
        <f t="shared" si="0"/>
        <v>35681606.806545846</v>
      </c>
      <c r="E8">
        <f t="shared" si="1"/>
        <v>8.963232107914565E-5</v>
      </c>
      <c r="F8" cm="1">
        <f t="array" ref="F8">(_xlfn.XLOOKUP(1, (prices!$A:$A=A8)*(prices!$C:$C=DATE(2024,12,31)), prices!$B:$B)/_xlfn.XLOOKUP(1, (prices!$A:$A=A8)*(prices!$C:$C=DATE(2023,12,31)), prices!$B:$B))-1</f>
        <v>8.5592977477949583E-2</v>
      </c>
      <c r="G8" t="str">
        <f>_xlfn.XLOOKUP(A8, attributes!A:A, attributes!C:C)</f>
        <v>SA Inc</v>
      </c>
    </row>
    <row r="9" spans="1:7">
      <c r="A9" t="s">
        <v>27</v>
      </c>
      <c r="B9">
        <v>702727466.5</v>
      </c>
      <c r="C9" cm="1">
        <f t="array" ref="C9">_xlfn.XLOOKUP(1, (prices!$A:$A=A9)*(prices!$C:$C=DATE(2023,12,31)), prices!$B:$B)</f>
        <v>25.891455912358001</v>
      </c>
      <c r="D9">
        <f t="shared" si="0"/>
        <v>18194637217.287785</v>
      </c>
      <c r="E9">
        <f t="shared" si="1"/>
        <v>4.5704992317760033E-2</v>
      </c>
      <c r="F9" cm="1">
        <f t="array" ref="F9">(_xlfn.XLOOKUP(1, (prices!$A:$A=A9)*(prices!$C:$C=DATE(2024,12,31)), prices!$B:$B)/_xlfn.XLOOKUP(1, (prices!$A:$A=A9)*(prices!$C:$C=DATE(2023,12,31)), prices!$B:$B))-1</f>
        <v>0.12951674742544039</v>
      </c>
      <c r="G9" t="str">
        <f>_xlfn.XLOOKUP(A9, attributes!A:A, attributes!C:C)</f>
        <v>Resources</v>
      </c>
    </row>
    <row r="10" spans="1:7">
      <c r="A10" t="s">
        <v>29</v>
      </c>
      <c r="B10">
        <v>917144580</v>
      </c>
      <c r="C10" cm="1">
        <f t="array" ref="C10">_xlfn.XLOOKUP(1, (prices!$A:$A=A10)*(prices!$C:$C=DATE(2023,12,31)), prices!$B:$B)</f>
        <v>1.0045112781896499</v>
      </c>
      <c r="D10">
        <f t="shared" si="0"/>
        <v>921282074.34050965</v>
      </c>
      <c r="E10">
        <f t="shared" si="1"/>
        <v>2.3142637925319294E-3</v>
      </c>
      <c r="F10" cm="1">
        <f t="array" ref="F10">(_xlfn.XLOOKUP(1, (prices!$A:$A=A10)*(prices!$C:$C=DATE(2024,12,31)), prices!$B:$B)/_xlfn.XLOOKUP(1, (prices!$A:$A=A10)*(prices!$C:$C=DATE(2023,12,31)), prices!$B:$B))-1</f>
        <v>-0.13585388840632329</v>
      </c>
      <c r="G10" t="str">
        <f>_xlfn.XLOOKUP(A10, attributes!A:A, attributes!C:C)</f>
        <v>SA Inc</v>
      </c>
    </row>
    <row r="11" spans="1:7">
      <c r="A11" t="s">
        <v>32</v>
      </c>
      <c r="B11">
        <v>327349880</v>
      </c>
      <c r="C11" cm="1">
        <f t="array" ref="C11">_xlfn.XLOOKUP(1, (prices!$A:$A=A11)*(prices!$C:$C=DATE(2023,12,31)), prices!$B:$B)</f>
        <v>5.7963089541699997</v>
      </c>
      <c r="D11">
        <f t="shared" si="0"/>
        <v>1897421040.5904748</v>
      </c>
      <c r="E11">
        <f t="shared" si="1"/>
        <v>4.7663282893788414E-3</v>
      </c>
      <c r="F11" cm="1">
        <f t="array" ref="F11">(_xlfn.XLOOKUP(1, (prices!$A:$A=A11)*(prices!$C:$C=DATE(2024,12,31)), prices!$B:$B)/_xlfn.XLOOKUP(1, (prices!$A:$A=A11)*(prices!$C:$C=DATE(2023,12,31)), prices!$B:$B))-1</f>
        <v>-7.3291437940452564E-2</v>
      </c>
      <c r="G11" t="str">
        <f>_xlfn.XLOOKUP(A11, attributes!A:A, attributes!C:C)</f>
        <v>SA Inc</v>
      </c>
    </row>
    <row r="12" spans="1:7">
      <c r="A12" t="s">
        <v>35</v>
      </c>
      <c r="B12">
        <v>148101238.34999999</v>
      </c>
      <c r="C12" cm="1">
        <f t="array" ref="C12">_xlfn.XLOOKUP(1, (prices!$A:$A=A12)*(prices!$C:$C=DATE(2023,12,31)), prices!$B:$B)</f>
        <v>3.2863978126945002</v>
      </c>
      <c r="D12">
        <f t="shared" si="0"/>
        <v>486719585.77078682</v>
      </c>
      <c r="E12">
        <f t="shared" si="1"/>
        <v>1.2226413015490299E-3</v>
      </c>
      <c r="F12" cm="1">
        <f t="array" ref="F12">(_xlfn.XLOOKUP(1, (prices!$A:$A=A12)*(prices!$C:$C=DATE(2024,12,31)), prices!$B:$B)/_xlfn.XLOOKUP(1, (prices!$A:$A=A12)*(prices!$C:$C=DATE(2023,12,31)), prices!$B:$B))-1</f>
        <v>8.0395507577299075E-2</v>
      </c>
      <c r="G12" t="str">
        <f>_xlfn.XLOOKUP(A12, attributes!A:A, attributes!C:C)</f>
        <v>SA Inc</v>
      </c>
    </row>
    <row r="13" spans="1:7">
      <c r="A13" t="s">
        <v>37</v>
      </c>
      <c r="B13">
        <v>370979973.10000002</v>
      </c>
      <c r="C13" cm="1">
        <f t="array" ref="C13">_xlfn.XLOOKUP(1, (prices!$A:$A=A13)*(prices!$C:$C=DATE(2023,12,31)), prices!$B:$B)</f>
        <v>0.21216678058659999</v>
      </c>
      <c r="D13">
        <f t="shared" si="0"/>
        <v>78709626.554730475</v>
      </c>
      <c r="E13">
        <f t="shared" si="1"/>
        <v>1.9771885715861353E-4</v>
      </c>
      <c r="F13" cm="1">
        <f t="array" ref="F13">(_xlfn.XLOOKUP(1, (prices!$A:$A=A13)*(prices!$C:$C=DATE(2024,12,31)), prices!$B:$B)/_xlfn.XLOOKUP(1, (prices!$A:$A=A13)*(prices!$C:$C=DATE(2023,12,31)), prices!$B:$B))-1</f>
        <v>0.4586918634848085</v>
      </c>
      <c r="G13" t="str">
        <f>_xlfn.XLOOKUP(A13, attributes!A:A, attributes!C:C)</f>
        <v>SA Inc</v>
      </c>
    </row>
    <row r="14" spans="1:7">
      <c r="A14" t="s">
        <v>39</v>
      </c>
      <c r="B14">
        <v>125484443.28</v>
      </c>
      <c r="C14" cm="1">
        <f t="array" ref="C14">_xlfn.XLOOKUP(1, (prices!$A:$A=A14)*(prices!$C:$C=DATE(2023,12,31)), prices!$B:$B)</f>
        <v>1.5157894736754001</v>
      </c>
      <c r="D14">
        <f t="shared" si="0"/>
        <v>190207998.23384181</v>
      </c>
      <c r="E14">
        <f t="shared" si="1"/>
        <v>4.7780315673423237E-4</v>
      </c>
      <c r="F14" cm="1">
        <f t="array" ref="F14">(_xlfn.XLOOKUP(1, (prices!$A:$A=A14)*(prices!$C:$C=DATE(2024,12,31)), prices!$B:$B)/_xlfn.XLOOKUP(1, (prices!$A:$A=A14)*(prices!$C:$C=DATE(2023,12,31)), prices!$B:$B))-1</f>
        <v>0.85295589707629094</v>
      </c>
      <c r="G14" t="str">
        <f>_xlfn.XLOOKUP(A14, attributes!A:A, attributes!C:C)</f>
        <v>SA Inc</v>
      </c>
    </row>
    <row r="15" spans="1:7">
      <c r="A15" t="s">
        <v>42</v>
      </c>
      <c r="B15">
        <v>74496454.239999995</v>
      </c>
      <c r="C15" cm="1">
        <f t="array" ref="C15">_xlfn.XLOOKUP(1, (prices!$A:$A=A15)*(prices!$C:$C=DATE(2023,12,31)), prices!$B:$B)</f>
        <v>3.4449760765350002</v>
      </c>
      <c r="D15">
        <f t="shared" si="0"/>
        <v>256638502.64348435</v>
      </c>
      <c r="E15">
        <f t="shared" si="1"/>
        <v>6.4467681612342649E-4</v>
      </c>
      <c r="F15" cm="1">
        <f t="array" ref="F15">(_xlfn.XLOOKUP(1, (prices!$A:$A=A15)*(prices!$C:$C=DATE(2024,12,31)), prices!$B:$B)/_xlfn.XLOOKUP(1, (prices!$A:$A=A15)*(prices!$C:$C=DATE(2023,12,31)), prices!$B:$B))-1</f>
        <v>9.1425984809955674E-2</v>
      </c>
      <c r="G15" t="str">
        <f>_xlfn.XLOOKUP(A15, attributes!A:A, attributes!C:C)</f>
        <v>SA Inc</v>
      </c>
    </row>
    <row r="16" spans="1:7">
      <c r="A16" t="s">
        <v>44</v>
      </c>
      <c r="B16">
        <v>128840520.59999999</v>
      </c>
      <c r="C16" cm="1">
        <f t="array" ref="C16">_xlfn.XLOOKUP(1, (prices!$A:$A=A16)*(prices!$C:$C=DATE(2023,12,31)), prices!$B:$B)</f>
        <v>11.181408065553599</v>
      </c>
      <c r="D16">
        <f t="shared" si="0"/>
        <v>1440618436.2069645</v>
      </c>
      <c r="E16">
        <f t="shared" si="1"/>
        <v>3.6188385496964503E-3</v>
      </c>
      <c r="F16" cm="1">
        <f t="array" ref="F16">(_xlfn.XLOOKUP(1, (prices!$A:$A=A16)*(prices!$C:$C=DATE(2024,12,31)), prices!$B:$B)/_xlfn.XLOOKUP(1, (prices!$A:$A=A16)*(prices!$C:$C=DATE(2023,12,31)), prices!$B:$B))-1</f>
        <v>-0.25139756963770876</v>
      </c>
      <c r="G16" t="str">
        <f>_xlfn.XLOOKUP(A16, attributes!A:A, attributes!C:C)</f>
        <v>Resources</v>
      </c>
    </row>
    <row r="17" spans="1:7">
      <c r="A17" t="s">
        <v>47</v>
      </c>
      <c r="B17">
        <v>86877600</v>
      </c>
      <c r="C17" cm="1">
        <f t="array" ref="C17">_xlfn.XLOOKUP(1, (prices!$A:$A=A17)*(prices!$C:$C=DATE(2023,12,31)), prices!$B:$B)</f>
        <v>5.0548188653158004</v>
      </c>
      <c r="D17">
        <f t="shared" si="0"/>
        <v>439150531.45335996</v>
      </c>
      <c r="E17">
        <f t="shared" si="1"/>
        <v>1.1031476707513066E-3</v>
      </c>
      <c r="F17" cm="1">
        <f t="array" ref="F17">(_xlfn.XLOOKUP(1, (prices!$A:$A=A17)*(prices!$C:$C=DATE(2024,12,31)), prices!$B:$B)/_xlfn.XLOOKUP(1, (prices!$A:$A=A17)*(prices!$C:$C=DATE(2023,12,31)), prices!$B:$B))-1</f>
        <v>0.26561533662034353</v>
      </c>
      <c r="G17" t="str">
        <f>_xlfn.XLOOKUP(A17, attributes!A:A, attributes!C:C)</f>
        <v>SA Inc</v>
      </c>
    </row>
    <row r="18" spans="1:7">
      <c r="A18" t="s">
        <v>49</v>
      </c>
      <c r="B18">
        <v>172358004</v>
      </c>
      <c r="C18" cm="1">
        <f t="array" ref="C18">_xlfn.XLOOKUP(1, (prices!$A:$A=A18)*(prices!$C:$C=DATE(2023,12,31)), prices!$B:$B)</f>
        <v>6.4470266575155</v>
      </c>
      <c r="D18">
        <f t="shared" si="0"/>
        <v>1111196646.4241631</v>
      </c>
      <c r="E18">
        <f t="shared" si="1"/>
        <v>2.7913298617507566E-3</v>
      </c>
      <c r="F18" cm="1">
        <f t="array" ref="F18">(_xlfn.XLOOKUP(1, (prices!$A:$A=A18)*(prices!$C:$C=DATE(2024,12,31)), prices!$B:$B)/_xlfn.XLOOKUP(1, (prices!$A:$A=A18)*(prices!$C:$C=DATE(2023,12,31)), prices!$B:$B))-1</f>
        <v>0.20085099693495057</v>
      </c>
      <c r="G18" t="str">
        <f>_xlfn.XLOOKUP(A18, attributes!A:A, attributes!C:C)</f>
        <v>SA Inc</v>
      </c>
    </row>
    <row r="19" spans="1:7">
      <c r="A19" t="s">
        <v>51</v>
      </c>
      <c r="B19">
        <v>478352223</v>
      </c>
      <c r="C19" cm="1">
        <f t="array" ref="C19">_xlfn.XLOOKUP(1, (prices!$A:$A=A19)*(prices!$C:$C=DATE(2023,12,31)), prices!$B:$B)</f>
        <v>0.77211209842340001</v>
      </c>
      <c r="D19">
        <f t="shared" si="0"/>
        <v>369341538.68602818</v>
      </c>
      <c r="E19">
        <f t="shared" si="1"/>
        <v>9.2778723679278429E-4</v>
      </c>
      <c r="F19" cm="1">
        <f t="array" ref="F19">(_xlfn.XLOOKUP(1, (prices!$A:$A=A19)*(prices!$C:$C=DATE(2024,12,31)), prices!$B:$B)/_xlfn.XLOOKUP(1, (prices!$A:$A=A19)*(prices!$C:$C=DATE(2023,12,31)), prices!$B:$B))-1</f>
        <v>0.23337692591958104</v>
      </c>
      <c r="G19" t="str">
        <f>_xlfn.XLOOKUP(A19, attributes!A:A, attributes!C:C)</f>
        <v>Property</v>
      </c>
    </row>
    <row r="20" spans="1:7">
      <c r="A20" t="s">
        <v>53</v>
      </c>
      <c r="B20">
        <v>428408517.20999998</v>
      </c>
      <c r="C20" cm="1">
        <f t="array" ref="C20">_xlfn.XLOOKUP(1, (prices!$A:$A=A20)*(prices!$C:$C=DATE(2023,12,31)), prices!$B:$B)</f>
        <v>0.46753246752974997</v>
      </c>
      <c r="D20">
        <f t="shared" si="0"/>
        <v>200294891.16195264</v>
      </c>
      <c r="E20">
        <f t="shared" si="1"/>
        <v>5.0314146704422472E-4</v>
      </c>
      <c r="F20" cm="1">
        <f t="array" ref="F20">(_xlfn.XLOOKUP(1, (prices!$A:$A=A20)*(prices!$C:$C=DATE(2024,12,31)), prices!$B:$B)/_xlfn.XLOOKUP(1, (prices!$A:$A=A20)*(prices!$C:$C=DATE(2023,12,31)), prices!$B:$B))-1</f>
        <v>0.23550020609027311</v>
      </c>
      <c r="G20" t="str">
        <f>_xlfn.XLOOKUP(A20, attributes!A:A, attributes!C:C)</f>
        <v>Property</v>
      </c>
    </row>
    <row r="21" spans="1:7">
      <c r="A21" t="s">
        <v>55</v>
      </c>
      <c r="B21">
        <v>265847317.52000001</v>
      </c>
      <c r="C21" cm="1">
        <f t="array" ref="C21">_xlfn.XLOOKUP(1, (prices!$A:$A=A21)*(prices!$C:$C=DATE(2023,12,31)), prices!$B:$B)</f>
        <v>1.7038961038861999</v>
      </c>
      <c r="D21">
        <f t="shared" si="0"/>
        <v>452976208.55092549</v>
      </c>
      <c r="E21">
        <f t="shared" si="1"/>
        <v>1.1378778199697616E-3</v>
      </c>
      <c r="F21" cm="1">
        <f t="array" ref="F21">(_xlfn.XLOOKUP(1, (prices!$A:$A=A21)*(prices!$C:$C=DATE(2024,12,31)), prices!$B:$B)/_xlfn.XLOOKUP(1, (prices!$A:$A=A21)*(prices!$C:$C=DATE(2023,12,31)), prices!$B:$B))-1</f>
        <v>0.21794498946759866</v>
      </c>
      <c r="G21" t="str">
        <f>_xlfn.XLOOKUP(A21, attributes!A:A, attributes!C:C)</f>
        <v>SA Inc</v>
      </c>
    </row>
    <row r="22" spans="1:7">
      <c r="A22" t="s">
        <v>57</v>
      </c>
      <c r="B22">
        <v>309884709.98000002</v>
      </c>
      <c r="C22" cm="1">
        <f t="array" ref="C22">_xlfn.XLOOKUP(1, (prices!$A:$A=A22)*(prices!$C:$C=DATE(2023,12,31)), prices!$B:$B)</f>
        <v>1.6262474367643001</v>
      </c>
      <c r="D22">
        <f t="shared" si="0"/>
        <v>503949215.29742354</v>
      </c>
      <c r="E22">
        <f t="shared" si="1"/>
        <v>1.2659221911731744E-3</v>
      </c>
      <c r="F22" cm="1">
        <f t="array" ref="F22">(_xlfn.XLOOKUP(1, (prices!$A:$A=A22)*(prices!$C:$C=DATE(2024,12,31)), prices!$B:$B)/_xlfn.XLOOKUP(1, (prices!$A:$A=A22)*(prices!$C:$C=DATE(2023,12,31)), prices!$B:$B))-1</f>
        <v>0.13955976527350811</v>
      </c>
      <c r="G22" t="str">
        <f>_xlfn.XLOOKUP(A22, attributes!A:A, attributes!C:C)</f>
        <v>SA Inc</v>
      </c>
    </row>
    <row r="23" spans="1:7">
      <c r="A23" t="s">
        <v>59</v>
      </c>
      <c r="B23">
        <v>231737865.30000001</v>
      </c>
      <c r="C23" cm="1">
        <f t="array" ref="C23">_xlfn.XLOOKUP(1, (prices!$A:$A=A23)*(prices!$C:$C=DATE(2023,12,31)), prices!$B:$B)</f>
        <v>2.4218728639640501</v>
      </c>
      <c r="D23">
        <f t="shared" si="0"/>
        <v>561239647.52302635</v>
      </c>
      <c r="E23">
        <f t="shared" si="1"/>
        <v>1.4098359572725819E-3</v>
      </c>
      <c r="F23" cm="1">
        <f t="array" ref="F23">(_xlfn.XLOOKUP(1, (prices!$A:$A=A23)*(prices!$C:$C=DATE(2024,12,31)), prices!$B:$B)/_xlfn.XLOOKUP(1, (prices!$A:$A=A23)*(prices!$C:$C=DATE(2023,12,31)), prices!$B:$B))-1</f>
        <v>0.28575595903426532</v>
      </c>
      <c r="G23" t="str">
        <f>_xlfn.XLOOKUP(A23, attributes!A:A, attributes!C:C)</f>
        <v>Property</v>
      </c>
    </row>
    <row r="24" spans="1:7">
      <c r="A24" t="s">
        <v>61</v>
      </c>
      <c r="B24">
        <v>60639445.439999998</v>
      </c>
      <c r="C24" cm="1">
        <f t="array" ref="C24">_xlfn.XLOOKUP(1, (prices!$A:$A=A24)*(prices!$C:$C=DATE(2023,12,31)), prices!$B:$B)</f>
        <v>110.80574162615</v>
      </c>
      <c r="D24">
        <f t="shared" si="0"/>
        <v>6719198723.7776594</v>
      </c>
      <c r="E24">
        <f t="shared" si="1"/>
        <v>1.6878650691642613E-2</v>
      </c>
      <c r="F24" cm="1">
        <f t="array" ref="F24">(_xlfn.XLOOKUP(1, (prices!$A:$A=A24)*(prices!$C:$C=DATE(2024,12,31)), prices!$B:$B)/_xlfn.XLOOKUP(1, (prices!$A:$A=A24)*(prices!$C:$C=DATE(2023,12,31)), prices!$B:$B))-1</f>
        <v>0.49903557676032206</v>
      </c>
      <c r="G24" t="str">
        <f>_xlfn.XLOOKUP(A24, attributes!A:A, attributes!C:C)</f>
        <v>SA Inc</v>
      </c>
    </row>
    <row r="25" spans="1:7">
      <c r="A25" t="s">
        <v>63</v>
      </c>
      <c r="B25">
        <v>38673515.789999999</v>
      </c>
      <c r="C25" cm="1">
        <f t="array" ref="C25">_xlfn.XLOOKUP(1, (prices!$A:$A=A25)*(prices!$C:$C=DATE(2023,12,31)), prices!$B:$B)</f>
        <v>8.0147641831386505</v>
      </c>
      <c r="D25">
        <f t="shared" si="0"/>
        <v>309959109.18973905</v>
      </c>
      <c r="E25">
        <f t="shared" si="1"/>
        <v>7.7861836623355034E-4</v>
      </c>
      <c r="F25" cm="1">
        <f t="array" ref="F25">(_xlfn.XLOOKUP(1, (prices!$A:$A=A25)*(prices!$C:$C=DATE(2024,12,31)), prices!$B:$B)/_xlfn.XLOOKUP(1, (prices!$A:$A=A25)*(prices!$C:$C=DATE(2023,12,31)), prices!$B:$B))-1</f>
        <v>0.23645682934943135</v>
      </c>
      <c r="G25" t="str">
        <f>_xlfn.XLOOKUP(A25, attributes!A:A, attributes!C:C)</f>
        <v>SA Inc</v>
      </c>
    </row>
    <row r="26" spans="1:7">
      <c r="A26" t="s">
        <v>65</v>
      </c>
      <c r="B26">
        <v>2847510920.9299998</v>
      </c>
      <c r="C26" cm="1">
        <f t="array" ref="C26">_xlfn.XLOOKUP(1, (prices!$A:$A=A26)*(prices!$C:$C=DATE(2023,12,31)), prices!$B:$B)</f>
        <v>0.21052631578825001</v>
      </c>
      <c r="D26">
        <f t="shared" si="0"/>
        <v>599475983.3501997</v>
      </c>
      <c r="E26">
        <f t="shared" si="1"/>
        <v>1.5058857665856118E-3</v>
      </c>
      <c r="F26" cm="1">
        <f t="array" ref="F26">(_xlfn.XLOOKUP(1, (prices!$A:$A=A26)*(prices!$C:$C=DATE(2024,12,31)), prices!$B:$B)/_xlfn.XLOOKUP(1, (prices!$A:$A=A26)*(prices!$C:$C=DATE(2023,12,31)), prices!$B:$B))-1</f>
        <v>0.14533651298526973</v>
      </c>
      <c r="G26" t="str">
        <f>_xlfn.XLOOKUP(A26, attributes!A:A, attributes!C:C)</f>
        <v>Property</v>
      </c>
    </row>
    <row r="27" spans="1:7">
      <c r="A27" t="s">
        <v>67</v>
      </c>
      <c r="B27">
        <v>293841325</v>
      </c>
      <c r="C27" cm="1">
        <f t="array" ref="C27">_xlfn.XLOOKUP(1, (prices!$A:$A=A27)*(prices!$C:$C=DATE(2023,12,31)), prices!$B:$B)</f>
        <v>7.8567327408976002</v>
      </c>
      <c r="D27">
        <f t="shared" si="0"/>
        <v>2308632758.7562327</v>
      </c>
      <c r="E27">
        <f t="shared" si="1"/>
        <v>5.7992935634476857E-3</v>
      </c>
      <c r="F27" cm="1">
        <f t="array" ref="F27">(_xlfn.XLOOKUP(1, (prices!$A:$A=A27)*(prices!$C:$C=DATE(2024,12,31)), prices!$B:$B)/_xlfn.XLOOKUP(1, (prices!$A:$A=A27)*(prices!$C:$C=DATE(2023,12,31)), prices!$B:$B))-1</f>
        <v>0.31373625095058166</v>
      </c>
      <c r="G27" t="str">
        <f>_xlfn.XLOOKUP(A27, attributes!A:A, attributes!C:C)</f>
        <v>SA Inc</v>
      </c>
    </row>
    <row r="28" spans="1:7">
      <c r="A28" t="s">
        <v>69</v>
      </c>
      <c r="B28">
        <v>418194461.23000002</v>
      </c>
      <c r="C28" cm="1">
        <f t="array" ref="C28">_xlfn.XLOOKUP(1, (prices!$A:$A=A28)*(prices!$C:$C=DATE(2023,12,31)), prices!$B:$B)</f>
        <v>4.0656185919107397</v>
      </c>
      <c r="D28">
        <f t="shared" si="0"/>
        <v>1700219176.6107831</v>
      </c>
      <c r="E28">
        <f t="shared" si="1"/>
        <v>4.2709565174329917E-3</v>
      </c>
      <c r="F28" cm="1">
        <f t="array" ref="F28">(_xlfn.XLOOKUP(1, (prices!$A:$A=A28)*(prices!$C:$C=DATE(2024,12,31)), prices!$B:$B)/_xlfn.XLOOKUP(1, (prices!$A:$A=A28)*(prices!$C:$C=DATE(2023,12,31)), prices!$B:$B))-1</f>
        <v>0.3505265917070457</v>
      </c>
      <c r="G28" t="str">
        <f>_xlfn.XLOOKUP(A28, attributes!A:A, attributes!C:C)</f>
        <v>SA Inc</v>
      </c>
    </row>
    <row r="29" spans="1:7">
      <c r="A29" t="s">
        <v>71</v>
      </c>
      <c r="B29">
        <v>370374479.19999999</v>
      </c>
      <c r="C29" cm="1">
        <f t="array" ref="C29">_xlfn.XLOOKUP(1, (prices!$A:$A=A29)*(prices!$C:$C=DATE(2023,12,31)), prices!$B:$B)</f>
        <v>1.3419002050502999</v>
      </c>
      <c r="D29">
        <f t="shared" si="0"/>
        <v>497005589.58387804</v>
      </c>
      <c r="E29">
        <f t="shared" si="1"/>
        <v>1.2484797790983978E-3</v>
      </c>
      <c r="F29" cm="1">
        <f t="array" ref="F29">(_xlfn.XLOOKUP(1, (prices!$A:$A=A29)*(prices!$C:$C=DATE(2024,12,31)), prices!$B:$B)/_xlfn.XLOOKUP(1, (prices!$A:$A=A29)*(prices!$C:$C=DATE(2023,12,31)), prices!$B:$B))-1</f>
        <v>0.33640544039131348</v>
      </c>
      <c r="G29" t="str">
        <f>_xlfn.XLOOKUP(A29, attributes!A:A, attributes!C:C)</f>
        <v>SA Inc</v>
      </c>
    </row>
    <row r="30" spans="1:7">
      <c r="A30" t="s">
        <v>73</v>
      </c>
      <c r="B30">
        <v>1473617509</v>
      </c>
      <c r="C30" cm="1">
        <f t="array" ref="C30">_xlfn.XLOOKUP(1, (prices!$A:$A=A30)*(prices!$C:$C=DATE(2023,12,31)), prices!$B:$B)</f>
        <v>0.77867395761680003</v>
      </c>
      <c r="D30">
        <f t="shared" si="0"/>
        <v>1147467577.7464404</v>
      </c>
      <c r="E30">
        <f t="shared" si="1"/>
        <v>2.8824425680743291E-3</v>
      </c>
      <c r="F30" cm="1">
        <f t="array" ref="F30">(_xlfn.XLOOKUP(1, (prices!$A:$A=A30)*(prices!$C:$C=DATE(2024,12,31)), prices!$B:$B)/_xlfn.XLOOKUP(1, (prices!$A:$A=A30)*(prices!$C:$C=DATE(2023,12,31)), prices!$B:$B))-1</f>
        <v>1.5409618145756587E-2</v>
      </c>
      <c r="G30" t="str">
        <f>_xlfn.XLOOKUP(A30, attributes!A:A, attributes!C:C)</f>
        <v>SA Inc</v>
      </c>
    </row>
    <row r="31" spans="1:7">
      <c r="A31" t="s">
        <v>75</v>
      </c>
      <c r="B31">
        <v>1801884642.74</v>
      </c>
      <c r="C31" cm="1">
        <f t="array" ref="C31">_xlfn.XLOOKUP(1, (prices!$A:$A=A31)*(prices!$C:$C=DATE(2023,12,31)), prices!$B:$B)</f>
        <v>0.12686261107239999</v>
      </c>
      <c r="D31">
        <f t="shared" si="0"/>
        <v>228591790.62925503</v>
      </c>
      <c r="E31">
        <f t="shared" si="1"/>
        <v>5.7422337746234698E-4</v>
      </c>
      <c r="F31" cm="1">
        <f t="array" ref="F31">(_xlfn.XLOOKUP(1, (prices!$A:$A=A31)*(prices!$C:$C=DATE(2024,12,31)), prices!$B:$B)/_xlfn.XLOOKUP(1, (prices!$A:$A=A31)*(prices!$C:$C=DATE(2023,12,31)), prices!$B:$B))-1</f>
        <v>0.21976819618988297</v>
      </c>
      <c r="G31" t="str">
        <f>_xlfn.XLOOKUP(A31, attributes!A:A, attributes!C:C)</f>
        <v>Property</v>
      </c>
    </row>
    <row r="32" spans="1:7">
      <c r="A32" t="s">
        <v>77</v>
      </c>
      <c r="B32">
        <v>1781087973.8800001</v>
      </c>
      <c r="C32" cm="1">
        <f t="array" ref="C32">_xlfn.XLOOKUP(1, (prices!$A:$A=A32)*(prices!$C:$C=DATE(2023,12,31)), prices!$B:$B)</f>
        <v>0.63868762815760005</v>
      </c>
      <c r="D32">
        <f t="shared" si="0"/>
        <v>1137558853.5774429</v>
      </c>
      <c r="E32">
        <f t="shared" si="1"/>
        <v>2.8575518183102983E-3</v>
      </c>
      <c r="F32" cm="1">
        <f t="array" ref="F32">(_xlfn.XLOOKUP(1, (prices!$A:$A=A32)*(prices!$C:$C=DATE(2024,12,31)), prices!$B:$B)/_xlfn.XLOOKUP(1, (prices!$A:$A=A32)*(prices!$C:$C=DATE(2023,12,31)), prices!$B:$B))-1</f>
        <v>5.625310796448435E-2</v>
      </c>
      <c r="G32" t="str">
        <f>_xlfn.XLOOKUP(A32, attributes!A:A, attributes!C:C)</f>
        <v>Property</v>
      </c>
    </row>
    <row r="33" spans="1:7">
      <c r="A33" t="s">
        <v>79</v>
      </c>
      <c r="B33">
        <v>61530309.700000003</v>
      </c>
      <c r="C33" cm="1">
        <f t="array" ref="C33">_xlfn.XLOOKUP(1, (prices!$A:$A=A33)*(prices!$C:$C=DATE(2023,12,31)), prices!$B:$B)</f>
        <v>3.16773752561385</v>
      </c>
      <c r="D33">
        <f t="shared" si="0"/>
        <v>194911870.99933189</v>
      </c>
      <c r="E33">
        <f t="shared" si="1"/>
        <v>4.8961930157091923E-4</v>
      </c>
      <c r="F33" cm="1">
        <f t="array" ref="F33">(_xlfn.XLOOKUP(1, (prices!$A:$A=A33)*(prices!$C:$C=DATE(2024,12,31)), prices!$B:$B)/_xlfn.XLOOKUP(1, (prices!$A:$A=A33)*(prices!$C:$C=DATE(2023,12,31)), prices!$B:$B))-1</f>
        <v>0.15432473324014362</v>
      </c>
      <c r="G33" t="str">
        <f>_xlfn.XLOOKUP(A33, attributes!A:A, attributes!C:C)</f>
        <v>SA Inc</v>
      </c>
    </row>
    <row r="34" spans="1:7">
      <c r="A34" t="s">
        <v>81</v>
      </c>
      <c r="B34">
        <v>53460000</v>
      </c>
      <c r="C34" cm="1">
        <f t="array" ref="C34">_xlfn.XLOOKUP(1, (prices!$A:$A=A34)*(prices!$C:$C=DATE(2023,12,31)), prices!$B:$B)</f>
        <v>7.1119617224466998</v>
      </c>
      <c r="D34">
        <f t="shared" ref="D34:D65" si="2">B34*C34</f>
        <v>380205473.68200058</v>
      </c>
      <c r="E34">
        <f t="shared" ref="E34:E65" si="3">D34/$D$78</f>
        <v>9.5507747949461592E-4</v>
      </c>
      <c r="F34" cm="1">
        <f t="array" ref="F34">(_xlfn.XLOOKUP(1, (prices!$A:$A=A34)*(prices!$C:$C=DATE(2024,12,31)), prices!$B:$B)/_xlfn.XLOOKUP(1, (prices!$A:$A=A34)*(prices!$C:$C=DATE(2023,12,31)), prices!$B:$B))-1</f>
        <v>0.73819132721276337</v>
      </c>
      <c r="G34" t="str">
        <f>_xlfn.XLOOKUP(A34, attributes!A:A, attributes!C:C)</f>
        <v>SA Inc</v>
      </c>
    </row>
    <row r="35" spans="1:7">
      <c r="A35" t="s">
        <v>83</v>
      </c>
      <c r="B35">
        <v>911529320.51999998</v>
      </c>
      <c r="C35" cm="1">
        <f t="array" ref="C35">_xlfn.XLOOKUP(1, (prices!$A:$A=A35)*(prices!$C:$C=DATE(2023,12,31)), prices!$B:$B)</f>
        <v>0.14326725905589999</v>
      </c>
      <c r="D35">
        <f t="shared" si="2"/>
        <v>130592307.29998733</v>
      </c>
      <c r="E35">
        <f t="shared" si="3"/>
        <v>3.2804833262810258E-4</v>
      </c>
      <c r="F35" cm="1">
        <f t="array" ref="F35">(_xlfn.XLOOKUP(1, (prices!$A:$A=A35)*(prices!$C:$C=DATE(2024,12,31)), prices!$B:$B)/_xlfn.XLOOKUP(1, (prices!$A:$A=A35)*(prices!$C:$C=DATE(2023,12,31)), prices!$B:$B))-1</f>
        <v>0.13558467538204821</v>
      </c>
      <c r="G35" t="str">
        <f>_xlfn.XLOOKUP(A35, attributes!A:A, attributes!C:C)</f>
        <v>SA Inc</v>
      </c>
    </row>
    <row r="36" spans="1:7">
      <c r="A36" t="s">
        <v>85</v>
      </c>
      <c r="B36">
        <v>235819773.93000001</v>
      </c>
      <c r="C36" cm="1">
        <f t="array" ref="C36">_xlfn.XLOOKUP(1, (prices!$A:$A=A36)*(prices!$C:$C=DATE(2023,12,31)), prices!$B:$B)</f>
        <v>1.7011619958889499</v>
      </c>
      <c r="D36">
        <f t="shared" si="2"/>
        <v>401167637.28883976</v>
      </c>
      <c r="E36">
        <f t="shared" si="3"/>
        <v>1.0077345077811645E-3</v>
      </c>
      <c r="F36" cm="1">
        <f t="array" ref="F36">(_xlfn.XLOOKUP(1, (prices!$A:$A=A36)*(prices!$C:$C=DATE(2024,12,31)), prices!$B:$B)/_xlfn.XLOOKUP(1, (prices!$A:$A=A36)*(prices!$C:$C=DATE(2023,12,31)), prices!$B:$B))-1</f>
        <v>0.44762175244833569</v>
      </c>
      <c r="G36" t="str">
        <f>_xlfn.XLOOKUP(A36, attributes!A:A, attributes!C:C)</f>
        <v>Property</v>
      </c>
    </row>
    <row r="37" spans="1:7">
      <c r="A37" t="s">
        <v>87</v>
      </c>
      <c r="B37">
        <v>304702236.19</v>
      </c>
      <c r="C37" cm="1">
        <f t="array" ref="C37">_xlfn.XLOOKUP(1, (prices!$A:$A=A37)*(prices!$C:$C=DATE(2023,12,31)), prices!$B:$B)</f>
        <v>11.1278195488075</v>
      </c>
      <c r="D37">
        <f t="shared" si="2"/>
        <v>3390671500.4404421</v>
      </c>
      <c r="E37">
        <f t="shared" si="3"/>
        <v>8.5173786665244233E-3</v>
      </c>
      <c r="F37" cm="1">
        <f t="array" ref="F37">(_xlfn.XLOOKUP(1, (prices!$A:$A=A37)*(prices!$C:$C=DATE(2024,12,31)), prices!$B:$B)/_xlfn.XLOOKUP(1, (prices!$A:$A=A37)*(prices!$C:$C=DATE(2023,12,31)), prices!$B:$B))-1</f>
        <v>-0.21493253985188465</v>
      </c>
      <c r="G37" t="str">
        <f>_xlfn.XLOOKUP(A37, attributes!A:A, attributes!C:C)</f>
        <v>SA Inc</v>
      </c>
    </row>
    <row r="38" spans="1:7">
      <c r="A38" t="s">
        <v>89</v>
      </c>
      <c r="B38">
        <v>52742521.479999997</v>
      </c>
      <c r="C38" cm="1">
        <f t="array" ref="C38">_xlfn.XLOOKUP(1, (prices!$A:$A=A38)*(prices!$C:$C=DATE(2023,12,31)), prices!$B:$B)</f>
        <v>11.078605604857</v>
      </c>
      <c r="D38">
        <f t="shared" si="2"/>
        <v>584313594.08261871</v>
      </c>
      <c r="E38">
        <f t="shared" si="3"/>
        <v>1.4677977917215007E-3</v>
      </c>
      <c r="F38" cm="1">
        <f t="array" ref="F38">(_xlfn.XLOOKUP(1, (prices!$A:$A=A38)*(prices!$C:$C=DATE(2024,12,31)), prices!$B:$B)/_xlfn.XLOOKUP(1, (prices!$A:$A=A38)*(prices!$C:$C=DATE(2023,12,31)), prices!$B:$B))-1</f>
        <v>-0.21551102231550345</v>
      </c>
      <c r="G38" t="str">
        <f>_xlfn.XLOOKUP(A38, attributes!A:A, attributes!C:C)</f>
        <v>SA Inc</v>
      </c>
    </row>
    <row r="39" spans="1:7">
      <c r="A39" t="s">
        <v>91</v>
      </c>
      <c r="B39">
        <v>34395539.030000001</v>
      </c>
      <c r="C39" cm="1">
        <f t="array" ref="C39">_xlfn.XLOOKUP(1, (prices!$A:$A=A39)*(prices!$C:$C=DATE(2023,12,31)), prices!$B:$B)</f>
        <v>15.6702665754386</v>
      </c>
      <c r="D39">
        <f t="shared" si="2"/>
        <v>538987265.60600281</v>
      </c>
      <c r="E39">
        <f t="shared" si="3"/>
        <v>1.3539378960788653E-3</v>
      </c>
      <c r="F39" cm="1">
        <f t="array" ref="F39">(_xlfn.XLOOKUP(1, (prices!$A:$A=A39)*(prices!$C:$C=DATE(2024,12,31)), prices!$B:$B)/_xlfn.XLOOKUP(1, (prices!$A:$A=A39)*(prices!$C:$C=DATE(2023,12,31)), prices!$B:$B))-1</f>
        <v>0.32784155651160685</v>
      </c>
      <c r="G39" t="str">
        <f>_xlfn.XLOOKUP(A39, attributes!A:A, attributes!C:C)</f>
        <v>SA Inc</v>
      </c>
    </row>
    <row r="40" spans="1:7">
      <c r="A40" t="s">
        <v>93</v>
      </c>
      <c r="B40">
        <v>20403746.91</v>
      </c>
      <c r="C40" cm="1">
        <f t="array" ref="C40">_xlfn.XLOOKUP(1, (prices!$A:$A=A40)*(prices!$C:$C=DATE(2023,12,31)), prices!$B:$B)</f>
        <v>9.1280929596188507</v>
      </c>
      <c r="D40">
        <f t="shared" si="2"/>
        <v>186247298.51901588</v>
      </c>
      <c r="E40">
        <f t="shared" si="3"/>
        <v>4.6785386519974264E-4</v>
      </c>
      <c r="F40" cm="1">
        <f t="array" ref="F40">(_xlfn.XLOOKUP(1, (prices!$A:$A=A40)*(prices!$C:$C=DATE(2024,12,31)), prices!$B:$B)/_xlfn.XLOOKUP(1, (prices!$A:$A=A40)*(prices!$C:$C=DATE(2023,12,31)), prices!$B:$B))-1</f>
        <v>0.22846760623960916</v>
      </c>
      <c r="G40" t="str">
        <f>_xlfn.XLOOKUP(A40, attributes!A:A, attributes!C:C)</f>
        <v>SA Inc</v>
      </c>
    </row>
    <row r="41" spans="1:7">
      <c r="A41" t="s">
        <v>95</v>
      </c>
      <c r="B41">
        <v>362799188.39999998</v>
      </c>
      <c r="C41" cm="1">
        <f t="array" ref="C41">_xlfn.XLOOKUP(1, (prices!$A:$A=A41)*(prices!$C:$C=DATE(2023,12,31)), prices!$B:$B)</f>
        <v>0.62665755296970005</v>
      </c>
      <c r="D41">
        <f t="shared" si="2"/>
        <v>227350851.62213716</v>
      </c>
      <c r="E41">
        <f t="shared" si="3"/>
        <v>5.7110613433681548E-4</v>
      </c>
      <c r="F41" cm="1">
        <f t="array" ref="F41">(_xlfn.XLOOKUP(1, (prices!$A:$A=A41)*(prices!$C:$C=DATE(2024,12,31)), prices!$B:$B)/_xlfn.XLOOKUP(1, (prices!$A:$A=A41)*(prices!$C:$C=DATE(2023,12,31)), prices!$B:$B))-1</f>
        <v>1.1414093491355137E-2</v>
      </c>
      <c r="G41" t="str">
        <f>_xlfn.XLOOKUP(A41, attributes!A:A, attributes!C:C)</f>
        <v>SA Inc</v>
      </c>
    </row>
    <row r="42" spans="1:7">
      <c r="A42" t="s">
        <v>97</v>
      </c>
      <c r="B42">
        <v>61197340.75</v>
      </c>
      <c r="C42" cm="1">
        <f t="array" ref="C42">_xlfn.XLOOKUP(1, (prices!$A:$A=A42)*(prices!$C:$C=DATE(2023,12,31)), prices!$B:$B)</f>
        <v>3.57457279560465</v>
      </c>
      <c r="D42">
        <f t="shared" si="2"/>
        <v>218754349.40829787</v>
      </c>
      <c r="E42">
        <f t="shared" si="3"/>
        <v>5.4951169071307498E-4</v>
      </c>
      <c r="F42" cm="1">
        <f t="array" ref="F42">(_xlfn.XLOOKUP(1, (prices!$A:$A=A42)*(prices!$C:$C=DATE(2024,12,31)), prices!$B:$B)/_xlfn.XLOOKUP(1, (prices!$A:$A=A42)*(prices!$C:$C=DATE(2023,12,31)), prices!$B:$B))-1</f>
        <v>0.15785716607905909</v>
      </c>
      <c r="G42" t="str">
        <f>_xlfn.XLOOKUP(A42, attributes!A:A, attributes!C:C)</f>
        <v>SA Inc</v>
      </c>
    </row>
    <row r="43" spans="1:7">
      <c r="A43" t="s">
        <v>99</v>
      </c>
      <c r="B43">
        <v>35539547.100000001</v>
      </c>
      <c r="C43" cm="1">
        <f t="array" ref="C43">_xlfn.XLOOKUP(1, (prices!$A:$A=A43)*(prices!$C:$C=DATE(2023,12,31)), prices!$B:$B)</f>
        <v>3.86438824331315</v>
      </c>
      <c r="D43">
        <f t="shared" si="2"/>
        <v>137338607.98591396</v>
      </c>
      <c r="E43">
        <f t="shared" si="3"/>
        <v>3.4499506354344092E-4</v>
      </c>
      <c r="F43" cm="1">
        <f t="array" ref="F43">(_xlfn.XLOOKUP(1, (prices!$A:$A=A43)*(prices!$C:$C=DATE(2024,12,31)), prices!$B:$B)/_xlfn.XLOOKUP(1, (prices!$A:$A=A43)*(prices!$C:$C=DATE(2023,12,31)), prices!$B:$B))-1</f>
        <v>-7.4615072374627389E-2</v>
      </c>
      <c r="G43" t="str">
        <f>_xlfn.XLOOKUP(A43, attributes!A:A, attributes!C:C)</f>
        <v>SA Inc</v>
      </c>
    </row>
    <row r="44" spans="1:7">
      <c r="A44" t="s">
        <v>101</v>
      </c>
      <c r="B44">
        <v>33346164.039999999</v>
      </c>
      <c r="C44" cm="1">
        <f t="array" ref="C44">_xlfn.XLOOKUP(1, (prices!$A:$A=A44)*(prices!$C:$C=DATE(2023,12,31)), prices!$B:$B)</f>
        <v>8.7835953519653494</v>
      </c>
      <c r="D44">
        <f t="shared" si="2"/>
        <v>292899211.46761805</v>
      </c>
      <c r="E44">
        <f t="shared" si="3"/>
        <v>7.3576384349591359E-4</v>
      </c>
      <c r="F44" cm="1">
        <f t="array" ref="F44">(_xlfn.XLOOKUP(1, (prices!$A:$A=A44)*(prices!$C:$C=DATE(2024,12,31)), prices!$B:$B)/_xlfn.XLOOKUP(1, (prices!$A:$A=A44)*(prices!$C:$C=DATE(2023,12,31)), prices!$B:$B))-1</f>
        <v>0.30319537726595813</v>
      </c>
      <c r="G44" t="str">
        <f>_xlfn.XLOOKUP(A44, attributes!A:A, attributes!C:C)</f>
        <v>SA Inc</v>
      </c>
    </row>
    <row r="45" spans="1:7">
      <c r="A45" t="s">
        <v>103</v>
      </c>
      <c r="B45">
        <v>149412023.75999999</v>
      </c>
      <c r="C45" cm="1">
        <f t="array" ref="C45">_xlfn.XLOOKUP(1, (prices!$A:$A=A45)*(prices!$C:$C=DATE(2023,12,31)), prices!$B:$B)</f>
        <v>0.46534518113195</v>
      </c>
      <c r="D45">
        <f t="shared" si="2"/>
        <v>69528165.259888411</v>
      </c>
      <c r="E45">
        <f t="shared" si="3"/>
        <v>1.7465499427775079E-4</v>
      </c>
      <c r="F45" cm="1">
        <f t="array" ref="F45">(_xlfn.XLOOKUP(1, (prices!$A:$A=A45)*(prices!$C:$C=DATE(2024,12,31)), prices!$B:$B)/_xlfn.XLOOKUP(1, (prices!$A:$A=A45)*(prices!$C:$C=DATE(2023,12,31)), prices!$B:$B))-1</f>
        <v>8.1873502729464809E-2</v>
      </c>
      <c r="G45" t="str">
        <f>_xlfn.XLOOKUP(A45, attributes!A:A, attributes!C:C)</f>
        <v>SA Inc</v>
      </c>
    </row>
    <row r="46" spans="1:7">
      <c r="A46" t="s">
        <v>105</v>
      </c>
      <c r="B46">
        <v>454034736</v>
      </c>
      <c r="C46" cm="1">
        <f t="array" ref="C46">_xlfn.XLOOKUP(1, (prices!$A:$A=A46)*(prices!$C:$C=DATE(2023,12,31)), prices!$B:$B)</f>
        <v>0.21818181818054999</v>
      </c>
      <c r="D46">
        <f t="shared" si="2"/>
        <v>99062124.217606023</v>
      </c>
      <c r="E46">
        <f t="shared" si="3"/>
        <v>2.4884440246188063E-4</v>
      </c>
      <c r="F46" cm="1">
        <f t="array" ref="F46">(_xlfn.XLOOKUP(1, (prices!$A:$A=A46)*(prices!$C:$C=DATE(2024,12,31)), prices!$B:$B)/_xlfn.XLOOKUP(1, (prices!$A:$A=A46)*(prices!$C:$C=DATE(2023,12,31)), prices!$B:$B))-1</f>
        <v>0.25088323617920816</v>
      </c>
      <c r="G46" t="str">
        <f>_xlfn.XLOOKUP(A46, attributes!A:A, attributes!C:C)</f>
        <v>SA Inc</v>
      </c>
    </row>
    <row r="47" spans="1:7">
      <c r="A47" t="s">
        <v>107</v>
      </c>
      <c r="B47">
        <v>92444858.549999997</v>
      </c>
      <c r="C47" cm="1">
        <f t="array" ref="C47">_xlfn.XLOOKUP(1, (prices!$A:$A=A47)*(prices!$C:$C=DATE(2023,12,31)), prices!$B:$B)</f>
        <v>2.2419685577449999</v>
      </c>
      <c r="D47">
        <f t="shared" si="2"/>
        <v>207258466.19428402</v>
      </c>
      <c r="E47">
        <f t="shared" si="3"/>
        <v>5.2063399187755551E-4</v>
      </c>
      <c r="F47" cm="1">
        <f t="array" ref="F47">(_xlfn.XLOOKUP(1, (prices!$A:$A=A47)*(prices!$C:$C=DATE(2024,12,31)), prices!$B:$B)/_xlfn.XLOOKUP(1, (prices!$A:$A=A47)*(prices!$C:$C=DATE(2023,12,31)), prices!$B:$B))-1</f>
        <v>2.8224242895781737E-2</v>
      </c>
      <c r="G47" t="str">
        <f>_xlfn.XLOOKUP(A47, attributes!A:A, attributes!C:C)</f>
        <v>SA Inc</v>
      </c>
    </row>
    <row r="48" spans="1:7">
      <c r="A48" t="s">
        <v>109</v>
      </c>
      <c r="B48">
        <v>287267860.44</v>
      </c>
      <c r="C48" cm="1">
        <f t="array" ref="C48">_xlfn.XLOOKUP(1, (prices!$A:$A=A48)*(prices!$C:$C=DATE(2023,12,31)), prices!$B:$B)</f>
        <v>6.53943950782255</v>
      </c>
      <c r="D48">
        <f t="shared" si="2"/>
        <v>1878570795.8889906</v>
      </c>
      <c r="E48">
        <f t="shared" si="3"/>
        <v>4.7189764087680747E-3</v>
      </c>
      <c r="F48" cm="1">
        <f t="array" ref="F48">(_xlfn.XLOOKUP(1, (prices!$A:$A=A48)*(prices!$C:$C=DATE(2024,12,31)), prices!$B:$B)/_xlfn.XLOOKUP(1, (prices!$A:$A=A48)*(prices!$C:$C=DATE(2023,12,31)), prices!$B:$B))-1</f>
        <v>0.22107737561207519</v>
      </c>
      <c r="G48" t="str">
        <f>_xlfn.XLOOKUP(A48, attributes!A:A, attributes!C:C)</f>
        <v>Resources</v>
      </c>
    </row>
    <row r="49" spans="1:7">
      <c r="A49" t="s">
        <v>111</v>
      </c>
      <c r="B49">
        <v>115417026</v>
      </c>
      <c r="C49" cm="1">
        <f t="array" ref="C49">_xlfn.XLOOKUP(1, (prices!$A:$A=A49)*(prices!$C:$C=DATE(2023,12,31)), prices!$B:$B)</f>
        <v>5.9980861243670498</v>
      </c>
      <c r="D49">
        <f t="shared" si="2"/>
        <v>692281262.16631103</v>
      </c>
      <c r="E49">
        <f t="shared" si="3"/>
        <v>1.7390129515183069E-3</v>
      </c>
      <c r="F49" cm="1">
        <f t="array" ref="F49">(_xlfn.XLOOKUP(1, (prices!$A:$A=A49)*(prices!$C:$C=DATE(2024,12,31)), prices!$B:$B)/_xlfn.XLOOKUP(1, (prices!$A:$A=A49)*(prices!$C:$C=DATE(2023,12,31)), prices!$B:$B))-1</f>
        <v>-0.22762856328190983</v>
      </c>
      <c r="G49" t="str">
        <f>_xlfn.XLOOKUP(A49, attributes!A:A, attributes!C:C)</f>
        <v>SA Inc</v>
      </c>
    </row>
    <row r="50" spans="1:7">
      <c r="A50" t="s">
        <v>113</v>
      </c>
      <c r="B50">
        <v>200394927.59999999</v>
      </c>
      <c r="C50" cm="1">
        <f t="array" ref="C50">_xlfn.XLOOKUP(1, (prices!$A:$A=A50)*(prices!$C:$C=DATE(2023,12,31)), prices!$B:$B)</f>
        <v>6.0675324674972</v>
      </c>
      <c r="D50">
        <f t="shared" si="2"/>
        <v>1215902729.5347507</v>
      </c>
      <c r="E50">
        <f t="shared" si="3"/>
        <v>3.0543519086891303E-3</v>
      </c>
      <c r="F50" cm="1">
        <f t="array" ref="F50">(_xlfn.XLOOKUP(1, (prices!$A:$A=A50)*(prices!$C:$C=DATE(2024,12,31)), prices!$B:$B)/_xlfn.XLOOKUP(1, (prices!$A:$A=A50)*(prices!$C:$C=DATE(2023,12,31)), prices!$B:$B))-1</f>
        <v>0.46732147135265567</v>
      </c>
      <c r="G50" t="str">
        <f>_xlfn.XLOOKUP(A50, attributes!A:A, attributes!C:C)</f>
        <v>SA Inc</v>
      </c>
    </row>
    <row r="51" spans="1:7">
      <c r="A51" t="s">
        <v>115</v>
      </c>
      <c r="B51">
        <v>736559549.63999999</v>
      </c>
      <c r="C51" cm="1">
        <f t="array" ref="C51">_xlfn.XLOOKUP(1, (prices!$A:$A=A51)*(prices!$C:$C=DATE(2023,12,31)), prices!$B:$B)</f>
        <v>3.9480519480290002</v>
      </c>
      <c r="D51">
        <f t="shared" si="2"/>
        <v>2907975364.7955651</v>
      </c>
      <c r="E51">
        <f t="shared" si="3"/>
        <v>7.3048442857619692E-3</v>
      </c>
      <c r="F51" cm="1">
        <f t="array" ref="F51">(_xlfn.XLOOKUP(1, (prices!$A:$A=A51)*(prices!$C:$C=DATE(2024,12,31)), prices!$B:$B)/_xlfn.XLOOKUP(1, (prices!$A:$A=A51)*(prices!$C:$C=DATE(2023,12,31)), prices!$B:$B))-1</f>
        <v>-0.16308433045925075</v>
      </c>
      <c r="G51" t="str">
        <f>_xlfn.XLOOKUP(A51, attributes!A:A, attributes!C:C)</f>
        <v>SA Inc</v>
      </c>
    </row>
    <row r="52" spans="1:7">
      <c r="A52" t="s">
        <v>117</v>
      </c>
      <c r="B52">
        <v>220982767.66</v>
      </c>
      <c r="C52" cm="1">
        <f t="array" ref="C52">_xlfn.XLOOKUP(1, (prices!$A:$A=A52)*(prices!$C:$C=DATE(2023,12,31)), prices!$B:$B)</f>
        <v>1.27245386192015</v>
      </c>
      <c r="D52">
        <f t="shared" si="2"/>
        <v>281190376.1267702</v>
      </c>
      <c r="E52">
        <f t="shared" si="3"/>
        <v>7.0635120817307852E-4</v>
      </c>
      <c r="F52" cm="1">
        <f t="array" ref="F52">(_xlfn.XLOOKUP(1, (prices!$A:$A=A52)*(prices!$C:$C=DATE(2024,12,31)), prices!$B:$B)/_xlfn.XLOOKUP(1, (prices!$A:$A=A52)*(prices!$C:$C=DATE(2023,12,31)), prices!$B:$B))-1</f>
        <v>0.27856976772710196</v>
      </c>
      <c r="G52" t="str">
        <f>_xlfn.XLOOKUP(A52, attributes!A:A, attributes!C:C)</f>
        <v>SA Inc</v>
      </c>
    </row>
    <row r="53" spans="1:7">
      <c r="A53" t="s">
        <v>119</v>
      </c>
      <c r="B53">
        <v>57674714.579999998</v>
      </c>
      <c r="C53" cm="1">
        <f t="array" ref="C53">_xlfn.XLOOKUP(1, (prices!$A:$A=A53)*(prices!$C:$C=DATE(2023,12,31)), prices!$B:$B)</f>
        <v>33.617498290987101</v>
      </c>
      <c r="D53">
        <f t="shared" si="2"/>
        <v>1938879618.8263187</v>
      </c>
      <c r="E53">
        <f t="shared" si="3"/>
        <v>4.8704723828908621E-3</v>
      </c>
      <c r="F53" cm="1">
        <f t="array" ref="F53">(_xlfn.XLOOKUP(1, (prices!$A:$A=A53)*(prices!$C:$C=DATE(2024,12,31)), prices!$B:$B)/_xlfn.XLOOKUP(1, (prices!$A:$A=A53)*(prices!$C:$C=DATE(2023,12,31)), prices!$B:$B))-1</f>
        <v>-0.48570390271243058</v>
      </c>
      <c r="G53" t="str">
        <f>_xlfn.XLOOKUP(A53, attributes!A:A, attributes!C:C)</f>
        <v>Resources</v>
      </c>
    </row>
    <row r="54" spans="1:7">
      <c r="A54" t="s">
        <v>121</v>
      </c>
      <c r="B54">
        <v>481106370</v>
      </c>
      <c r="C54" cm="1">
        <f t="array" ref="C54">_xlfn.XLOOKUP(1, (prices!$A:$A=A54)*(prices!$C:$C=DATE(2023,12,31)), prices!$B:$B)</f>
        <v>8.8847573478635997</v>
      </c>
      <c r="D54">
        <f t="shared" si="2"/>
        <v>4274513355.9614835</v>
      </c>
      <c r="E54">
        <f t="shared" si="3"/>
        <v>1.0737592498450755E-2</v>
      </c>
      <c r="F54" cm="1">
        <f t="array" ref="F54">(_xlfn.XLOOKUP(1, (prices!$A:$A=A54)*(prices!$C:$C=DATE(2024,12,31)), prices!$B:$B)/_xlfn.XLOOKUP(1, (prices!$A:$A=A54)*(prices!$C:$C=DATE(2023,12,31)), prices!$B:$B))-1</f>
        <v>-7.4887974470624119E-2</v>
      </c>
      <c r="G54" t="str">
        <f>_xlfn.XLOOKUP(A54, attributes!A:A, attributes!C:C)</f>
        <v>SA Inc</v>
      </c>
    </row>
    <row r="55" spans="1:7">
      <c r="A55" t="s">
        <v>123</v>
      </c>
      <c r="B55">
        <v>1890000000</v>
      </c>
      <c r="C55" cm="1">
        <f t="array" ref="C55">_xlfn.XLOOKUP(1, (prices!$A:$A=A55)*(prices!$C:$C=DATE(2023,12,31)), prices!$B:$B)</f>
        <v>3.9808612439959998</v>
      </c>
      <c r="D55">
        <f t="shared" si="2"/>
        <v>7523827751.1524401</v>
      </c>
      <c r="E55">
        <f t="shared" si="3"/>
        <v>1.8899881622252677E-2</v>
      </c>
      <c r="F55" cm="1">
        <f t="array" ref="F55">(_xlfn.XLOOKUP(1, (prices!$A:$A=A55)*(prices!$C:$C=DATE(2024,12,31)), prices!$B:$B)/_xlfn.XLOOKUP(1, (prices!$A:$A=A55)*(prices!$C:$C=DATE(2023,12,31)), prices!$B:$B))-1</f>
        <v>0.15656720068656238</v>
      </c>
      <c r="G55" t="str">
        <f>_xlfn.XLOOKUP(A55, attributes!A:A, attributes!C:C)</f>
        <v>SA Inc</v>
      </c>
    </row>
    <row r="56" spans="1:7">
      <c r="A56" t="s">
        <v>125</v>
      </c>
      <c r="B56">
        <v>390607843.45999998</v>
      </c>
      <c r="C56" cm="1">
        <f t="array" ref="C56">_xlfn.XLOOKUP(1, (prices!$A:$A=A56)*(prices!$C:$C=DATE(2023,12,31)), prices!$B:$B)</f>
        <v>171.04579630795999</v>
      </c>
      <c r="D56">
        <f t="shared" si="2"/>
        <v>66811829628.750679</v>
      </c>
      <c r="E56">
        <f t="shared" si="3"/>
        <v>0.167831549673115</v>
      </c>
      <c r="F56" cm="1">
        <f t="array" ref="F56">(_xlfn.XLOOKUP(1, (prices!$A:$A=A56)*(prices!$C:$C=DATE(2024,12,31)), prices!$B:$B)/_xlfn.XLOOKUP(1, (prices!$A:$A=A56)*(prices!$C:$C=DATE(2023,12,31)), prices!$B:$B))-1</f>
        <v>0.29296561257929032</v>
      </c>
      <c r="G56" t="str">
        <f>_xlfn.XLOOKUP(A56, attributes!A:A, attributes!C:C)</f>
        <v>Rand Sensitives</v>
      </c>
    </row>
    <row r="57" spans="1:7">
      <c r="A57" t="s">
        <v>127</v>
      </c>
      <c r="B57">
        <v>1788923014.1500001</v>
      </c>
      <c r="C57" cm="1">
        <f t="array" ref="C57">_xlfn.XLOOKUP(1, (prices!$A:$A=A57)*(prices!$C:$C=DATE(2023,12,31)), prices!$B:$B)</f>
        <v>6.3157894736475004</v>
      </c>
      <c r="D57">
        <f t="shared" si="2"/>
        <v>11298461141.93433</v>
      </c>
      <c r="E57">
        <f t="shared" si="3"/>
        <v>2.8381773900056705E-2</v>
      </c>
      <c r="F57" cm="1">
        <f t="array" ref="F57">(_xlfn.XLOOKUP(1, (prices!$A:$A=A57)*(prices!$C:$C=DATE(2024,12,31)), prices!$B:$B)/_xlfn.XLOOKUP(1, (prices!$A:$A=A57)*(prices!$C:$C=DATE(2023,12,31)), prices!$B:$B))-1</f>
        <v>-0.22813548842846176</v>
      </c>
      <c r="G57" t="str">
        <f>_xlfn.XLOOKUP(A57, attributes!A:A, attributes!C:C)</f>
        <v>SA Inc</v>
      </c>
    </row>
    <row r="58" spans="1:7">
      <c r="A58" t="s">
        <v>129</v>
      </c>
      <c r="B58">
        <v>2919054816.0799999</v>
      </c>
      <c r="C58" cm="1">
        <f t="array" ref="C58">_xlfn.XLOOKUP(1, (prices!$A:$A=A58)*(prices!$C:$C=DATE(2023,12,31)), prices!$B:$B)</f>
        <v>4.0196855775569498</v>
      </c>
      <c r="D58">
        <f t="shared" si="2"/>
        <v>11733682544.29493</v>
      </c>
      <c r="E58">
        <f t="shared" si="3"/>
        <v>2.9475051584786555E-2</v>
      </c>
      <c r="F58" cm="1">
        <f t="array" ref="F58">(_xlfn.XLOOKUP(1, (prices!$A:$A=A58)*(prices!$C:$C=DATE(2024,12,31)), prices!$B:$B)/_xlfn.XLOOKUP(1, (prices!$A:$A=A58)*(prices!$C:$C=DATE(2023,12,31)), prices!$B:$B))-1</f>
        <v>1.4308642361289259E-3</v>
      </c>
      <c r="G58" t="str">
        <f>_xlfn.XLOOKUP(A58, attributes!A:A, attributes!C:C)</f>
        <v>SA Inc</v>
      </c>
    </row>
    <row r="59" spans="1:7">
      <c r="A59" t="s">
        <v>131</v>
      </c>
      <c r="B59">
        <v>180117027.75999999</v>
      </c>
      <c r="C59" cm="1">
        <f t="array" ref="C59">_xlfn.XLOOKUP(1, (prices!$A:$A=A59)*(prices!$C:$C=DATE(2023,12,31)), prices!$B:$B)</f>
        <v>2.2146274777724999</v>
      </c>
      <c r="D59">
        <f t="shared" si="2"/>
        <v>398892118.89200813</v>
      </c>
      <c r="E59">
        <f t="shared" si="3"/>
        <v>1.0020183976106748E-3</v>
      </c>
      <c r="F59" cm="1">
        <f t="array" ref="F59">(_xlfn.XLOOKUP(1, (prices!$A:$A=A59)*(prices!$C:$C=DATE(2024,12,31)), prices!$B:$B)/_xlfn.XLOOKUP(1, (prices!$A:$A=A59)*(prices!$C:$C=DATE(2023,12,31)), prices!$B:$B))-1</f>
        <v>0.19334710527697907</v>
      </c>
      <c r="G59" t="str">
        <f>_xlfn.XLOOKUP(A59, attributes!A:A, attributes!C:C)</f>
        <v>Rand Sensitives</v>
      </c>
    </row>
    <row r="60" spans="1:7">
      <c r="A60" t="s">
        <v>134</v>
      </c>
      <c r="B60">
        <v>293260695.32999998</v>
      </c>
      <c r="C60" cm="1">
        <f t="array" ref="C60">_xlfn.XLOOKUP(1, (prices!$A:$A=A60)*(prices!$C:$C=DATE(2023,12,31)), prices!$B:$B)</f>
        <v>1.62679425836375</v>
      </c>
      <c r="D60">
        <f t="shared" si="2"/>
        <v>477074815.36660498</v>
      </c>
      <c r="E60">
        <f t="shared" si="3"/>
        <v>1.1984136045652808E-3</v>
      </c>
      <c r="F60" cm="1">
        <f t="array" ref="F60">(_xlfn.XLOOKUP(1, (prices!$A:$A=A60)*(prices!$C:$C=DATE(2024,12,31)), prices!$B:$B)/_xlfn.XLOOKUP(1, (prices!$A:$A=A60)*(prices!$C:$C=DATE(2023,12,31)), prices!$B:$B))-1</f>
        <v>-3.9013061502986335E-2</v>
      </c>
      <c r="G60" t="str">
        <f>_xlfn.XLOOKUP(A60, attributes!A:A, attributes!C:C)</f>
        <v>SA Inc</v>
      </c>
    </row>
    <row r="61" spans="1:7">
      <c r="A61" t="s">
        <v>136</v>
      </c>
      <c r="B61">
        <v>433640389.60000002</v>
      </c>
      <c r="C61" cm="1">
        <f t="array" ref="C61">_xlfn.XLOOKUP(1, (prices!$A:$A=A61)*(prices!$C:$C=DATE(2023,12,31)), prices!$B:$B)</f>
        <v>15.040328092872199</v>
      </c>
      <c r="D61">
        <f t="shared" si="2"/>
        <v>6522093733.9049263</v>
      </c>
      <c r="E61">
        <f t="shared" si="3"/>
        <v>1.638352226779222E-2</v>
      </c>
      <c r="F61" cm="1">
        <f t="array" ref="F61">(_xlfn.XLOOKUP(1, (prices!$A:$A=A61)*(prices!$C:$C=DATE(2024,12,31)), prices!$B:$B)/_xlfn.XLOOKUP(1, (prices!$A:$A=A61)*(prices!$C:$C=DATE(2023,12,31)), prices!$B:$B))-1</f>
        <v>3.766242048740609E-2</v>
      </c>
      <c r="G61" t="str">
        <f>_xlfn.XLOOKUP(A61, attributes!A:A, attributes!C:C)</f>
        <v>SA Inc</v>
      </c>
    </row>
    <row r="62" spans="1:7">
      <c r="A62" t="s">
        <v>138</v>
      </c>
      <c r="B62">
        <v>265152343.31999999</v>
      </c>
      <c r="C62" cm="1">
        <f t="array" ref="C62">_xlfn.XLOOKUP(1, (prices!$A:$A=A62)*(prices!$C:$C=DATE(2023,12,31)), prices!$B:$B)</f>
        <v>13.795762132524001</v>
      </c>
      <c r="D62">
        <f t="shared" si="2"/>
        <v>3657978657.324059</v>
      </c>
      <c r="E62">
        <f t="shared" si="3"/>
        <v>9.1888551794081022E-3</v>
      </c>
      <c r="F62" cm="1">
        <f t="array" ref="F62">(_xlfn.XLOOKUP(1, (prices!$A:$A=A62)*(prices!$C:$C=DATE(2024,12,31)), prices!$B:$B)/_xlfn.XLOOKUP(1, (prices!$A:$A=A62)*(prices!$C:$C=DATE(2023,12,31)), prices!$B:$B))-1</f>
        <v>1.2845309935477722E-2</v>
      </c>
      <c r="G62" t="str">
        <f>_xlfn.XLOOKUP(A62, attributes!A:A, attributes!C:C)</f>
        <v>SA Inc</v>
      </c>
    </row>
    <row r="63" spans="1:7">
      <c r="A63" t="s">
        <v>140</v>
      </c>
      <c r="B63">
        <v>252224088.12</v>
      </c>
      <c r="C63" cm="1">
        <f t="array" ref="C63">_xlfn.XLOOKUP(1, (prices!$A:$A=A63)*(prices!$C:$C=DATE(2023,12,31)), prices!$B:$B)</f>
        <v>17.810526315685902</v>
      </c>
      <c r="D63">
        <f t="shared" si="2"/>
        <v>4492243758.9111395</v>
      </c>
      <c r="E63">
        <f t="shared" si="3"/>
        <v>1.1284532032078909E-2</v>
      </c>
      <c r="F63" cm="1">
        <f t="array" ref="F63">(_xlfn.XLOOKUP(1, (prices!$A:$A=A63)*(prices!$C:$C=DATE(2024,12,31)), prices!$B:$B)/_xlfn.XLOOKUP(1, (prices!$A:$A=A63)*(prices!$C:$C=DATE(2023,12,31)), prices!$B:$B))-1</f>
        <v>0.11013704568312499</v>
      </c>
      <c r="G63" t="str">
        <f>_xlfn.XLOOKUP(A63, attributes!A:A, attributes!C:C)</f>
        <v>SA Inc</v>
      </c>
    </row>
    <row r="64" spans="1:7">
      <c r="A64" t="s">
        <v>142</v>
      </c>
      <c r="B64">
        <v>243323694.94</v>
      </c>
      <c r="C64" cm="1">
        <f t="array" ref="C64">_xlfn.XLOOKUP(1, (prices!$A:$A=A64)*(prices!$C:$C=DATE(2023,12,31)), prices!$B:$B)</f>
        <v>6.8675324674925502</v>
      </c>
      <c r="D64">
        <f t="shared" si="2"/>
        <v>1671033375.1107028</v>
      </c>
      <c r="E64">
        <f t="shared" si="3"/>
        <v>4.1976416819999775E-3</v>
      </c>
      <c r="F64" cm="1">
        <f t="array" ref="F64">(_xlfn.XLOOKUP(1, (prices!$A:$A=A64)*(prices!$C:$C=DATE(2024,12,31)), prices!$B:$B)/_xlfn.XLOOKUP(1, (prices!$A:$A=A64)*(prices!$C:$C=DATE(2023,12,31)), prices!$B:$B))-1</f>
        <v>-3.5113247980020801E-2</v>
      </c>
      <c r="G64" t="str">
        <f>_xlfn.XLOOKUP(A64, attributes!A:A, attributes!C:C)</f>
        <v>Rand Sensitives</v>
      </c>
    </row>
    <row r="65" spans="1:7">
      <c r="A65" t="s">
        <v>144</v>
      </c>
      <c r="B65">
        <v>163766615.69999999</v>
      </c>
      <c r="C65" cm="1">
        <f t="array" ref="C65">_xlfn.XLOOKUP(1, (prices!$A:$A=A65)*(prices!$C:$C=DATE(2023,12,31)), prices!$B:$B)</f>
        <v>3.2776486671032998</v>
      </c>
      <c r="D65">
        <f t="shared" si="2"/>
        <v>536769429.66512328</v>
      </c>
      <c r="E65">
        <f t="shared" si="3"/>
        <v>1.3483666844394469E-3</v>
      </c>
      <c r="F65" cm="1">
        <f t="array" ref="F65">(_xlfn.XLOOKUP(1, (prices!$A:$A=A65)*(prices!$C:$C=DATE(2024,12,31)), prices!$B:$B)/_xlfn.XLOOKUP(1, (prices!$A:$A=A65)*(prices!$C:$C=DATE(2023,12,31)), prices!$B:$B))-1</f>
        <v>0.21262624574940014</v>
      </c>
      <c r="G65" t="str">
        <f>_xlfn.XLOOKUP(A65, attributes!A:A, attributes!C:C)</f>
        <v>SA Inc</v>
      </c>
    </row>
    <row r="66" spans="1:7">
      <c r="A66" t="s">
        <v>146</v>
      </c>
      <c r="B66">
        <v>537117864</v>
      </c>
      <c r="C66" cm="1">
        <f t="array" ref="C66">_xlfn.XLOOKUP(1, (prices!$A:$A=A66)*(prices!$C:$C=DATE(2023,12,31)), prices!$B:$B)</f>
        <v>2.4169514695690002</v>
      </c>
      <c r="D66">
        <f t="shared" ref="D66:D97" si="4">B66*C66</f>
        <v>1298187810.7265625</v>
      </c>
      <c r="E66">
        <f t="shared" ref="E66:E97" si="5">D66/$D$78</f>
        <v>3.2610523203997102E-3</v>
      </c>
      <c r="F66" cm="1">
        <f t="array" ref="F66">(_xlfn.XLOOKUP(1, (prices!$A:$A=A66)*(prices!$C:$C=DATE(2024,12,31)), prices!$B:$B)/_xlfn.XLOOKUP(1, (prices!$A:$A=A66)*(prices!$C:$C=DATE(2023,12,31)), prices!$B:$B))-1</f>
        <v>8.0076649714929005E-2</v>
      </c>
      <c r="G66" t="str">
        <f>_xlfn.XLOOKUP(A66, attributes!A:A, attributes!C:C)</f>
        <v>Rand Sensitives</v>
      </c>
    </row>
    <row r="67" spans="1:7">
      <c r="A67" t="s">
        <v>148</v>
      </c>
      <c r="B67">
        <v>1204041489.75</v>
      </c>
      <c r="C67" cm="1">
        <f t="array" ref="C67">_xlfn.XLOOKUP(1, (prices!$A:$A=A67)*(prices!$C:$C=DATE(2023,12,31)), prices!$B:$B)</f>
        <v>11.3793574845545</v>
      </c>
      <c r="D67">
        <f t="shared" si="4"/>
        <v>13701218538.100813</v>
      </c>
      <c r="E67">
        <f t="shared" si="5"/>
        <v>3.4417508881839455E-2</v>
      </c>
      <c r="F67" cm="1">
        <f t="array" ref="F67">(_xlfn.XLOOKUP(1, (prices!$A:$A=A67)*(prices!$C:$C=DATE(2024,12,31)), prices!$B:$B)/_xlfn.XLOOKUP(1, (prices!$A:$A=A67)*(prices!$C:$C=DATE(2023,12,31)), prices!$B:$B))-1</f>
        <v>3.2746119216254588E-2</v>
      </c>
      <c r="G67" t="str">
        <f>_xlfn.XLOOKUP(A67, attributes!A:A, attributes!C:C)</f>
        <v>SA Inc</v>
      </c>
    </row>
    <row r="68" spans="1:7">
      <c r="A68" t="s">
        <v>150</v>
      </c>
      <c r="B68">
        <v>306118295.49000001</v>
      </c>
      <c r="C68" cm="1">
        <f t="array" ref="C68">_xlfn.XLOOKUP(1, (prices!$A:$A=A68)*(prices!$C:$C=DATE(2023,12,31)), prices!$B:$B)</f>
        <v>4.4877648666861498</v>
      </c>
      <c r="D68">
        <f t="shared" si="4"/>
        <v>1373786931.5498712</v>
      </c>
      <c r="E68">
        <f t="shared" si="5"/>
        <v>3.4509575762833337E-3</v>
      </c>
      <c r="F68" cm="1">
        <f t="array" ref="F68">(_xlfn.XLOOKUP(1, (prices!$A:$A=A68)*(prices!$C:$C=DATE(2024,12,31)), prices!$B:$B)/_xlfn.XLOOKUP(1, (prices!$A:$A=A68)*(prices!$C:$C=DATE(2023,12,31)), prices!$B:$B))-1</f>
        <v>0.29563838023093036</v>
      </c>
      <c r="G68" t="str">
        <f>_xlfn.XLOOKUP(A68, attributes!A:A, attributes!C:C)</f>
        <v>SA Inc</v>
      </c>
    </row>
    <row r="69" spans="1:7">
      <c r="A69" t="s">
        <v>152</v>
      </c>
      <c r="B69">
        <v>213219283.02000001</v>
      </c>
      <c r="C69" cm="1">
        <f t="array" ref="C69">_xlfn.XLOOKUP(1, (prices!$A:$A=A69)*(prices!$C:$C=DATE(2023,12,31)), prices!$B:$B)</f>
        <v>19.3252221461624</v>
      </c>
      <c r="D69">
        <f t="shared" si="4"/>
        <v>4120510010.2069726</v>
      </c>
      <c r="E69">
        <f t="shared" si="5"/>
        <v>1.0350735555354833E-2</v>
      </c>
      <c r="F69" cm="1">
        <f t="array" ref="F69">(_xlfn.XLOOKUP(1, (prices!$A:$A=A69)*(prices!$C:$C=DATE(2024,12,31)), prices!$B:$B)/_xlfn.XLOOKUP(1, (prices!$A:$A=A69)*(prices!$C:$C=DATE(2023,12,31)), prices!$B:$B))-1</f>
        <v>0.1544781048890258</v>
      </c>
      <c r="G69" t="str">
        <f>_xlfn.XLOOKUP(A69, attributes!A:A, attributes!C:C)</f>
        <v>Resources</v>
      </c>
    </row>
    <row r="70" spans="1:7">
      <c r="A70" t="s">
        <v>154</v>
      </c>
      <c r="B70">
        <v>157601953.75999999</v>
      </c>
      <c r="C70" cm="1">
        <f t="array" ref="C70">_xlfn.XLOOKUP(1, (prices!$A:$A=A70)*(prices!$C:$C=DATE(2023,12,31)), prices!$B:$B)</f>
        <v>11.006971975329</v>
      </c>
      <c r="D70">
        <f t="shared" si="4"/>
        <v>1734720288.2934167</v>
      </c>
      <c r="E70">
        <f t="shared" si="5"/>
        <v>4.3576234306325944E-3</v>
      </c>
      <c r="F70" cm="1">
        <f t="array" ref="F70">(_xlfn.XLOOKUP(1, (prices!$A:$A=A70)*(prices!$C:$C=DATE(2024,12,31)), prices!$B:$B)/_xlfn.XLOOKUP(1, (prices!$A:$A=A70)*(prices!$C:$C=DATE(2023,12,31)), prices!$B:$B))-1</f>
        <v>0.39151578045187052</v>
      </c>
      <c r="G70" t="str">
        <f>_xlfn.XLOOKUP(A70, attributes!A:A, attributes!C:C)</f>
        <v>SA Inc</v>
      </c>
    </row>
    <row r="71" spans="1:7">
      <c r="A71" t="s">
        <v>156</v>
      </c>
      <c r="B71">
        <v>547182838.60000002</v>
      </c>
      <c r="C71" cm="1">
        <f t="array" ref="C71">_xlfn.XLOOKUP(1, (prices!$A:$A=A71)*(prices!$C:$C=DATE(2023,12,31)), prices!$B:$B)</f>
        <v>10.132057416208999</v>
      </c>
      <c r="D71">
        <f t="shared" si="4"/>
        <v>5544087937.8594217</v>
      </c>
      <c r="E71">
        <f t="shared" si="5"/>
        <v>1.3926768287970476E-2</v>
      </c>
      <c r="F71" cm="1">
        <f t="array" ref="F71">(_xlfn.XLOOKUP(1, (prices!$A:$A=A71)*(prices!$C:$C=DATE(2024,12,31)), prices!$B:$B)/_xlfn.XLOOKUP(1, (prices!$A:$A=A71)*(prices!$C:$C=DATE(2023,12,31)), prices!$B:$B))-1</f>
        <v>-0.56446905026253114</v>
      </c>
      <c r="G71" t="str">
        <f>_xlfn.XLOOKUP(A71, attributes!A:A, attributes!C:C)</f>
        <v>Resources</v>
      </c>
    </row>
    <row r="72" spans="1:7">
      <c r="A72" t="s">
        <v>158</v>
      </c>
      <c r="B72">
        <v>59330014.920000002</v>
      </c>
      <c r="C72" cm="1">
        <f t="array" ref="C72">_xlfn.XLOOKUP(1, (prices!$A:$A=A72)*(prices!$C:$C=DATE(2023,12,31)), prices!$B:$B)</f>
        <v>52.713602186979998</v>
      </c>
      <c r="D72">
        <f t="shared" si="4"/>
        <v>3127498804.240468</v>
      </c>
      <c r="E72">
        <f t="shared" si="5"/>
        <v>7.8562879333365573E-3</v>
      </c>
      <c r="F72" cm="1">
        <f t="array" ref="F72">(_xlfn.XLOOKUP(1, (prices!$A:$A=A72)*(prices!$C:$C=DATE(2024,12,31)), prices!$B:$B)/_xlfn.XLOOKUP(1, (prices!$A:$A=A72)*(prices!$C:$C=DATE(2023,12,31)), prices!$B:$B))-1</f>
        <v>-0.42802176031817352</v>
      </c>
      <c r="G72" t="str">
        <f>_xlfn.XLOOKUP(A72, attributes!A:A, attributes!C:C)</f>
        <v>Resources</v>
      </c>
    </row>
    <row r="73" spans="1:7">
      <c r="A73" t="s">
        <v>160</v>
      </c>
      <c r="B73">
        <v>198979707.03</v>
      </c>
      <c r="C73" cm="1">
        <f t="array" ref="C73">_xlfn.XLOOKUP(1, (prices!$A:$A=A73)*(prices!$C:$C=DATE(2023,12,31)), prices!$B:$B)</f>
        <v>11.823923444907299</v>
      </c>
      <c r="D73">
        <f t="shared" si="4"/>
        <v>2352720823.0128026</v>
      </c>
      <c r="E73">
        <f t="shared" si="5"/>
        <v>5.9100429350392681E-3</v>
      </c>
      <c r="F73" cm="1">
        <f t="array" ref="F73">(_xlfn.XLOOKUP(1, (prices!$A:$A=A73)*(prices!$C:$C=DATE(2024,12,31)), prices!$B:$B)/_xlfn.XLOOKUP(1, (prices!$A:$A=A73)*(prices!$C:$C=DATE(2023,12,31)), prices!$B:$B))-1</f>
        <v>0.26260863247606592</v>
      </c>
      <c r="G73" t="str">
        <f>_xlfn.XLOOKUP(A73, attributes!A:A, attributes!C:C)</f>
        <v>SA Inc</v>
      </c>
    </row>
    <row r="74" spans="1:7">
      <c r="A74" t="s">
        <v>162</v>
      </c>
      <c r="B74">
        <v>511028371.44</v>
      </c>
      <c r="C74" cm="1">
        <f t="array" ref="C74">_xlfn.XLOOKUP(1, (prices!$A:$A=A74)*(prices!$C:$C=DATE(2023,12,31)), prices!$B:$B)</f>
        <v>4.9908407381801503</v>
      </c>
      <c r="D74">
        <f t="shared" si="4"/>
        <v>2550461214.5486097</v>
      </c>
      <c r="E74">
        <f t="shared" si="5"/>
        <v>6.4067674900893492E-3</v>
      </c>
      <c r="F74" cm="1">
        <f t="array" ref="F74">(_xlfn.XLOOKUP(1, (prices!$A:$A=A74)*(prices!$C:$C=DATE(2024,12,31)), prices!$B:$B)/_xlfn.XLOOKUP(1, (prices!$A:$A=A74)*(prices!$C:$C=DATE(2023,12,31)), prices!$B:$B))-1</f>
        <v>-6.8245468509299023E-2</v>
      </c>
      <c r="G74" t="str">
        <f>_xlfn.XLOOKUP(A74, attributes!A:A, attributes!C:C)</f>
        <v>Resources</v>
      </c>
    </row>
    <row r="75" spans="1:7">
      <c r="A75" t="s">
        <v>164</v>
      </c>
      <c r="B75">
        <v>485426288.33999997</v>
      </c>
      <c r="C75" cm="1">
        <f t="array" ref="C75">_xlfn.XLOOKUP(1, (prices!$A:$A=A75)*(prices!$C:$C=DATE(2023,12,31)), prices!$B:$B)</f>
        <v>15.1896103895221</v>
      </c>
      <c r="D75">
        <f t="shared" si="4"/>
        <v>7373436192.7164145</v>
      </c>
      <c r="E75">
        <f t="shared" si="5"/>
        <v>1.8522097501531467E-2</v>
      </c>
      <c r="F75" cm="1">
        <f t="array" ref="F75">(_xlfn.XLOOKUP(1, (prices!$A:$A=A75)*(prices!$C:$C=DATE(2024,12,31)), prices!$B:$B)/_xlfn.XLOOKUP(1, (prices!$A:$A=A75)*(prices!$C:$C=DATE(2023,12,31)), prices!$B:$B))-1</f>
        <v>-0.13790681725292786</v>
      </c>
      <c r="G75" t="str">
        <f>_xlfn.XLOOKUP(A75, attributes!A:A, attributes!C:C)</f>
        <v>Resources</v>
      </c>
    </row>
    <row r="76" spans="1:7">
      <c r="A76" t="s">
        <v>166</v>
      </c>
      <c r="B76">
        <v>209710817.68000001</v>
      </c>
      <c r="C76" cm="1">
        <f t="array" ref="C76">_xlfn.XLOOKUP(1, (prices!$A:$A=A76)*(prices!$C:$C=DATE(2023,12,31)), prices!$B:$B)</f>
        <v>4.3198906356549998</v>
      </c>
      <c r="D76">
        <f t="shared" si="4"/>
        <v>905927797.49138498</v>
      </c>
      <c r="E76">
        <f t="shared" si="5"/>
        <v>2.2756937953919364E-3</v>
      </c>
      <c r="F76" cm="1">
        <f t="array" ref="F76">(_xlfn.XLOOKUP(1, (prices!$A:$A=A76)*(prices!$C:$C=DATE(2024,12,31)), prices!$B:$B)/_xlfn.XLOOKUP(1, (prices!$A:$A=A76)*(prices!$C:$C=DATE(2023,12,31)), prices!$B:$B))-1</f>
        <v>0.33138957088335408</v>
      </c>
      <c r="G76" t="str">
        <f>_xlfn.XLOOKUP(A76, attributes!A:A, attributes!C:C)</f>
        <v>SA Inc</v>
      </c>
    </row>
    <row r="77" spans="1:7">
      <c r="A77" t="s">
        <v>168</v>
      </c>
      <c r="B77">
        <v>77579841.239999995</v>
      </c>
      <c r="C77" cm="1">
        <f t="array" ref="C77">_xlfn.XLOOKUP(1, (prices!$A:$A=A77)*(prices!$C:$C=DATE(2023,12,31)), prices!$B:$B)</f>
        <v>10.936431989000001</v>
      </c>
      <c r="D77">
        <f t="shared" si="4"/>
        <v>848446657.43867743</v>
      </c>
      <c r="E77">
        <f t="shared" si="5"/>
        <v>2.1313009705639231E-3</v>
      </c>
      <c r="F77" cm="1">
        <f t="array" ref="F77">(_xlfn.XLOOKUP(1, (prices!$A:$A=A77)*(prices!$C:$C=DATE(2024,12,31)), prices!$B:$B)/_xlfn.XLOOKUP(1, (prices!$A:$A=A77)*(prices!$C:$C=DATE(2023,12,31)), prices!$B:$B))-1</f>
        <v>-0.27126202305138492</v>
      </c>
      <c r="G77" t="str">
        <f>_xlfn.XLOOKUP(A77, attributes!A:A, attributes!C:C)</f>
        <v>Resources</v>
      </c>
    </row>
    <row r="78" spans="1:7">
      <c r="C78" s="9"/>
      <c r="D78" s="9">
        <f>SUM(Table1[MV])</f>
        <v>398088617777.05011</v>
      </c>
      <c r="E78" s="9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7D5B-F369-438D-9F2A-460F2F079F75}">
  <dimension ref="A1:I5"/>
  <sheetViews>
    <sheetView tabSelected="1" workbookViewId="0">
      <selection activeCell="I2" sqref="I2"/>
    </sheetView>
  </sheetViews>
  <sheetFormatPr defaultRowHeight="15"/>
  <cols>
    <col min="1" max="1" width="14.28515625" bestFit="1" customWidth="1"/>
    <col min="2" max="2" width="7.42578125" customWidth="1"/>
    <col min="3" max="3" width="8.28515625" bestFit="1" customWidth="1"/>
    <col min="4" max="4" width="12.28515625" bestFit="1" customWidth="1"/>
    <col min="5" max="5" width="7.42578125" customWidth="1"/>
    <col min="6" max="6" width="9.42578125" bestFit="1" customWidth="1"/>
    <col min="7" max="7" width="8.85546875" bestFit="1" customWidth="1"/>
    <col min="8" max="8" width="10.140625" bestFit="1" customWidth="1"/>
    <col min="9" max="9" width="12.28515625" bestFit="1" customWidth="1"/>
  </cols>
  <sheetData>
    <row r="1" spans="1:9">
      <c r="A1" t="s">
        <v>190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</row>
    <row r="2" spans="1:9">
      <c r="A2" t="s">
        <v>22</v>
      </c>
      <c r="B2">
        <f>SUMIF('1_marketValue'!G:G, A2, '1_marketValue'!E:E)</f>
        <v>5.2546749686071519E-3</v>
      </c>
      <c r="C2">
        <f>SUMIF(Table1[Category],'4_brinsonAttribution'!A2,Table1[Weight])</f>
        <v>9.2532586424438172E-3</v>
      </c>
      <c r="D2" cm="1">
        <f t="array" ref="D2">IF(B2=0,0,SUMPRODUCT(--('1_marketValue'!B2:B47),'1_marketValue'!E2:E47,'1_marketValue'!F2:F47)/'4_brinsonAttribution'!B2)</f>
        <v>2097521.8602559334</v>
      </c>
      <c r="E2" s="7">
        <v>0.20630000000000001</v>
      </c>
      <c r="F2">
        <f>(B2-C2)*E2</f>
        <v>-8.2490781191250407E-4</v>
      </c>
      <c r="G2">
        <f>C2*(D2-E2)</f>
        <v>19408.910372180788</v>
      </c>
      <c r="H2">
        <f>(B2-C2)*(D2-E2)</f>
        <v>-8387.1158410270746</v>
      </c>
      <c r="I2">
        <f>SUM(F2:H2)</f>
        <v>11021.7937062459</v>
      </c>
    </row>
    <row r="3" spans="1:9">
      <c r="A3" t="s">
        <v>10</v>
      </c>
      <c r="B3">
        <f>SUMIF('1_marketValue'!G:G, A3, '1_marketValue'!E:E)</f>
        <v>0.27790315189824794</v>
      </c>
      <c r="C3">
        <f>SUMIF(Table1[Category],'4_brinsonAttribution'!A3,Table1[Weight])</f>
        <v>0.61777108236214306</v>
      </c>
      <c r="D3" cm="1">
        <f t="array" ref="D3">IF(B3=0,0,SUMPRODUCT(--('1_marketValue'!B3:B48),'1_marketValue'!E3:E48,'1_marketValue'!F3:F48)/'4_brinsonAttribution'!B3)</f>
        <v>45320.352578368198</v>
      </c>
      <c r="E3">
        <v>0.11559999999999999</v>
      </c>
      <c r="F3">
        <f t="shared" ref="F3:F5" si="0">(B3-C3)*E3</f>
        <v>-3.9288732761626276E-2</v>
      </c>
      <c r="G3">
        <f t="shared" ref="G3:G5" si="1">C3*(D3-E3)</f>
        <v>27997.531851035343</v>
      </c>
      <c r="H3">
        <f t="shared" ref="H3:H5" si="2">(B3-C3)*(D3-E3)</f>
        <v>-15402.895149971293</v>
      </c>
      <c r="I3">
        <f t="shared" ref="I3:I5" si="3">SUM(F3:H3)</f>
        <v>12594.597412331288</v>
      </c>
    </row>
    <row r="4" spans="1:9">
      <c r="A4" t="s">
        <v>6</v>
      </c>
      <c r="B4">
        <f>SUMIF('1_marketValue'!G:G, A4, '1_marketValue'!E:E)</f>
        <v>0.35205631688224898</v>
      </c>
      <c r="C4">
        <f>SUMIF(Table1[Category],'4_brinsonAttribution'!A4,Table1[Weight])</f>
        <v>0.11826627563019923</v>
      </c>
      <c r="D4" cm="1">
        <f t="array" ref="D4">IF(B4=0,0,SUMPRODUCT(--('1_marketValue'!B4:B49),'1_marketValue'!E4:E49,'1_marketValue'!F4:F49)/'4_brinsonAttribution'!B4)</f>
        <v>33129.573801748513</v>
      </c>
      <c r="E4">
        <v>-7.9100000000000004E-2</v>
      </c>
      <c r="F4">
        <f t="shared" si="0"/>
        <v>-1.8492792263037135E-2</v>
      </c>
      <c r="G4">
        <f t="shared" si="1"/>
        <v>3918.1206616110198</v>
      </c>
      <c r="H4">
        <f t="shared" si="2"/>
        <v>7745.3829185658751</v>
      </c>
      <c r="I4">
        <f t="shared" si="3"/>
        <v>11663.485087384632</v>
      </c>
    </row>
    <row r="5" spans="1:9">
      <c r="A5" t="s">
        <v>26</v>
      </c>
      <c r="B5">
        <f>SUMIF('1_marketValue'!G:G, A5, '1_marketValue'!E:E)</f>
        <v>0.36478585625089593</v>
      </c>
      <c r="C5">
        <f>SUMIF(Table1[Category],'4_brinsonAttribution'!A5,Table1[Weight])</f>
        <v>0.25470938336521409</v>
      </c>
      <c r="D5" cm="1">
        <f t="array" ref="D5">IF(B5=0,0,SUMPRODUCT(--('1_marketValue'!B5:B50),'1_marketValue'!E5:E50,'1_marketValue'!F5:F50)/'4_brinsonAttribution'!B5)</f>
        <v>32391.884665926224</v>
      </c>
      <c r="E5">
        <v>6.8400000000000002E-2</v>
      </c>
      <c r="F5">
        <f t="shared" si="0"/>
        <v>7.5292307453806379E-3</v>
      </c>
      <c r="G5">
        <f t="shared" si="1"/>
        <v>8250.4995471733801</v>
      </c>
      <c r="H5">
        <f t="shared" si="2"/>
        <v>3565.576884914216</v>
      </c>
      <c r="I5">
        <f t="shared" si="3"/>
        <v>11816.083961318342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Khaya Mtoko</dc:creator>
  <cp:keywords/>
  <dc:description/>
  <cp:lastModifiedBy>Sebastian Tant</cp:lastModifiedBy>
  <cp:revision/>
  <dcterms:created xsi:type="dcterms:W3CDTF">2025-06-24T04:53:56Z</dcterms:created>
  <dcterms:modified xsi:type="dcterms:W3CDTF">2026-02-04T04:25:41Z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880c5b-72c7-427a-8e8c-31655df003eb_Enabled">
    <vt:lpwstr>true</vt:lpwstr>
  </property>
  <property fmtid="{D5CDD505-2E9C-101B-9397-08002B2CF9AE}" pid="3" name="MSIP_Label_4a880c5b-72c7-427a-8e8c-31655df003eb_SetDate">
    <vt:lpwstr>2025-06-24T06:16:10Z</vt:lpwstr>
  </property>
  <property fmtid="{D5CDD505-2E9C-101B-9397-08002B2CF9AE}" pid="4" name="MSIP_Label_4a880c5b-72c7-427a-8e8c-31655df003eb_Method">
    <vt:lpwstr>Standard</vt:lpwstr>
  </property>
  <property fmtid="{D5CDD505-2E9C-101B-9397-08002B2CF9AE}" pid="5" name="MSIP_Label_4a880c5b-72c7-427a-8e8c-31655df003eb_Name">
    <vt:lpwstr>4a880c5b-72c7-427a-8e8c-31655df003eb</vt:lpwstr>
  </property>
  <property fmtid="{D5CDD505-2E9C-101B-9397-08002B2CF9AE}" pid="6" name="MSIP_Label_4a880c5b-72c7-427a-8e8c-31655df003eb_SiteId">
    <vt:lpwstr>e26ce668-d8e5-4eda-9dff-277880a00e4c</vt:lpwstr>
  </property>
  <property fmtid="{D5CDD505-2E9C-101B-9397-08002B2CF9AE}" pid="7" name="MSIP_Label_4a880c5b-72c7-427a-8e8c-31655df003eb_ActionId">
    <vt:lpwstr>d83b9924-ccef-483e-adf2-f9f8ce520b64</vt:lpwstr>
  </property>
  <property fmtid="{D5CDD505-2E9C-101B-9397-08002B2CF9AE}" pid="8" name="MSIP_Label_4a880c5b-72c7-427a-8e8c-31655df003eb_ContentBits">
    <vt:lpwstr>0</vt:lpwstr>
  </property>
  <property fmtid="{D5CDD505-2E9C-101B-9397-08002B2CF9AE}" pid="9" name="MSIP_Label_4a880c5b-72c7-427a-8e8c-31655df003eb_Tag">
    <vt:lpwstr>10, 3, 0, 1</vt:lpwstr>
  </property>
</Properties>
</file>